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24F9F179-0C7D-4738-B3C7-921E34C6B9AD}" xr6:coauthVersionLast="47" xr6:coauthVersionMax="47" xr10:uidLastSave="{00000000-0000-0000-0000-000000000000}"/>
  <bookViews>
    <workbookView xWindow="60" yWindow="510" windowWidth="19125" windowHeight="11490" xr2:uid="{5F2B916F-C903-4F05-8412-ABDADA34BC91}"/>
  </bookViews>
  <sheets>
    <sheet name="FILE_SW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72" i="1" l="1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<sst xmlns="http://schemas.openxmlformats.org/spreadsheetml/2006/main" count="482" uniqueCount="202">
  <si>
    <t>Descripcion</t>
  </si>
  <si>
    <t>Uso</t>
  </si>
  <si>
    <t>Orden</t>
  </si>
  <si>
    <t>Nombre</t>
  </si>
  <si>
    <t>Tipo</t>
  </si>
  <si>
    <t>Validacion</t>
  </si>
  <si>
    <t>Catalogo</t>
  </si>
  <si>
    <t>Reportes Opcional</t>
  </si>
  <si>
    <t>OFICINA</t>
  </si>
  <si>
    <t>Oficina Que Realiza La Operacion</t>
  </si>
  <si>
    <t>Longitud, Catalogo</t>
  </si>
  <si>
    <t>SI</t>
  </si>
  <si>
    <t>CONT</t>
  </si>
  <si>
    <t>Clave De La Contraparte</t>
  </si>
  <si>
    <t>FE_CON_OPE</t>
  </si>
  <si>
    <t>Fecha De Concertación</t>
  </si>
  <si>
    <t>Fecha</t>
  </si>
  <si>
    <t>FE1_FLU_RE</t>
  </si>
  <si>
    <t>Fecha De Inicio Del Primer Flujo A Recibir</t>
  </si>
  <si>
    <t>FEN_FLU_RE</t>
  </si>
  <si>
    <t>Fecha De Vencimiento Del Último Flujo A Recibir</t>
  </si>
  <si>
    <t>FE1_FLU_EN</t>
  </si>
  <si>
    <t>Fecha De Inicio Del Primer Flujo A Entregar</t>
  </si>
  <si>
    <t>FEN_FLU_EN</t>
  </si>
  <si>
    <t>Fecha De Vencimiento Del Último A Entregar</t>
  </si>
  <si>
    <t>TIP_DER</t>
  </si>
  <si>
    <t>Tipo De Producto Derivado</t>
  </si>
  <si>
    <t>Entero, Catalogo</t>
  </si>
  <si>
    <t>TIPO_DERIVADO_V1</t>
  </si>
  <si>
    <t>OBJ_OPE</t>
  </si>
  <si>
    <t>Objetivo De La Operación</t>
  </si>
  <si>
    <t>OBJ_OPE_V1</t>
  </si>
  <si>
    <t>REV_SWAP</t>
  </si>
  <si>
    <t>Revisión De Los "Parámetros" Del “Swap”</t>
  </si>
  <si>
    <t>REV_PARAM_SWAPS_V1</t>
  </si>
  <si>
    <t>DET_FLUJO</t>
  </si>
  <si>
    <t>Acuerdo De Días Inhábiles Para Cálculo De Los Flujos</t>
  </si>
  <si>
    <t>DIAS_INHA_SWAP_V1</t>
  </si>
  <si>
    <t>IMP_BASE</t>
  </si>
  <si>
    <t>Importe Base Del Contrato</t>
  </si>
  <si>
    <t>Entero</t>
  </si>
  <si>
    <t>Si trae valor se va a la SECCION II</t>
  </si>
  <si>
    <t>MDA_IMP</t>
  </si>
  <si>
    <t>Moneda En Que Está Expresado El Importe Base</t>
  </si>
  <si>
    <t>MONEDA_DER_V1</t>
  </si>
  <si>
    <t>LIQ_FLU</t>
  </si>
  <si>
    <t>Número De Días Hábiles Para Liquidar Cada Flujo.</t>
  </si>
  <si>
    <t>NU_FLU_RE</t>
  </si>
  <si>
    <t>Número Total De Flujos A Recibir Del Swap</t>
  </si>
  <si>
    <t>NU_FLU_EN</t>
  </si>
  <si>
    <t>Número Total De Flujos A Entregar Del Swap</t>
  </si>
  <si>
    <t>INT_FLU_RE</t>
  </si>
  <si>
    <t>Intervalo Del Flujo A Recibir</t>
  </si>
  <si>
    <t>INT_FLU_EN</t>
  </si>
  <si>
    <t>Intervalo Del Flujo A Entregar</t>
  </si>
  <si>
    <t>TIP_TAS_RE</t>
  </si>
  <si>
    <t>Tipo De Tasa A Recibir</t>
  </si>
  <si>
    <t>SUBY_V1</t>
  </si>
  <si>
    <t>TAS_FIJ_RE</t>
  </si>
  <si>
    <t>Valor De La Tasa Fija A Recibir</t>
  </si>
  <si>
    <t>Decimal</t>
  </si>
  <si>
    <t>TAS_REF_RE</t>
  </si>
  <si>
    <t>Tasa De Referencia Para Determinar La Tasa Variable A Recibir</t>
  </si>
  <si>
    <t>REV_TREF_RE</t>
  </si>
  <si>
    <t>Intervalo De Revisión De La Tasa De Referencia Para Determinar El Importe Del Flujo A Recibir</t>
  </si>
  <si>
    <t>ANIO_RE</t>
  </si>
  <si>
    <t>Año Comercial O Año Natural (Recibir)</t>
  </si>
  <si>
    <t>Longitud</t>
  </si>
  <si>
    <t>FE_REF_RE</t>
  </si>
  <si>
    <t>Modalidad De La Tasa De Referencia, Para Determinar El Importe De Los Flujos A Recibir</t>
  </si>
  <si>
    <t>MOD_TAS_V1</t>
  </si>
  <si>
    <t>FA1_TAS_RE</t>
  </si>
  <si>
    <t>Factor Aplicable A La Tasa De Referencia A Recibir</t>
  </si>
  <si>
    <t>OP1_TAS_RE</t>
  </si>
  <si>
    <t>Operador Aplicable A La Tasa De Referencia A Recibir</t>
  </si>
  <si>
    <t>PT1_TAS_RE</t>
  </si>
  <si>
    <t>Puntos Porcentuales Aplicables A La Tasa De Referencia A Recibir</t>
  </si>
  <si>
    <t>TIP_TAS_EN</t>
  </si>
  <si>
    <t>Tipo De Tasa A Entregar</t>
  </si>
  <si>
    <t>TAS_FIJ_EN</t>
  </si>
  <si>
    <t>Valor De La Tasa Fija A Entregar</t>
  </si>
  <si>
    <t>TAS_REF_EN</t>
  </si>
  <si>
    <t>Tasa De Referencia Para Determinar El Valor De La Tasa Variable A Entregar</t>
  </si>
  <si>
    <t>REV_TREF_EN</t>
  </si>
  <si>
    <t>Intervalo De Revisión De La Tasa De Referencia Para Determinar El Importe Del Flujo A Entregar</t>
  </si>
  <si>
    <t>ANIO_EN</t>
  </si>
  <si>
    <t>Año Comercial O Año Natural (Entregar)</t>
  </si>
  <si>
    <t>FE_REF_EN</t>
  </si>
  <si>
    <t>Modalidad De La Tasa De Referencia, Para Determinar El Importe De Los Flujos A Entregar</t>
  </si>
  <si>
    <t>FA1_TAS_EN</t>
  </si>
  <si>
    <t>Factor Aplicable A La Tasa De Referencia A Entregar</t>
  </si>
  <si>
    <t>OP1_TAS_EN</t>
  </si>
  <si>
    <t>Operador Aplicable A La Tasa De Referencia A Entregar</t>
  </si>
  <si>
    <t>PT1_TAS_EN</t>
  </si>
  <si>
    <t>Puntos Porcentuales Aplicables  A La Tasa De Referencia A Entregar</t>
  </si>
  <si>
    <t>CUO_COMP</t>
  </si>
  <si>
    <t>Acuerdo Relativo Al Pago De Una Cuota Compensatoria ("Up Front Fee”)</t>
  </si>
  <si>
    <t>CUOTA_COMP_SWAP_V1</t>
  </si>
  <si>
    <t>VEN_ANT</t>
  </si>
  <si>
    <t>Vencimiento Y Liquidación Anticipada</t>
  </si>
  <si>
    <t>TER_OPE</t>
  </si>
  <si>
    <t>Terminación De La Operación</t>
  </si>
  <si>
    <t>TER_OPE_V1</t>
  </si>
  <si>
    <t>PAQ_EST</t>
  </si>
  <si>
    <t>La Operación Es Parte De Una "Operación Estructurada" O “Paquete".</t>
  </si>
  <si>
    <t>PAQ_EST_DER_V1</t>
  </si>
  <si>
    <t>ID_PAQ_EST</t>
  </si>
  <si>
    <t>Clave O Folio Con El Que Se Identifica Al Conjunto De Operaciones Que Forman Parte De Una "Operación Estructurada" O “Paquete"</t>
  </si>
  <si>
    <t>CON_PAQ_EST</t>
  </si>
  <si>
    <t>Número Consecutivo Para Identificar A La Operación Que Forma Parte De Una "Operación Estructurada" O “Paquete"</t>
  </si>
  <si>
    <t>BROKER</t>
  </si>
  <si>
    <t>Plataforma De Negociación</t>
  </si>
  <si>
    <t>PLA_NEG_V1</t>
  </si>
  <si>
    <t>SOCIO_LIQ</t>
  </si>
  <si>
    <t>Socio Liquidador De La Operación</t>
  </si>
  <si>
    <t>SOCIO_LIQ_V1</t>
  </si>
  <si>
    <t>CAM_COM</t>
  </si>
  <si>
    <t>Cámara De Compensación O Repositorio De Derivados</t>
  </si>
  <si>
    <t>CAM_COM_V1</t>
  </si>
  <si>
    <t>AG_CAL</t>
  </si>
  <si>
    <t>Agente De Cálculo Y Liquidación</t>
  </si>
  <si>
    <t>NUM_CONF</t>
  </si>
  <si>
    <t>Clave De Confirmación De La Operación</t>
  </si>
  <si>
    <t>NU_ID</t>
  </si>
  <si>
    <t>Número De Identificacion De La Operación</t>
  </si>
  <si>
    <t>Es la llave para relacionar la informacion de la seccion V, con la historica de secciones II y III
CRUZAR CON  LLAVE NU_ID  DEL HISTORICO SECCION II  (SWAPS - SII(49) ) y SECCION III SWAPS ( SWAPS - SIII(52) ) PARA SECCION V</t>
  </si>
  <si>
    <t>NUM_ID_OP_SBY</t>
  </si>
  <si>
    <t>Número De Identificación De La Operación Derivada Subyacente</t>
  </si>
  <si>
    <t>MODIFICA</t>
  </si>
  <si>
    <t>SWAPS-SII
SWAPS-SIII
SWAPS-SV</t>
  </si>
  <si>
    <t>Tipo Modifica</t>
  </si>
  <si>
    <t>MODIFICA_DER_V1</t>
  </si>
  <si>
    <t>Si el valor de MODIFICA es CA, va a la SECCION V</t>
  </si>
  <si>
    <t>INTERC_IMP</t>
  </si>
  <si>
    <t>Modalidad Del Intercambio De Importes Base</t>
  </si>
  <si>
    <t>INTERC_IMP_V1</t>
  </si>
  <si>
    <t>IMP_BA_RE</t>
  </si>
  <si>
    <t>Importe Base Para El Cálculo De Los Flujos A Recibir</t>
  </si>
  <si>
    <t>Si trae valor en  (IMP_BA_RE, IMP_BA_EN ) se va a la SECCION III</t>
  </si>
  <si>
    <t>MDA_IMP_RE</t>
  </si>
  <si>
    <t>Moneda Del Importe Base (Flujos A Recibir)</t>
  </si>
  <si>
    <t>IMP_BA_EN</t>
  </si>
  <si>
    <t>Importe Base Para El Cálculo De Los Flujos A Entregar</t>
  </si>
  <si>
    <t>MDA_IMP_EN</t>
  </si>
  <si>
    <t>Moneda Del Importe Base (Flujos A Entregar)</t>
  </si>
  <si>
    <t>PRO_TER</t>
  </si>
  <si>
    <t>Origen de la Operación</t>
  </si>
  <si>
    <t>FECVEN_A</t>
  </si>
  <si>
    <t>Fecha De Vencimiento Anticipado</t>
  </si>
  <si>
    <t>FECLIQ_A</t>
  </si>
  <si>
    <t>Fecha De Liquidación Anticipada</t>
  </si>
  <si>
    <t>IMP_VEN</t>
  </si>
  <si>
    <t>Importe Por El Vencimiento Anticipado O Cesión De Derechos</t>
  </si>
  <si>
    <t>MDA_VEN</t>
  </si>
  <si>
    <t>Moneda Del Importe Por Vencimiento Anticipado O Cesión De Derechos</t>
  </si>
  <si>
    <t>VTOT_IMPE</t>
  </si>
  <si>
    <t>Importe entregado por vencimiento anticipado total</t>
  </si>
  <si>
    <t>VPAR_IMPR</t>
  </si>
  <si>
    <t>Importe A Recibir Que Vence Anticipadamente En Forma Parcial</t>
  </si>
  <si>
    <t>VPAR_IMPE</t>
  </si>
  <si>
    <t>Importe A Entregar Que Vence Anticipadamente En Forma Parcial</t>
  </si>
  <si>
    <t>PAG_VENA</t>
  </si>
  <si>
    <t>La Institución Pagó O Recibió El Importe De La Vencimiento Anticipado O Cesión De Derechos</t>
  </si>
  <si>
    <t>PAG_VENA_V1</t>
  </si>
  <si>
    <t>MOT_VENA</t>
  </si>
  <si>
    <t>Motivo Del Vencimiento Anticipado O Cesión De Derechos</t>
  </si>
  <si>
    <t>MOT_VEN_ANT_V1</t>
  </si>
  <si>
    <t>VEN_ANT_CD</t>
  </si>
  <si>
    <t>Indicador De Vencimiento Anticipado O Cesión De Derechos</t>
  </si>
  <si>
    <t>VENT_ANT_V1</t>
  </si>
  <si>
    <t>NUM_ID_CP</t>
  </si>
  <si>
    <t>Numero De Identificacion De La Nueva Operacion</t>
  </si>
  <si>
    <t>UTI_N</t>
  </si>
  <si>
    <t>Identificador único de transacción nuevo (denominado en inglés como “unique transaction identifier”)</t>
  </si>
  <si>
    <t>Longitud, Repetido</t>
  </si>
  <si>
    <t>No</t>
  </si>
  <si>
    <t>Si</t>
  </si>
  <si>
    <t>Solo aplica cuando se trata de reestructuras o novaciones</t>
  </si>
  <si>
    <t xml:space="preserve">UTI </t>
  </si>
  <si>
    <t>Identificador único de transacción (denominado en inglés como “unique transaction identifier”)</t>
  </si>
  <si>
    <t xml:space="preserve">UPI </t>
  </si>
  <si>
    <t>Identificador único de producto (denominado en inglés como “unique product identifier”)</t>
  </si>
  <si>
    <t>Longitud, Catálogo</t>
  </si>
  <si>
    <t>FECHAINFO</t>
  </si>
  <si>
    <t>FECHA</t>
  </si>
  <si>
    <t>AAAA/MM/DD</t>
  </si>
  <si>
    <t>Fecha a la que corresponde la información</t>
  </si>
  <si>
    <t>formato</t>
  </si>
  <si>
    <t>TEXTO</t>
  </si>
  <si>
    <t>NUMERO</t>
  </si>
  <si>
    <t>9,6</t>
  </si>
  <si>
    <t>8,6</t>
  </si>
  <si>
    <t>Reportes 
Obligatorio</t>
  </si>
  <si>
    <t>SWAPS-SII
SWAPS-SIII</t>
  </si>
  <si>
    <t>SWAPS-SII</t>
  </si>
  <si>
    <t>SWAPS-SIII</t>
  </si>
  <si>
    <t>SWAPS-SV</t>
  </si>
  <si>
    <t>SWAPS-SII
CSII
SIII
CSIII
SV
SVI
SVIII</t>
  </si>
  <si>
    <t>SWAPS-SII
SIII
SVIII</t>
  </si>
  <si>
    <t>CASFIM-V2</t>
  </si>
  <si>
    <t>CVEOFICINA_V4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</si>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</sst>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92D31E-90A3-43D4-986D-EB7C1CF5112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6dab558-1fe4-4c0e-9d51-3f40489c5ad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96EC-22E4-4DD4-BD17-04022579EE71}">
  <dimension ref="A1:K74"/>
  <sheetViews>
    <sheetView tabSelected="1" topLeftCell="A22" zoomScale="71" zoomScaleNormal="95" workbookViewId="0">
      <selection activeCell="K1" sqref="K1"/>
    </sheetView>
  </sheetViews>
  <sheetFormatPr baseColWidth="10" defaultRowHeight="15" x14ac:dyDescent="0.25"/>
  <cols>
    <col min="1" max="1" width="6.42578125" bestFit="1" customWidth="1"/>
    <col min="2" max="2" width="15.42578125" bestFit="1" customWidth="1"/>
    <col min="3" max="3" width="8.5703125" bestFit="1" customWidth="1"/>
    <col min="4" max="4" width="11.85546875" bestFit="1" customWidth="1"/>
    <col min="5" max="5" width="12.28515625" bestFit="1" customWidth="1"/>
    <col min="6" max="6" width="22.42578125" bestFit="1" customWidth="1"/>
    <col min="7" max="7" width="10.85546875" bestFit="1" customWidth="1"/>
    <col min="8" max="8" width="74.7109375" bestFit="1" customWidth="1"/>
    <col min="9" max="9" width="26" bestFit="1" customWidth="1"/>
    <col min="10" max="10" width="17.140625" bestFit="1" customWidth="1"/>
    <col min="11" max="11" width="113.85546875" style="3" bestFit="1" customWidth="1"/>
    <col min="12" max="12" width="9.140625" customWidth="1"/>
    <col min="13" max="13" width="45.140625" customWidth="1"/>
    <col min="14" max="14" width="13.5703125" customWidth="1"/>
    <col min="15" max="15" width="9.140625" customWidth="1"/>
    <col min="16" max="16" width="19.5703125" customWidth="1"/>
    <col min="17" max="17" width="25.42578125" customWidth="1"/>
    <col min="18" max="18" width="32" bestFit="1" customWidth="1"/>
    <col min="19" max="19" width="25.42578125" customWidth="1"/>
    <col min="20" max="20" width="8.5703125" customWidth="1"/>
    <col min="21" max="21" width="32.140625" customWidth="1"/>
    <col min="22" max="23" width="8.5703125" customWidth="1"/>
    <col min="24" max="257" width="9.140625" customWidth="1"/>
  </cols>
  <sheetData>
    <row r="1" spans="1:11" s="15" customFormat="1" ht="45" x14ac:dyDescent="0.25">
      <c r="A1" s="14" t="s">
        <v>2</v>
      </c>
      <c r="B1" s="14" t="s">
        <v>3</v>
      </c>
      <c r="C1" s="14" t="s">
        <v>4</v>
      </c>
      <c r="D1" s="14" t="s">
        <v>187</v>
      </c>
      <c r="E1" s="14" t="s">
        <v>1</v>
      </c>
      <c r="F1" s="14" t="s">
        <v>6</v>
      </c>
      <c r="G1" s="14" t="s">
        <v>192</v>
      </c>
      <c r="H1" s="14" t="s">
        <v>0</v>
      </c>
      <c r="I1" s="14" t="s">
        <v>5</v>
      </c>
      <c r="J1" s="14" t="s">
        <v>7</v>
      </c>
      <c r="K1" s="14" t="s">
        <v>201</v>
      </c>
    </row>
    <row r="2" spans="1:11" ht="26.25" customHeight="1" x14ac:dyDescent="0.25">
      <c r="A2">
        <v>1</v>
      </c>
      <c r="B2" s="1" t="s">
        <v>8</v>
      </c>
      <c r="C2" s="1" t="s">
        <v>188</v>
      </c>
      <c r="D2" s="1">
        <v>1</v>
      </c>
      <c r="E2" s="2" t="s">
        <v>193</v>
      </c>
      <c r="F2" s="3" t="s">
        <v>200</v>
      </c>
      <c r="G2" s="3" t="s">
        <v>11</v>
      </c>
      <c r="H2" s="2" t="s">
        <v>9</v>
      </c>
      <c r="I2" s="3" t="s">
        <v>10</v>
      </c>
      <c r="J2" s="3"/>
    </row>
    <row r="3" spans="1:11" ht="26.25" customHeight="1" x14ac:dyDescent="0.25">
      <c r="A3">
        <v>2</v>
      </c>
      <c r="B3" s="1" t="s">
        <v>12</v>
      </c>
      <c r="C3" s="1" t="s">
        <v>188</v>
      </c>
      <c r="D3" s="1">
        <v>6</v>
      </c>
      <c r="E3" s="2" t="s">
        <v>193</v>
      </c>
      <c r="F3" t="s">
        <v>199</v>
      </c>
      <c r="G3" s="3" t="s">
        <v>11</v>
      </c>
      <c r="H3" s="2" t="s">
        <v>13</v>
      </c>
      <c r="I3" s="3" t="s">
        <v>10</v>
      </c>
    </row>
    <row r="4" spans="1:11" ht="26.25" customHeight="1" x14ac:dyDescent="0.25">
      <c r="A4">
        <v>3</v>
      </c>
      <c r="B4" s="1" t="s">
        <v>14</v>
      </c>
      <c r="C4" s="1" t="s">
        <v>184</v>
      </c>
      <c r="D4" s="1" t="s">
        <v>185</v>
      </c>
      <c r="E4" s="2" t="s">
        <v>193</v>
      </c>
      <c r="F4" s="3"/>
      <c r="G4" s="3" t="s">
        <v>11</v>
      </c>
      <c r="H4" s="2" t="s">
        <v>15</v>
      </c>
      <c r="I4" s="3" t="s">
        <v>16</v>
      </c>
      <c r="J4" s="3"/>
    </row>
    <row r="5" spans="1:11" ht="26.25" customHeight="1" x14ac:dyDescent="0.25">
      <c r="A5">
        <v>4</v>
      </c>
      <c r="B5" s="1" t="s">
        <v>17</v>
      </c>
      <c r="C5" s="1" t="s">
        <v>184</v>
      </c>
      <c r="D5" s="1" t="s">
        <v>185</v>
      </c>
      <c r="E5" s="2" t="s">
        <v>193</v>
      </c>
      <c r="F5" s="3"/>
      <c r="G5" s="3" t="s">
        <v>11</v>
      </c>
      <c r="H5" s="2" t="s">
        <v>18</v>
      </c>
      <c r="I5" s="3" t="s">
        <v>16</v>
      </c>
      <c r="J5" s="3"/>
    </row>
    <row r="6" spans="1:11" ht="26.25" customHeight="1" x14ac:dyDescent="0.25">
      <c r="A6" s="4">
        <v>5</v>
      </c>
      <c r="B6" s="1" t="s">
        <v>19</v>
      </c>
      <c r="C6" s="1" t="s">
        <v>184</v>
      </c>
      <c r="D6" s="1" t="s">
        <v>185</v>
      </c>
      <c r="E6" s="2" t="s">
        <v>193</v>
      </c>
      <c r="F6" s="5"/>
      <c r="G6" s="3" t="s">
        <v>11</v>
      </c>
      <c r="H6" s="2" t="s">
        <v>20</v>
      </c>
      <c r="I6" s="3" t="s">
        <v>16</v>
      </c>
      <c r="J6" s="5"/>
      <c r="K6" s="6"/>
    </row>
    <row r="7" spans="1:11" ht="26.25" customHeight="1" x14ac:dyDescent="0.25">
      <c r="A7">
        <v>6</v>
      </c>
      <c r="B7" s="1" t="s">
        <v>21</v>
      </c>
      <c r="C7" s="1" t="s">
        <v>184</v>
      </c>
      <c r="D7" s="1" t="s">
        <v>185</v>
      </c>
      <c r="E7" s="2" t="s">
        <v>193</v>
      </c>
      <c r="F7" s="3"/>
      <c r="G7" s="3" t="s">
        <v>11</v>
      </c>
      <c r="H7" s="2" t="s">
        <v>22</v>
      </c>
      <c r="I7" s="3" t="s">
        <v>16</v>
      </c>
      <c r="J7" s="3"/>
    </row>
    <row r="8" spans="1:11" ht="26.25" customHeight="1" x14ac:dyDescent="0.25">
      <c r="A8">
        <v>7</v>
      </c>
      <c r="B8" s="1" t="s">
        <v>23</v>
      </c>
      <c r="C8" s="1" t="s">
        <v>184</v>
      </c>
      <c r="D8" s="1" t="s">
        <v>185</v>
      </c>
      <c r="E8" s="2" t="s">
        <v>193</v>
      </c>
      <c r="F8" s="3"/>
      <c r="G8" s="3" t="s">
        <v>11</v>
      </c>
      <c r="H8" s="2" t="s">
        <v>24</v>
      </c>
      <c r="I8" s="3" t="s">
        <v>16</v>
      </c>
      <c r="J8" s="3"/>
    </row>
    <row r="9" spans="1:11" ht="26.25" customHeight="1" x14ac:dyDescent="0.25">
      <c r="A9">
        <v>8</v>
      </c>
      <c r="B9" s="1" t="s">
        <v>25</v>
      </c>
      <c r="C9" s="1" t="s">
        <v>189</v>
      </c>
      <c r="D9" s="1">
        <v>2</v>
      </c>
      <c r="E9" s="2" t="s">
        <v>193</v>
      </c>
      <c r="F9" t="s">
        <v>28</v>
      </c>
      <c r="G9" s="3" t="s">
        <v>11</v>
      </c>
      <c r="H9" s="2" t="s">
        <v>26</v>
      </c>
      <c r="I9" s="3" t="s">
        <v>27</v>
      </c>
    </row>
    <row r="10" spans="1:11" ht="26.25" customHeight="1" x14ac:dyDescent="0.25">
      <c r="A10">
        <v>9</v>
      </c>
      <c r="B10" s="1" t="s">
        <v>29</v>
      </c>
      <c r="C10" s="1" t="s">
        <v>188</v>
      </c>
      <c r="D10" s="1">
        <v>2</v>
      </c>
      <c r="E10" s="2" t="s">
        <v>193</v>
      </c>
      <c r="F10" s="3" t="s">
        <v>31</v>
      </c>
      <c r="G10" s="3" t="s">
        <v>11</v>
      </c>
      <c r="H10" s="2" t="s">
        <v>30</v>
      </c>
      <c r="I10" s="3" t="s">
        <v>10</v>
      </c>
      <c r="J10" s="3"/>
    </row>
    <row r="11" spans="1:11" ht="26.25" customHeight="1" x14ac:dyDescent="0.25">
      <c r="A11">
        <v>10</v>
      </c>
      <c r="B11" s="1" t="s">
        <v>32</v>
      </c>
      <c r="C11" s="1" t="s">
        <v>188</v>
      </c>
      <c r="D11" s="1">
        <v>5</v>
      </c>
      <c r="E11" s="2" t="s">
        <v>193</v>
      </c>
      <c r="F11" s="3" t="s">
        <v>34</v>
      </c>
      <c r="G11" s="3" t="s">
        <v>11</v>
      </c>
      <c r="H11" s="2" t="s">
        <v>33</v>
      </c>
      <c r="I11" s="3" t="s">
        <v>10</v>
      </c>
      <c r="J11" s="3"/>
      <c r="K11"/>
    </row>
    <row r="12" spans="1:11" ht="26.25" customHeight="1" x14ac:dyDescent="0.25">
      <c r="A12">
        <v>11</v>
      </c>
      <c r="B12" s="1" t="s">
        <v>35</v>
      </c>
      <c r="C12" s="1" t="s">
        <v>188</v>
      </c>
      <c r="D12" s="1">
        <v>2</v>
      </c>
      <c r="E12" s="2" t="s">
        <v>193</v>
      </c>
      <c r="F12" s="3" t="s">
        <v>37</v>
      </c>
      <c r="G12" s="3" t="s">
        <v>11</v>
      </c>
      <c r="H12" s="2" t="s">
        <v>36</v>
      </c>
      <c r="I12" s="3" t="s">
        <v>10</v>
      </c>
      <c r="J12" s="3"/>
      <c r="K12"/>
    </row>
    <row r="13" spans="1:11" ht="15" customHeight="1" x14ac:dyDescent="0.25">
      <c r="A13">
        <v>12</v>
      </c>
      <c r="B13" t="s">
        <v>38</v>
      </c>
      <c r="C13" t="s">
        <v>189</v>
      </c>
      <c r="D13" s="1">
        <v>15</v>
      </c>
      <c r="E13" t="s">
        <v>194</v>
      </c>
      <c r="F13" s="3"/>
      <c r="G13" s="3" t="s">
        <v>11</v>
      </c>
      <c r="H13" s="2" t="s">
        <v>39</v>
      </c>
      <c r="I13" s="3" t="s">
        <v>40</v>
      </c>
      <c r="J13" s="3"/>
      <c r="K13" t="s">
        <v>41</v>
      </c>
    </row>
    <row r="14" spans="1:11" ht="15" customHeight="1" x14ac:dyDescent="0.25">
      <c r="A14">
        <v>13</v>
      </c>
      <c r="B14" t="s">
        <v>42</v>
      </c>
      <c r="C14" t="s">
        <v>188</v>
      </c>
      <c r="D14" s="1">
        <v>3</v>
      </c>
      <c r="E14" t="s">
        <v>194</v>
      </c>
      <c r="F14" s="3" t="s">
        <v>44</v>
      </c>
      <c r="G14" s="3" t="s">
        <v>11</v>
      </c>
      <c r="H14" s="2" t="s">
        <v>43</v>
      </c>
      <c r="I14" s="3" t="s">
        <v>10</v>
      </c>
      <c r="J14" s="3"/>
      <c r="K14"/>
    </row>
    <row r="15" spans="1:11" ht="30" x14ac:dyDescent="0.25">
      <c r="A15">
        <v>14</v>
      </c>
      <c r="B15" t="s">
        <v>45</v>
      </c>
      <c r="C15" t="s">
        <v>189</v>
      </c>
      <c r="D15" s="1">
        <v>2</v>
      </c>
      <c r="E15" s="3" t="s">
        <v>193</v>
      </c>
      <c r="F15" s="3"/>
      <c r="G15" s="3" t="s">
        <v>11</v>
      </c>
      <c r="H15" s="2" t="s">
        <v>46</v>
      </c>
      <c r="I15" s="3" t="s">
        <v>40</v>
      </c>
      <c r="J15" s="3"/>
      <c r="K15"/>
    </row>
    <row r="16" spans="1:11" ht="26.25" customHeight="1" x14ac:dyDescent="0.25">
      <c r="A16" s="4">
        <v>15</v>
      </c>
      <c r="B16" s="1" t="s">
        <v>47</v>
      </c>
      <c r="C16" s="1" t="s">
        <v>189</v>
      </c>
      <c r="D16" s="1">
        <v>3</v>
      </c>
      <c r="E16" s="2" t="s">
        <v>193</v>
      </c>
      <c r="F16" s="3"/>
      <c r="G16" s="3" t="s">
        <v>11</v>
      </c>
      <c r="H16" s="2" t="s">
        <v>48</v>
      </c>
      <c r="I16" s="3" t="s">
        <v>40</v>
      </c>
      <c r="J16" s="3"/>
      <c r="K16"/>
    </row>
    <row r="17" spans="1:10" ht="26.25" customHeight="1" x14ac:dyDescent="0.25">
      <c r="A17">
        <v>16</v>
      </c>
      <c r="B17" s="1" t="s">
        <v>49</v>
      </c>
      <c r="C17" s="1" t="s">
        <v>189</v>
      </c>
      <c r="D17" s="1">
        <v>3</v>
      </c>
      <c r="E17" s="2" t="s">
        <v>193</v>
      </c>
      <c r="F17" s="3"/>
      <c r="G17" s="3" t="s">
        <v>11</v>
      </c>
      <c r="H17" s="2" t="s">
        <v>50</v>
      </c>
      <c r="I17" s="3" t="s">
        <v>40</v>
      </c>
      <c r="J17" s="3"/>
    </row>
    <row r="18" spans="1:10" ht="26.25" customHeight="1" x14ac:dyDescent="0.25">
      <c r="A18">
        <v>17</v>
      </c>
      <c r="B18" s="1" t="s">
        <v>51</v>
      </c>
      <c r="C18" s="1" t="s">
        <v>189</v>
      </c>
      <c r="D18" s="1">
        <v>3</v>
      </c>
      <c r="E18" s="2" t="s">
        <v>193</v>
      </c>
      <c r="F18" s="3"/>
      <c r="G18" s="3" t="s">
        <v>11</v>
      </c>
      <c r="H18" s="2" t="s">
        <v>52</v>
      </c>
      <c r="I18" s="3" t="s">
        <v>40</v>
      </c>
      <c r="J18" s="3"/>
    </row>
    <row r="19" spans="1:10" ht="26.25" customHeight="1" x14ac:dyDescent="0.25">
      <c r="A19">
        <v>18</v>
      </c>
      <c r="B19" s="1" t="s">
        <v>53</v>
      </c>
      <c r="C19" s="1" t="s">
        <v>189</v>
      </c>
      <c r="D19" s="1">
        <v>3</v>
      </c>
      <c r="E19" s="2" t="s">
        <v>193</v>
      </c>
      <c r="F19" s="3"/>
      <c r="G19" s="3" t="s">
        <v>11</v>
      </c>
      <c r="H19" s="2" t="s">
        <v>54</v>
      </c>
      <c r="I19" s="3" t="s">
        <v>40</v>
      </c>
      <c r="J19" s="3"/>
    </row>
    <row r="20" spans="1:10" ht="26.25" customHeight="1" x14ac:dyDescent="0.25">
      <c r="A20">
        <v>19</v>
      </c>
      <c r="B20" s="1" t="s">
        <v>55</v>
      </c>
      <c r="C20" s="1" t="s">
        <v>188</v>
      </c>
      <c r="D20" s="1">
        <v>3</v>
      </c>
      <c r="E20" s="2" t="s">
        <v>193</v>
      </c>
      <c r="F20" s="3" t="s">
        <v>57</v>
      </c>
      <c r="G20" s="3" t="s">
        <v>11</v>
      </c>
      <c r="H20" s="2" t="s">
        <v>56</v>
      </c>
      <c r="I20" s="3" t="s">
        <v>10</v>
      </c>
      <c r="J20" s="3"/>
    </row>
    <row r="21" spans="1:10" ht="26.25" customHeight="1" x14ac:dyDescent="0.25">
      <c r="A21">
        <v>20</v>
      </c>
      <c r="B21" s="1" t="s">
        <v>58</v>
      </c>
      <c r="C21" s="1" t="s">
        <v>189</v>
      </c>
      <c r="D21" s="1" t="s">
        <v>190</v>
      </c>
      <c r="E21" s="2" t="s">
        <v>193</v>
      </c>
      <c r="F21" s="3"/>
      <c r="G21" s="3" t="s">
        <v>11</v>
      </c>
      <c r="H21" s="2" t="s">
        <v>59</v>
      </c>
      <c r="I21" s="3" t="s">
        <v>60</v>
      </c>
      <c r="J21" s="3"/>
    </row>
    <row r="22" spans="1:10" ht="26.25" x14ac:dyDescent="0.25">
      <c r="A22">
        <v>21</v>
      </c>
      <c r="B22" s="1" t="s">
        <v>61</v>
      </c>
      <c r="C22" s="1" t="s">
        <v>188</v>
      </c>
      <c r="D22" s="1">
        <v>20</v>
      </c>
      <c r="E22" s="2" t="s">
        <v>193</v>
      </c>
      <c r="G22" s="3" t="s">
        <v>11</v>
      </c>
      <c r="H22" s="2" t="s">
        <v>62</v>
      </c>
      <c r="I22" s="3" t="s">
        <v>10</v>
      </c>
      <c r="J22" s="3"/>
    </row>
    <row r="23" spans="1:10" ht="26.25" customHeight="1" x14ac:dyDescent="0.25">
      <c r="A23">
        <v>22</v>
      </c>
      <c r="B23" s="1" t="s">
        <v>63</v>
      </c>
      <c r="C23" s="1" t="s">
        <v>189</v>
      </c>
      <c r="D23" s="1">
        <v>3</v>
      </c>
      <c r="E23" s="2" t="s">
        <v>193</v>
      </c>
      <c r="F23" s="3"/>
      <c r="G23" s="3" t="s">
        <v>11</v>
      </c>
      <c r="H23" s="2" t="s">
        <v>64</v>
      </c>
      <c r="I23" s="3" t="s">
        <v>40</v>
      </c>
      <c r="J23" s="3"/>
    </row>
    <row r="24" spans="1:10" ht="26.25" customHeight="1" x14ac:dyDescent="0.25">
      <c r="A24">
        <v>23</v>
      </c>
      <c r="B24" s="1" t="s">
        <v>65</v>
      </c>
      <c r="C24" s="1" t="s">
        <v>188</v>
      </c>
      <c r="D24" s="1">
        <v>1</v>
      </c>
      <c r="E24" s="2" t="s">
        <v>193</v>
      </c>
      <c r="F24" s="3"/>
      <c r="G24" s="3" t="s">
        <v>11</v>
      </c>
      <c r="H24" s="2" t="s">
        <v>66</v>
      </c>
      <c r="I24" s="3" t="s">
        <v>67</v>
      </c>
      <c r="J24" s="3"/>
    </row>
    <row r="25" spans="1:10" ht="26.25" customHeight="1" x14ac:dyDescent="0.25">
      <c r="A25">
        <v>24</v>
      </c>
      <c r="B25" s="1" t="s">
        <v>68</v>
      </c>
      <c r="C25" s="1" t="s">
        <v>188</v>
      </c>
      <c r="D25" s="1">
        <v>3</v>
      </c>
      <c r="E25" s="2" t="s">
        <v>193</v>
      </c>
      <c r="F25" s="3" t="s">
        <v>70</v>
      </c>
      <c r="G25" s="3" t="s">
        <v>11</v>
      </c>
      <c r="H25" s="2" t="s">
        <v>69</v>
      </c>
      <c r="I25" s="3" t="s">
        <v>10</v>
      </c>
      <c r="J25" s="3"/>
    </row>
    <row r="26" spans="1:10" ht="26.25" customHeight="1" x14ac:dyDescent="0.25">
      <c r="A26" s="4">
        <v>25</v>
      </c>
      <c r="B26" s="1" t="s">
        <v>71</v>
      </c>
      <c r="C26" s="1" t="s">
        <v>189</v>
      </c>
      <c r="D26" s="1" t="s">
        <v>191</v>
      </c>
      <c r="E26" s="2" t="s">
        <v>193</v>
      </c>
      <c r="F26" s="3"/>
      <c r="G26" s="3" t="s">
        <v>11</v>
      </c>
      <c r="H26" s="2" t="s">
        <v>72</v>
      </c>
      <c r="I26" s="3" t="s">
        <v>60</v>
      </c>
      <c r="J26" s="3"/>
    </row>
    <row r="27" spans="1:10" s="3" customFormat="1" ht="26.25" customHeight="1" x14ac:dyDescent="0.25">
      <c r="A27">
        <v>26</v>
      </c>
      <c r="B27" s="1" t="s">
        <v>73</v>
      </c>
      <c r="C27" s="1" t="s">
        <v>188</v>
      </c>
      <c r="D27" s="1">
        <v>1</v>
      </c>
      <c r="E27" s="2" t="s">
        <v>193</v>
      </c>
      <c r="G27" s="3" t="s">
        <v>11</v>
      </c>
      <c r="H27" s="2" t="s">
        <v>74</v>
      </c>
      <c r="I27" s="3" t="s">
        <v>67</v>
      </c>
    </row>
    <row r="28" spans="1:10" s="3" customFormat="1" ht="26.25" customHeight="1" x14ac:dyDescent="0.25">
      <c r="A28">
        <v>27</v>
      </c>
      <c r="B28" s="1" t="s">
        <v>75</v>
      </c>
      <c r="C28" s="1" t="s">
        <v>189</v>
      </c>
      <c r="D28" s="1" t="s">
        <v>190</v>
      </c>
      <c r="E28" s="2" t="s">
        <v>193</v>
      </c>
      <c r="G28" s="3" t="s">
        <v>11</v>
      </c>
      <c r="H28" s="2" t="s">
        <v>76</v>
      </c>
      <c r="I28" s="3" t="s">
        <v>60</v>
      </c>
    </row>
    <row r="29" spans="1:10" s="3" customFormat="1" ht="26.25" customHeight="1" x14ac:dyDescent="0.25">
      <c r="A29">
        <v>28</v>
      </c>
      <c r="B29" s="1" t="s">
        <v>77</v>
      </c>
      <c r="C29" s="1" t="s">
        <v>188</v>
      </c>
      <c r="D29" s="1">
        <v>3</v>
      </c>
      <c r="E29" s="2" t="s">
        <v>193</v>
      </c>
      <c r="F29" s="3" t="s">
        <v>57</v>
      </c>
      <c r="G29" s="3" t="s">
        <v>11</v>
      </c>
      <c r="H29" s="2" t="s">
        <v>78</v>
      </c>
      <c r="I29" s="3" t="s">
        <v>10</v>
      </c>
    </row>
    <row r="30" spans="1:10" s="3" customFormat="1" ht="26.25" customHeight="1" x14ac:dyDescent="0.25">
      <c r="A30">
        <v>29</v>
      </c>
      <c r="B30" s="1" t="s">
        <v>79</v>
      </c>
      <c r="C30" s="1" t="s">
        <v>189</v>
      </c>
      <c r="D30" s="1" t="s">
        <v>190</v>
      </c>
      <c r="E30" s="2" t="s">
        <v>193</v>
      </c>
      <c r="G30" s="3" t="s">
        <v>11</v>
      </c>
      <c r="H30" s="2" t="s">
        <v>80</v>
      </c>
      <c r="I30" s="3" t="s">
        <v>60</v>
      </c>
    </row>
    <row r="31" spans="1:10" s="3" customFormat="1" ht="26.25" x14ac:dyDescent="0.25">
      <c r="A31">
        <v>30</v>
      </c>
      <c r="B31" s="1" t="s">
        <v>81</v>
      </c>
      <c r="C31" s="1" t="s">
        <v>188</v>
      </c>
      <c r="D31" s="1">
        <v>20</v>
      </c>
      <c r="E31" s="2" t="s">
        <v>193</v>
      </c>
      <c r="F31"/>
      <c r="G31" s="3" t="s">
        <v>11</v>
      </c>
      <c r="H31" s="2" t="s">
        <v>82</v>
      </c>
      <c r="I31" s="3" t="s">
        <v>10</v>
      </c>
    </row>
    <row r="32" spans="1:10" s="3" customFormat="1" ht="26.25" customHeight="1" x14ac:dyDescent="0.25">
      <c r="A32">
        <v>31</v>
      </c>
      <c r="B32" s="1" t="s">
        <v>83</v>
      </c>
      <c r="C32" s="1" t="s">
        <v>189</v>
      </c>
      <c r="D32" s="1">
        <v>3</v>
      </c>
      <c r="E32" s="2" t="s">
        <v>193</v>
      </c>
      <c r="G32" s="3" t="s">
        <v>11</v>
      </c>
      <c r="H32" s="2" t="s">
        <v>84</v>
      </c>
      <c r="I32" s="3" t="s">
        <v>40</v>
      </c>
    </row>
    <row r="33" spans="1:10" s="3" customFormat="1" ht="26.25" customHeight="1" x14ac:dyDescent="0.25">
      <c r="A33">
        <v>32</v>
      </c>
      <c r="B33" s="1" t="s">
        <v>85</v>
      </c>
      <c r="C33" s="1" t="s">
        <v>188</v>
      </c>
      <c r="D33" s="1">
        <v>1</v>
      </c>
      <c r="E33" s="2" t="s">
        <v>193</v>
      </c>
      <c r="G33" s="3" t="s">
        <v>11</v>
      </c>
      <c r="H33" s="2" t="s">
        <v>86</v>
      </c>
      <c r="I33" s="3" t="s">
        <v>67</v>
      </c>
    </row>
    <row r="34" spans="1:10" s="3" customFormat="1" ht="26.25" customHeight="1" x14ac:dyDescent="0.25">
      <c r="A34">
        <v>33</v>
      </c>
      <c r="B34" s="1" t="s">
        <v>87</v>
      </c>
      <c r="C34" s="1" t="s">
        <v>188</v>
      </c>
      <c r="D34" s="1">
        <v>3</v>
      </c>
      <c r="E34" s="2" t="s">
        <v>193</v>
      </c>
      <c r="F34" s="3" t="s">
        <v>70</v>
      </c>
      <c r="G34" s="3" t="s">
        <v>11</v>
      </c>
      <c r="H34" s="2" t="s">
        <v>88</v>
      </c>
      <c r="I34" s="3" t="s">
        <v>10</v>
      </c>
    </row>
    <row r="35" spans="1:10" s="3" customFormat="1" ht="26.25" customHeight="1" x14ac:dyDescent="0.25">
      <c r="A35">
        <v>34</v>
      </c>
      <c r="B35" s="1" t="s">
        <v>89</v>
      </c>
      <c r="C35" s="1" t="s">
        <v>189</v>
      </c>
      <c r="D35" s="1" t="s">
        <v>191</v>
      </c>
      <c r="E35" s="2" t="s">
        <v>193</v>
      </c>
      <c r="G35" s="3" t="s">
        <v>11</v>
      </c>
      <c r="H35" s="2" t="s">
        <v>90</v>
      </c>
      <c r="I35" s="3" t="s">
        <v>60</v>
      </c>
    </row>
    <row r="36" spans="1:10" s="3" customFormat="1" ht="26.25" customHeight="1" x14ac:dyDescent="0.25">
      <c r="A36" s="4">
        <v>35</v>
      </c>
      <c r="B36" s="1" t="s">
        <v>91</v>
      </c>
      <c r="C36" s="1" t="s">
        <v>188</v>
      </c>
      <c r="D36" s="1">
        <v>1</v>
      </c>
      <c r="E36" s="2" t="s">
        <v>193</v>
      </c>
      <c r="G36" s="3" t="s">
        <v>11</v>
      </c>
      <c r="H36" s="2" t="s">
        <v>92</v>
      </c>
      <c r="I36" s="3" t="s">
        <v>67</v>
      </c>
    </row>
    <row r="37" spans="1:10" s="3" customFormat="1" ht="26.25" customHeight="1" x14ac:dyDescent="0.25">
      <c r="A37">
        <v>36</v>
      </c>
      <c r="B37" s="1" t="s">
        <v>93</v>
      </c>
      <c r="C37" s="1" t="s">
        <v>189</v>
      </c>
      <c r="D37" s="1" t="s">
        <v>190</v>
      </c>
      <c r="E37" s="2" t="s">
        <v>193</v>
      </c>
      <c r="G37" s="3" t="s">
        <v>11</v>
      </c>
      <c r="H37" s="2" t="s">
        <v>94</v>
      </c>
      <c r="I37" s="3" t="s">
        <v>60</v>
      </c>
    </row>
    <row r="38" spans="1:10" s="3" customFormat="1" ht="26.25" customHeight="1" x14ac:dyDescent="0.25">
      <c r="A38">
        <v>37</v>
      </c>
      <c r="B38" s="1" t="s">
        <v>95</v>
      </c>
      <c r="C38" s="1" t="s">
        <v>188</v>
      </c>
      <c r="D38" s="1">
        <v>1</v>
      </c>
      <c r="E38" s="2" t="s">
        <v>193</v>
      </c>
      <c r="F38" s="3" t="s">
        <v>97</v>
      </c>
      <c r="G38" s="3" t="s">
        <v>11</v>
      </c>
      <c r="H38" s="2" t="s">
        <v>96</v>
      </c>
      <c r="I38" s="3" t="s">
        <v>10</v>
      </c>
    </row>
    <row r="39" spans="1:10" s="3" customFormat="1" ht="26.25" customHeight="1" x14ac:dyDescent="0.25">
      <c r="A39">
        <v>38</v>
      </c>
      <c r="B39" t="s">
        <v>98</v>
      </c>
      <c r="C39" t="s">
        <v>188</v>
      </c>
      <c r="D39" s="1">
        <v>1</v>
      </c>
      <c r="E39" s="2" t="s">
        <v>193</v>
      </c>
      <c r="G39" s="3" t="s">
        <v>11</v>
      </c>
      <c r="H39" s="2" t="s">
        <v>99</v>
      </c>
      <c r="I39" s="3" t="s">
        <v>67</v>
      </c>
    </row>
    <row r="40" spans="1:10" s="3" customFormat="1" ht="26.25" customHeight="1" x14ac:dyDescent="0.25">
      <c r="A40">
        <v>39</v>
      </c>
      <c r="B40" t="s">
        <v>100</v>
      </c>
      <c r="C40" s="1" t="s">
        <v>188</v>
      </c>
      <c r="D40" s="1">
        <v>1</v>
      </c>
      <c r="E40" s="2" t="s">
        <v>193</v>
      </c>
      <c r="F40" t="s">
        <v>102</v>
      </c>
      <c r="G40" s="3" t="s">
        <v>11</v>
      </c>
      <c r="H40" s="2" t="s">
        <v>101</v>
      </c>
      <c r="I40" s="3" t="s">
        <v>67</v>
      </c>
    </row>
    <row r="41" spans="1:10" s="3" customFormat="1" ht="26.25" customHeight="1" x14ac:dyDescent="0.25">
      <c r="A41">
        <v>40</v>
      </c>
      <c r="B41" s="1" t="s">
        <v>103</v>
      </c>
      <c r="C41" s="1" t="s">
        <v>189</v>
      </c>
      <c r="D41" s="1">
        <v>2</v>
      </c>
      <c r="E41" s="2" t="s">
        <v>193</v>
      </c>
      <c r="F41" s="3" t="s">
        <v>105</v>
      </c>
      <c r="G41" s="3" t="s">
        <v>11</v>
      </c>
      <c r="H41" s="2" t="s">
        <v>104</v>
      </c>
      <c r="I41" s="3" t="s">
        <v>27</v>
      </c>
    </row>
    <row r="42" spans="1:10" s="3" customFormat="1" ht="39" customHeight="1" x14ac:dyDescent="0.25">
      <c r="A42">
        <v>41</v>
      </c>
      <c r="B42" s="1" t="s">
        <v>106</v>
      </c>
      <c r="C42" s="1" t="s">
        <v>188</v>
      </c>
      <c r="D42" s="1">
        <v>20</v>
      </c>
      <c r="E42" s="2" t="s">
        <v>193</v>
      </c>
      <c r="G42" s="3" t="s">
        <v>11</v>
      </c>
      <c r="H42" s="2" t="s">
        <v>107</v>
      </c>
      <c r="I42" s="3" t="s">
        <v>67</v>
      </c>
    </row>
    <row r="43" spans="1:10" ht="39" customHeight="1" x14ac:dyDescent="0.25">
      <c r="A43">
        <v>42</v>
      </c>
      <c r="B43" s="1" t="s">
        <v>108</v>
      </c>
      <c r="C43" s="1" t="s">
        <v>189</v>
      </c>
      <c r="D43" s="1">
        <v>3</v>
      </c>
      <c r="E43" s="2" t="s">
        <v>193</v>
      </c>
      <c r="F43" s="3"/>
      <c r="G43" s="3" t="s">
        <v>11</v>
      </c>
      <c r="H43" s="2" t="s">
        <v>109</v>
      </c>
      <c r="I43" s="3" t="s">
        <v>40</v>
      </c>
      <c r="J43" s="3"/>
    </row>
    <row r="44" spans="1:10" ht="26.25" customHeight="1" x14ac:dyDescent="0.25">
      <c r="A44">
        <v>43</v>
      </c>
      <c r="B44" s="1" t="s">
        <v>110</v>
      </c>
      <c r="C44" s="1" t="s">
        <v>189</v>
      </c>
      <c r="D44" s="1">
        <v>2</v>
      </c>
      <c r="E44" s="2" t="s">
        <v>193</v>
      </c>
      <c r="F44" s="3" t="s">
        <v>112</v>
      </c>
      <c r="G44" s="3" t="s">
        <v>11</v>
      </c>
      <c r="H44" s="2" t="s">
        <v>111</v>
      </c>
      <c r="I44" s="3" t="s">
        <v>27</v>
      </c>
      <c r="J44" s="3"/>
    </row>
    <row r="45" spans="1:10" ht="26.25" customHeight="1" x14ac:dyDescent="0.25">
      <c r="A45">
        <v>44</v>
      </c>
      <c r="B45" s="1" t="s">
        <v>113</v>
      </c>
      <c r="C45" s="1" t="s">
        <v>188</v>
      </c>
      <c r="D45" s="1">
        <v>6</v>
      </c>
      <c r="E45" s="2" t="s">
        <v>193</v>
      </c>
      <c r="F45" s="3" t="s">
        <v>115</v>
      </c>
      <c r="G45" s="3" t="s">
        <v>11</v>
      </c>
      <c r="H45" s="2" t="s">
        <v>114</v>
      </c>
      <c r="I45" s="3" t="s">
        <v>10</v>
      </c>
      <c r="J45" s="3"/>
    </row>
    <row r="46" spans="1:10" ht="26.25" customHeight="1" x14ac:dyDescent="0.25">
      <c r="A46" s="4">
        <v>45</v>
      </c>
      <c r="B46" s="1" t="s">
        <v>116</v>
      </c>
      <c r="C46" s="1" t="s">
        <v>189</v>
      </c>
      <c r="D46" s="1">
        <v>2</v>
      </c>
      <c r="E46" s="2" t="s">
        <v>193</v>
      </c>
      <c r="F46" s="3" t="s">
        <v>118</v>
      </c>
      <c r="G46" s="3" t="s">
        <v>11</v>
      </c>
      <c r="H46" s="2" t="s">
        <v>117</v>
      </c>
      <c r="I46" s="3" t="s">
        <v>27</v>
      </c>
      <c r="J46" s="3"/>
    </row>
    <row r="47" spans="1:10" ht="26.25" customHeight="1" x14ac:dyDescent="0.25">
      <c r="A47">
        <v>46</v>
      </c>
      <c r="B47" s="1" t="s">
        <v>119</v>
      </c>
      <c r="C47" s="1" t="s">
        <v>188</v>
      </c>
      <c r="D47" s="1">
        <v>6</v>
      </c>
      <c r="E47" s="2" t="s">
        <v>193</v>
      </c>
      <c r="F47" t="s">
        <v>199</v>
      </c>
      <c r="G47" s="3" t="s">
        <v>11</v>
      </c>
      <c r="H47" s="2" t="s">
        <v>120</v>
      </c>
      <c r="I47" s="3" t="s">
        <v>10</v>
      </c>
    </row>
    <row r="48" spans="1:10" ht="26.25" customHeight="1" x14ac:dyDescent="0.25">
      <c r="A48">
        <v>47</v>
      </c>
      <c r="B48" t="s">
        <v>121</v>
      </c>
      <c r="C48" t="s">
        <v>188</v>
      </c>
      <c r="D48" s="1">
        <v>34</v>
      </c>
      <c r="E48" s="3" t="s">
        <v>193</v>
      </c>
      <c r="F48" s="3"/>
      <c r="G48" s="3" t="s">
        <v>11</v>
      </c>
      <c r="H48" s="2" t="s">
        <v>122</v>
      </c>
      <c r="I48" s="3" t="s">
        <v>67</v>
      </c>
      <c r="J48" s="3"/>
    </row>
    <row r="49" spans="1:11" ht="45" x14ac:dyDescent="0.25">
      <c r="A49">
        <v>48</v>
      </c>
      <c r="B49" t="s">
        <v>123</v>
      </c>
      <c r="C49" t="s">
        <v>188</v>
      </c>
      <c r="D49" s="1">
        <v>34</v>
      </c>
      <c r="E49" s="3" t="s">
        <v>129</v>
      </c>
      <c r="F49" s="3"/>
      <c r="G49" s="3" t="s">
        <v>11</v>
      </c>
      <c r="H49" s="2" t="s">
        <v>124</v>
      </c>
      <c r="I49" s="3" t="s">
        <v>67</v>
      </c>
      <c r="J49" s="3"/>
      <c r="K49" s="3" t="s">
        <v>125</v>
      </c>
    </row>
    <row r="50" spans="1:11" ht="26.25" customHeight="1" x14ac:dyDescent="0.25">
      <c r="A50">
        <v>49</v>
      </c>
      <c r="B50" t="s">
        <v>126</v>
      </c>
      <c r="C50" t="s">
        <v>188</v>
      </c>
      <c r="D50" s="1">
        <v>34</v>
      </c>
      <c r="E50" s="3" t="s">
        <v>193</v>
      </c>
      <c r="F50" s="3"/>
      <c r="G50" s="3" t="s">
        <v>11</v>
      </c>
      <c r="H50" s="2" t="s">
        <v>127</v>
      </c>
      <c r="I50" s="3" t="s">
        <v>67</v>
      </c>
      <c r="J50" s="3"/>
    </row>
    <row r="51" spans="1:11" ht="44.1" customHeight="1" x14ac:dyDescent="0.25">
      <c r="A51">
        <v>50</v>
      </c>
      <c r="B51" t="s">
        <v>128</v>
      </c>
      <c r="C51" t="s">
        <v>188</v>
      </c>
      <c r="D51" s="1">
        <v>5</v>
      </c>
      <c r="E51" s="3" t="s">
        <v>129</v>
      </c>
      <c r="F51" s="3" t="s">
        <v>131</v>
      </c>
      <c r="G51" s="3" t="s">
        <v>11</v>
      </c>
      <c r="H51" s="2" t="s">
        <v>130</v>
      </c>
      <c r="I51" s="3" t="s">
        <v>10</v>
      </c>
      <c r="J51" s="3"/>
      <c r="K51" s="3" t="s">
        <v>132</v>
      </c>
    </row>
    <row r="52" spans="1:11" ht="15" customHeight="1" x14ac:dyDescent="0.25">
      <c r="A52">
        <f>+A51+1</f>
        <v>51</v>
      </c>
      <c r="B52" t="s">
        <v>133</v>
      </c>
      <c r="C52" t="s">
        <v>188</v>
      </c>
      <c r="D52" s="1">
        <v>1</v>
      </c>
      <c r="E52" t="s">
        <v>195</v>
      </c>
      <c r="F52" s="3" t="s">
        <v>135</v>
      </c>
      <c r="G52" s="3" t="s">
        <v>11</v>
      </c>
      <c r="H52" s="2" t="s">
        <v>134</v>
      </c>
      <c r="I52" s="3" t="s">
        <v>10</v>
      </c>
      <c r="J52" s="3"/>
    </row>
    <row r="53" spans="1:11" ht="15" customHeight="1" x14ac:dyDescent="0.25">
      <c r="A53">
        <f t="shared" ref="A53:A72" si="0">+A52+1</f>
        <v>52</v>
      </c>
      <c r="B53" t="s">
        <v>136</v>
      </c>
      <c r="C53" t="s">
        <v>189</v>
      </c>
      <c r="D53" s="1">
        <v>15</v>
      </c>
      <c r="E53" t="s">
        <v>195</v>
      </c>
      <c r="F53" s="3"/>
      <c r="G53" s="3" t="s">
        <v>11</v>
      </c>
      <c r="H53" s="2" t="s">
        <v>137</v>
      </c>
      <c r="I53" s="3" t="s">
        <v>40</v>
      </c>
      <c r="J53" s="3"/>
      <c r="K53" s="3" t="s">
        <v>138</v>
      </c>
    </row>
    <row r="54" spans="1:11" ht="15" customHeight="1" x14ac:dyDescent="0.25">
      <c r="A54">
        <f t="shared" si="0"/>
        <v>53</v>
      </c>
      <c r="B54" t="s">
        <v>139</v>
      </c>
      <c r="C54" t="s">
        <v>188</v>
      </c>
      <c r="D54" s="1">
        <v>3</v>
      </c>
      <c r="E54" t="s">
        <v>195</v>
      </c>
      <c r="F54" s="3" t="s">
        <v>44</v>
      </c>
      <c r="G54" s="3" t="s">
        <v>11</v>
      </c>
      <c r="H54" s="2" t="s">
        <v>140</v>
      </c>
      <c r="I54" s="3" t="s">
        <v>10</v>
      </c>
      <c r="J54" s="3"/>
    </row>
    <row r="55" spans="1:11" ht="26.25" customHeight="1" x14ac:dyDescent="0.25">
      <c r="A55">
        <f t="shared" si="0"/>
        <v>54</v>
      </c>
      <c r="B55" t="s">
        <v>141</v>
      </c>
      <c r="C55" t="s">
        <v>189</v>
      </c>
      <c r="D55" s="1">
        <v>15</v>
      </c>
      <c r="E55" t="s">
        <v>195</v>
      </c>
      <c r="F55" s="3"/>
      <c r="G55" s="3" t="s">
        <v>11</v>
      </c>
      <c r="H55" s="2" t="s">
        <v>142</v>
      </c>
      <c r="I55" s="3" t="s">
        <v>40</v>
      </c>
      <c r="J55" s="3"/>
      <c r="K55" s="3" t="s">
        <v>138</v>
      </c>
    </row>
    <row r="56" spans="1:11" ht="15" customHeight="1" x14ac:dyDescent="0.25">
      <c r="A56">
        <f t="shared" si="0"/>
        <v>55</v>
      </c>
      <c r="B56" t="s">
        <v>143</v>
      </c>
      <c r="C56" t="s">
        <v>188</v>
      </c>
      <c r="D56" s="1">
        <v>3</v>
      </c>
      <c r="E56" t="s">
        <v>195</v>
      </c>
      <c r="F56" s="3" t="s">
        <v>44</v>
      </c>
      <c r="G56" s="3" t="s">
        <v>11</v>
      </c>
      <c r="H56" s="2" t="s">
        <v>144</v>
      </c>
      <c r="I56" s="3" t="s">
        <v>10</v>
      </c>
      <c r="J56" s="3"/>
    </row>
    <row r="57" spans="1:11" ht="15" customHeight="1" x14ac:dyDescent="0.25">
      <c r="A57">
        <f t="shared" si="0"/>
        <v>56</v>
      </c>
      <c r="B57" t="s">
        <v>145</v>
      </c>
      <c r="C57" t="s">
        <v>188</v>
      </c>
      <c r="D57" s="1">
        <v>1</v>
      </c>
      <c r="E57" t="s">
        <v>196</v>
      </c>
      <c r="F57" s="3"/>
      <c r="G57" s="3" t="s">
        <v>11</v>
      </c>
      <c r="H57" s="2" t="s">
        <v>146</v>
      </c>
      <c r="I57" s="3" t="s">
        <v>67</v>
      </c>
      <c r="J57" s="3"/>
    </row>
    <row r="58" spans="1:11" ht="15" customHeight="1" x14ac:dyDescent="0.25">
      <c r="A58">
        <f t="shared" si="0"/>
        <v>57</v>
      </c>
      <c r="B58" t="s">
        <v>147</v>
      </c>
      <c r="C58" t="s">
        <v>184</v>
      </c>
      <c r="D58" s="1" t="s">
        <v>185</v>
      </c>
      <c r="E58" t="s">
        <v>196</v>
      </c>
      <c r="F58" s="3"/>
      <c r="G58" s="3" t="s">
        <v>11</v>
      </c>
      <c r="H58" s="2" t="s">
        <v>148</v>
      </c>
      <c r="I58" s="3" t="s">
        <v>16</v>
      </c>
      <c r="J58" s="3"/>
    </row>
    <row r="59" spans="1:11" ht="15" customHeight="1" x14ac:dyDescent="0.25">
      <c r="A59">
        <f t="shared" si="0"/>
        <v>58</v>
      </c>
      <c r="B59" t="s">
        <v>149</v>
      </c>
      <c r="C59" t="s">
        <v>184</v>
      </c>
      <c r="D59" s="1" t="s">
        <v>185</v>
      </c>
      <c r="E59" t="s">
        <v>196</v>
      </c>
      <c r="F59" s="3"/>
      <c r="G59" s="3" t="s">
        <v>11</v>
      </c>
      <c r="H59" s="2" t="s">
        <v>150</v>
      </c>
      <c r="I59" s="3" t="s">
        <v>16</v>
      </c>
      <c r="J59" s="3"/>
    </row>
    <row r="60" spans="1:11" ht="26.25" customHeight="1" x14ac:dyDescent="0.25">
      <c r="A60">
        <f t="shared" si="0"/>
        <v>59</v>
      </c>
      <c r="B60" t="s">
        <v>151</v>
      </c>
      <c r="C60" t="s">
        <v>189</v>
      </c>
      <c r="D60" s="1">
        <v>15</v>
      </c>
      <c r="E60" t="s">
        <v>196</v>
      </c>
      <c r="F60" s="3"/>
      <c r="G60" s="3" t="s">
        <v>11</v>
      </c>
      <c r="H60" s="2" t="s">
        <v>152</v>
      </c>
      <c r="I60" s="3" t="s">
        <v>40</v>
      </c>
      <c r="J60" s="3"/>
    </row>
    <row r="61" spans="1:11" ht="26.25" customHeight="1" x14ac:dyDescent="0.25">
      <c r="A61">
        <f t="shared" si="0"/>
        <v>60</v>
      </c>
      <c r="B61" s="7" t="s">
        <v>153</v>
      </c>
      <c r="C61" s="1" t="s">
        <v>188</v>
      </c>
      <c r="D61" s="1">
        <v>3</v>
      </c>
      <c r="E61" s="7" t="s">
        <v>196</v>
      </c>
      <c r="F61" s="3" t="s">
        <v>44</v>
      </c>
      <c r="G61" s="3" t="s">
        <v>11</v>
      </c>
      <c r="H61" s="2" t="s">
        <v>154</v>
      </c>
      <c r="I61" s="3" t="s">
        <v>10</v>
      </c>
      <c r="J61" s="3"/>
    </row>
    <row r="62" spans="1:11" ht="15" customHeight="1" x14ac:dyDescent="0.25">
      <c r="A62">
        <f t="shared" si="0"/>
        <v>61</v>
      </c>
      <c r="B62" s="7" t="s">
        <v>155</v>
      </c>
      <c r="C62" s="1" t="s">
        <v>189</v>
      </c>
      <c r="D62" s="1">
        <v>15</v>
      </c>
      <c r="E62" s="7" t="s">
        <v>196</v>
      </c>
      <c r="F62" s="3"/>
      <c r="G62" s="3" t="s">
        <v>11</v>
      </c>
      <c r="H62" s="2" t="s">
        <v>156</v>
      </c>
      <c r="I62" s="3" t="s">
        <v>40</v>
      </c>
      <c r="J62" s="3"/>
    </row>
    <row r="63" spans="1:11" ht="26.25" customHeight="1" x14ac:dyDescent="0.25">
      <c r="A63">
        <f t="shared" si="0"/>
        <v>62</v>
      </c>
      <c r="B63" s="7" t="s">
        <v>157</v>
      </c>
      <c r="C63" s="1" t="s">
        <v>189</v>
      </c>
      <c r="D63" s="1">
        <v>15</v>
      </c>
      <c r="E63" s="7" t="s">
        <v>196</v>
      </c>
      <c r="F63" s="3"/>
      <c r="G63" s="3" t="s">
        <v>11</v>
      </c>
      <c r="H63" s="2" t="s">
        <v>158</v>
      </c>
      <c r="I63" s="3" t="s">
        <v>40</v>
      </c>
      <c r="J63" s="3"/>
    </row>
    <row r="64" spans="1:11" ht="26.25" customHeight="1" x14ac:dyDescent="0.25">
      <c r="A64">
        <f t="shared" si="0"/>
        <v>63</v>
      </c>
      <c r="B64" s="7" t="s">
        <v>159</v>
      </c>
      <c r="C64" s="1" t="s">
        <v>189</v>
      </c>
      <c r="D64" s="1">
        <v>15</v>
      </c>
      <c r="E64" s="7" t="s">
        <v>196</v>
      </c>
      <c r="F64" s="3"/>
      <c r="G64" s="3" t="s">
        <v>11</v>
      </c>
      <c r="H64" s="2" t="s">
        <v>160</v>
      </c>
      <c r="I64" s="3" t="s">
        <v>40</v>
      </c>
      <c r="J64" s="3"/>
    </row>
    <row r="65" spans="1:11" ht="26.25" customHeight="1" x14ac:dyDescent="0.25">
      <c r="A65">
        <f t="shared" si="0"/>
        <v>64</v>
      </c>
      <c r="B65" s="1" t="s">
        <v>161</v>
      </c>
      <c r="C65" s="1" t="s">
        <v>188</v>
      </c>
      <c r="D65" s="1">
        <v>1</v>
      </c>
      <c r="E65" s="1" t="s">
        <v>196</v>
      </c>
      <c r="F65" t="s">
        <v>163</v>
      </c>
      <c r="G65" s="3" t="s">
        <v>11</v>
      </c>
      <c r="H65" s="2" t="s">
        <v>162</v>
      </c>
      <c r="I65" s="3" t="s">
        <v>67</v>
      </c>
      <c r="J65" s="3"/>
    </row>
    <row r="66" spans="1:11" ht="26.25" customHeight="1" x14ac:dyDescent="0.25">
      <c r="A66">
        <f t="shared" si="0"/>
        <v>65</v>
      </c>
      <c r="B66" s="1" t="s">
        <v>164</v>
      </c>
      <c r="C66" s="1" t="s">
        <v>189</v>
      </c>
      <c r="D66" s="1">
        <v>1</v>
      </c>
      <c r="E66" s="1" t="s">
        <v>196</v>
      </c>
      <c r="F66" s="3" t="s">
        <v>166</v>
      </c>
      <c r="G66" s="3" t="s">
        <v>11</v>
      </c>
      <c r="H66" s="2" t="s">
        <v>165</v>
      </c>
      <c r="I66" s="3" t="s">
        <v>27</v>
      </c>
      <c r="J66" s="3"/>
    </row>
    <row r="67" spans="1:11" ht="26.25" customHeight="1" x14ac:dyDescent="0.25">
      <c r="A67">
        <f t="shared" si="0"/>
        <v>66</v>
      </c>
      <c r="B67" t="s">
        <v>167</v>
      </c>
      <c r="C67" s="1" t="s">
        <v>188</v>
      </c>
      <c r="D67" s="1">
        <v>2</v>
      </c>
      <c r="E67" s="1" t="s">
        <v>196</v>
      </c>
      <c r="F67" t="s">
        <v>169</v>
      </c>
      <c r="G67" s="3" t="s">
        <v>11</v>
      </c>
      <c r="H67" s="2" t="s">
        <v>168</v>
      </c>
      <c r="I67" s="3" t="s">
        <v>67</v>
      </c>
      <c r="J67" s="3"/>
    </row>
    <row r="68" spans="1:11" ht="15" customHeight="1" x14ac:dyDescent="0.25">
      <c r="A68">
        <f t="shared" si="0"/>
        <v>67</v>
      </c>
      <c r="B68" s="7" t="s">
        <v>170</v>
      </c>
      <c r="C68" s="1" t="s">
        <v>188</v>
      </c>
      <c r="D68" s="1">
        <v>34</v>
      </c>
      <c r="E68" s="1" t="s">
        <v>196</v>
      </c>
      <c r="F68" s="3"/>
      <c r="G68" s="3" t="s">
        <v>11</v>
      </c>
      <c r="H68" s="8" t="s">
        <v>171</v>
      </c>
      <c r="I68" s="3" t="s">
        <v>67</v>
      </c>
      <c r="J68" s="3"/>
    </row>
    <row r="69" spans="1:11" ht="30" customHeight="1" x14ac:dyDescent="0.25">
      <c r="A69">
        <f t="shared" si="0"/>
        <v>68</v>
      </c>
      <c r="B69" s="9" t="s">
        <v>172</v>
      </c>
      <c r="C69" s="1" t="s">
        <v>188</v>
      </c>
      <c r="D69" s="1">
        <v>52</v>
      </c>
      <c r="E69" s="9" t="s">
        <v>196</v>
      </c>
      <c r="F69" s="3"/>
      <c r="G69" s="3" t="s">
        <v>175</v>
      </c>
      <c r="H69" s="2" t="s">
        <v>173</v>
      </c>
      <c r="I69" s="3" t="s">
        <v>174</v>
      </c>
      <c r="J69" s="3" t="s">
        <v>176</v>
      </c>
      <c r="K69" s="3" t="s">
        <v>177</v>
      </c>
    </row>
    <row r="70" spans="1:11" ht="90" x14ac:dyDescent="0.25">
      <c r="A70">
        <f t="shared" si="0"/>
        <v>69</v>
      </c>
      <c r="B70" s="1" t="s">
        <v>178</v>
      </c>
      <c r="C70" s="1" t="s">
        <v>188</v>
      </c>
      <c r="D70" s="1">
        <v>52</v>
      </c>
      <c r="E70" s="2" t="s">
        <v>197</v>
      </c>
      <c r="F70" s="3"/>
      <c r="G70" s="3" t="s">
        <v>11</v>
      </c>
      <c r="H70" s="2" t="s">
        <v>179</v>
      </c>
      <c r="I70" s="3" t="s">
        <v>174</v>
      </c>
      <c r="J70" s="3"/>
    </row>
    <row r="71" spans="1:11" ht="39" x14ac:dyDescent="0.25">
      <c r="A71">
        <f t="shared" si="0"/>
        <v>70</v>
      </c>
      <c r="B71" s="7" t="s">
        <v>180</v>
      </c>
      <c r="C71" s="1" t="s">
        <v>188</v>
      </c>
      <c r="D71" s="1">
        <v>12</v>
      </c>
      <c r="E71" s="8" t="s">
        <v>198</v>
      </c>
      <c r="F71" s="3"/>
      <c r="G71" s="3" t="s">
        <v>11</v>
      </c>
      <c r="H71" s="2" t="s">
        <v>181</v>
      </c>
      <c r="I71" s="3" t="s">
        <v>182</v>
      </c>
      <c r="J71" s="3"/>
    </row>
    <row r="72" spans="1:11" ht="26.25" x14ac:dyDescent="0.25">
      <c r="A72">
        <f t="shared" si="0"/>
        <v>71</v>
      </c>
      <c r="B72" s="10" t="s">
        <v>183</v>
      </c>
      <c r="C72" s="1" t="s">
        <v>184</v>
      </c>
      <c r="D72" s="1" t="str">
        <f t="shared" ref="D72" si="1">IFERROR(MID($C72,FIND("(",$C72)+1,FIND(")",$C72)-FIND("(",$C72)-1),"")</f>
        <v/>
      </c>
      <c r="E72" s="11" t="s">
        <v>185</v>
      </c>
      <c r="F72" s="3"/>
      <c r="G72" s="3" t="s">
        <v>11</v>
      </c>
      <c r="H72" s="12"/>
      <c r="I72" s="13" t="s">
        <v>186</v>
      </c>
      <c r="J72" s="3"/>
    </row>
    <row r="74" spans="1:11" x14ac:dyDescent="0.25">
      <c r="K7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2026-07-04T22:41:08Z</dcterms:created>
  <dcterms:modified xsi:type="dcterms:W3CDTF">2026-07-14T02:17:18Z</dcterms:modified>
</cp:coreProperties>
</file>