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Layouts que nos mandan por fuera/"/>
    </mc:Choice>
  </mc:AlternateContent>
  <xr:revisionPtr revIDLastSave="0" documentId="8_{D6689A30-1B2B-4BEE-ABB8-8AAFDE4422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ayout I_V" sheetId="5" r:id="rId1"/>
    <sheet name="ORIGEN y SALIDA" sheetId="7" r:id="rId2"/>
    <sheet name="REGLAS_NEGOCIO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7" l="1"/>
  <c r="T13" i="7" s="1"/>
  <c r="U13" i="7" s="1"/>
  <c r="V13" i="7" s="1"/>
  <c r="W13" i="7" s="1"/>
  <c r="M13" i="7"/>
  <c r="S12" i="7"/>
  <c r="T12" i="7" s="1"/>
  <c r="U12" i="7" s="1"/>
  <c r="V12" i="7" s="1"/>
  <c r="W12" i="7" s="1"/>
  <c r="M12" i="7"/>
  <c r="S11" i="7"/>
  <c r="T11" i="7" s="1"/>
  <c r="U11" i="7" s="1"/>
  <c r="V11" i="7" s="1"/>
  <c r="W11" i="7" s="1"/>
  <c r="X11" i="7" s="1"/>
  <c r="M11" i="7"/>
  <c r="S10" i="7"/>
  <c r="T10" i="7" s="1"/>
  <c r="U10" i="7" s="1"/>
  <c r="V10" i="7" s="1"/>
  <c r="W10" i="7" s="1"/>
  <c r="Y10" i="7" s="1"/>
  <c r="Z10" i="7" s="1"/>
  <c r="AA10" i="7" s="1"/>
  <c r="AB10" i="7" s="1"/>
  <c r="AC10" i="7" s="1"/>
  <c r="AD10" i="7" s="1"/>
  <c r="M10" i="7"/>
  <c r="S9" i="7"/>
  <c r="T9" i="7" s="1"/>
  <c r="U9" i="7" s="1"/>
  <c r="V9" i="7" s="1"/>
  <c r="W9" i="7" s="1"/>
  <c r="M9" i="7"/>
  <c r="S8" i="7"/>
  <c r="T8" i="7" s="1"/>
  <c r="U8" i="7" s="1"/>
  <c r="V8" i="7" s="1"/>
  <c r="W8" i="7" s="1"/>
  <c r="M8" i="7"/>
  <c r="S7" i="7"/>
  <c r="T7" i="7" s="1"/>
  <c r="U7" i="7" s="1"/>
  <c r="V7" i="7" s="1"/>
  <c r="W7" i="7" s="1"/>
  <c r="M7" i="7"/>
  <c r="S6" i="7"/>
  <c r="T6" i="7" s="1"/>
  <c r="U6" i="7" s="1"/>
  <c r="V6" i="7" s="1"/>
  <c r="W6" i="7" s="1"/>
  <c r="M6" i="7"/>
  <c r="S5" i="7"/>
  <c r="T5" i="7" s="1"/>
  <c r="U5" i="7" s="1"/>
  <c r="V5" i="7" s="1"/>
  <c r="W5" i="7" s="1"/>
  <c r="M5" i="7"/>
  <c r="S4" i="7"/>
  <c r="T4" i="7" s="1"/>
  <c r="U4" i="7" s="1"/>
  <c r="V4" i="7" s="1"/>
  <c r="W4" i="7" s="1"/>
  <c r="M4" i="7"/>
  <c r="Y3" i="7"/>
  <c r="Z3" i="7" s="1"/>
  <c r="AA3" i="7" s="1"/>
  <c r="AB3" i="7" s="1"/>
  <c r="AC3" i="7" s="1"/>
  <c r="AD3" i="7" s="1"/>
  <c r="X3" i="7"/>
  <c r="S3" i="7"/>
  <c r="T3" i="7" s="1"/>
  <c r="U3" i="7" s="1"/>
  <c r="V3" i="7" s="1"/>
  <c r="M3" i="7"/>
  <c r="Y7" i="7" l="1"/>
  <c r="Z7" i="7" s="1"/>
  <c r="AA7" i="7" s="1"/>
  <c r="AB7" i="7" s="1"/>
  <c r="AC7" i="7" s="1"/>
  <c r="AD7" i="7" s="1"/>
  <c r="X7" i="7"/>
  <c r="Y8" i="7"/>
  <c r="Z8" i="7" s="1"/>
  <c r="AA8" i="7" s="1"/>
  <c r="AB8" i="7" s="1"/>
  <c r="AC8" i="7" s="1"/>
  <c r="AD8" i="7" s="1"/>
  <c r="X8" i="7"/>
  <c r="Y9" i="7"/>
  <c r="Z9" i="7" s="1"/>
  <c r="AA9" i="7" s="1"/>
  <c r="AB9" i="7" s="1"/>
  <c r="AC9" i="7" s="1"/>
  <c r="AD9" i="7" s="1"/>
  <c r="X9" i="7"/>
  <c r="Y4" i="7"/>
  <c r="Z4" i="7" s="1"/>
  <c r="AA4" i="7" s="1"/>
  <c r="AB4" i="7" s="1"/>
  <c r="AC4" i="7" s="1"/>
  <c r="AD4" i="7" s="1"/>
  <c r="X4" i="7"/>
  <c r="Y5" i="7"/>
  <c r="Z5" i="7" s="1"/>
  <c r="AA5" i="7" s="1"/>
  <c r="AB5" i="7" s="1"/>
  <c r="AC5" i="7" s="1"/>
  <c r="AD5" i="7" s="1"/>
  <c r="X5" i="7"/>
  <c r="Y6" i="7"/>
  <c r="Z6" i="7" s="1"/>
  <c r="AA6" i="7" s="1"/>
  <c r="AB6" i="7" s="1"/>
  <c r="AC6" i="7" s="1"/>
  <c r="AD6" i="7" s="1"/>
  <c r="X6" i="7"/>
  <c r="X10" i="7"/>
  <c r="Y12" i="7"/>
  <c r="Z12" i="7" s="1"/>
  <c r="AA12" i="7" s="1"/>
  <c r="AB12" i="7" s="1"/>
  <c r="AC12" i="7" s="1"/>
  <c r="AD12" i="7" s="1"/>
  <c r="X12" i="7"/>
  <c r="Y11" i="7"/>
  <c r="Z11" i="7" s="1"/>
  <c r="AA11" i="7" s="1"/>
  <c r="AB11" i="7" s="1"/>
  <c r="AC11" i="7" s="1"/>
  <c r="AD11" i="7" s="1"/>
  <c r="Y13" i="7"/>
  <c r="Z13" i="7" s="1"/>
  <c r="AA13" i="7" s="1"/>
  <c r="AB13" i="7" s="1"/>
  <c r="AC13" i="7" s="1"/>
  <c r="AD13" i="7" s="1"/>
  <c r="X13" i="7"/>
  <c r="B1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Belem Alvarado Sandoval</author>
  </authors>
  <commentList>
    <comment ref="B17" authorId="0" shapeId="0" xr:uid="{C1F48368-DF7D-407B-B66A-6577B84742D1}">
      <text>
        <r>
          <rPr>
            <b/>
            <sz val="9"/>
            <color indexed="81"/>
            <rFont val="Tahoma"/>
            <family val="2"/>
          </rPr>
          <t>Belem Alvarado Sandoval:</t>
        </r>
        <r>
          <rPr>
            <sz val="9"/>
            <color indexed="81"/>
            <rFont val="Tahoma"/>
            <family val="2"/>
          </rPr>
          <t xml:space="preserve">
Depende del tipo de operación realizada (Compra de Spots, Compra de Forwards, Venta de Spots, Venta de Forwards, etc) Revisar cuadro de clasificación.</t>
        </r>
      </text>
    </comment>
    <comment ref="G17" authorId="0" shapeId="0" xr:uid="{1F5EFB20-31CC-4474-8CC8-9CBEB4804497}">
      <text>
        <r>
          <rPr>
            <b/>
            <sz val="9"/>
            <color indexed="81"/>
            <rFont val="Tahoma"/>
            <family val="2"/>
          </rPr>
          <t>Belem Alvarado Sandoval:</t>
        </r>
        <r>
          <rPr>
            <sz val="9"/>
            <color indexed="81"/>
            <rFont val="Tahoma"/>
            <family val="2"/>
          </rPr>
          <t xml:space="preserve">
Siempre deberá ser USD.</t>
        </r>
      </text>
    </comment>
    <comment ref="B19" authorId="0" shapeId="0" xr:uid="{9E509904-7769-4698-ADF5-009A56B3990B}">
      <text>
        <r>
          <rPr>
            <b/>
            <sz val="9"/>
            <color indexed="81"/>
            <rFont val="Tahoma"/>
            <family val="2"/>
          </rPr>
          <t>Belem Alvarado Sandoval:</t>
        </r>
        <r>
          <rPr>
            <sz val="9"/>
            <color indexed="81"/>
            <rFont val="Tahoma"/>
            <family val="2"/>
          </rPr>
          <t xml:space="preserve">
Se clasifica de acuerdo al cuadro referido.</t>
        </r>
      </text>
    </comment>
  </commentList>
</comments>
</file>

<file path=xl/sharedStrings.xml><?xml version="1.0" encoding="utf-8"?>
<sst xmlns="http://schemas.openxmlformats.org/spreadsheetml/2006/main" count="267" uniqueCount="117">
  <si>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</si>
  <si>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</si>
  <si>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</si>
  <si>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</si>
  <si>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</si>
  <si>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</si>
  <si>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</si>
  <si>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</si>
  <si>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</si>
  <si>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</si>
  <si>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</si>
  <si>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</si>
  <si>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</si>
  <si>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</si>
  <si>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TIPO_OPERACION</t>
  </si>
  <si>
    <t>TEXTO</t>
  </si>
  <si>
    <t>4</t>
  </si>
  <si>
    <t>Catalogo</t>
  </si>
  <si>
    <t>OPERACIONES</t>
  </si>
  <si>
    <t>ACLME I-V</t>
  </si>
  <si>
    <t xml:space="preserve">Tipo de operación </t>
  </si>
  <si>
    <t>Operation type</t>
  </si>
  <si>
    <t/>
  </si>
  <si>
    <t>AMORTIZACION</t>
  </si>
  <si>
    <t>NUMERICO</t>
  </si>
  <si>
    <t>5,0</t>
  </si>
  <si>
    <t>Numero de amortización</t>
  </si>
  <si>
    <t>Amorthization number</t>
  </si>
  <si>
    <t>IMPORTE_AMORTIZACION</t>
  </si>
  <si>
    <t>18,6</t>
  </si>
  <si>
    <t>Importe de la amortización</t>
  </si>
  <si>
    <t>Amount of amorthization</t>
  </si>
  <si>
    <t>FECHA_AMORTIZACION</t>
  </si>
  <si>
    <t>FECHA</t>
  </si>
  <si>
    <t>AAAA/MM/DD</t>
  </si>
  <si>
    <t>Fecha de la amortización</t>
  </si>
  <si>
    <t>Date of amorthization</t>
  </si>
  <si>
    <t>NUMERO_IDENTIFICACION</t>
  </si>
  <si>
    <t>20</t>
  </si>
  <si>
    <t>Numero de identificacion de la operación</t>
  </si>
  <si>
    <t>Trade or transaction ID</t>
  </si>
  <si>
    <t>MONEDA</t>
  </si>
  <si>
    <t>3</t>
  </si>
  <si>
    <t>Clave Moneda</t>
  </si>
  <si>
    <t>Currency Code</t>
  </si>
  <si>
    <t>RESERVAS</t>
  </si>
  <si>
    <t>Importe de las reservas</t>
  </si>
  <si>
    <t>Reserve Amount</t>
  </si>
  <si>
    <t>FECHA_INFO</t>
  </si>
  <si>
    <t>Fecha a la que corresponde la información del reporte</t>
  </si>
  <si>
    <t>Date of the report</t>
  </si>
  <si>
    <t>Depósitos en Bancos Mexicanos</t>
  </si>
  <si>
    <t>USD</t>
  </si>
  <si>
    <t>FX2516369351</t>
  </si>
  <si>
    <t>FX2519610393</t>
  </si>
  <si>
    <t>FX2520520079</t>
  </si>
  <si>
    <t>FX2520545503</t>
  </si>
  <si>
    <t>FX2520528523</t>
  </si>
  <si>
    <t>FX2520560074</t>
  </si>
  <si>
    <t>FX2521048565</t>
  </si>
  <si>
    <t>FX2521701258</t>
  </si>
  <si>
    <t>FX2521774163</t>
  </si>
  <si>
    <t>FX2521764604</t>
  </si>
  <si>
    <t>N/A</t>
  </si>
  <si>
    <t>Compra de Spots</t>
  </si>
  <si>
    <t>Compra de Forwards</t>
  </si>
  <si>
    <t>Compra de Swaps</t>
  </si>
  <si>
    <t>Venta Spots</t>
  </si>
  <si>
    <t>Venta de Forwards</t>
  </si>
  <si>
    <t>Venta Swaps</t>
  </si>
  <si>
    <t>Cancelaciones Anticipadas Activas</t>
  </si>
  <si>
    <t>Cancelaciones Anticipadas Pasivas</t>
  </si>
  <si>
    <t>Clave</t>
  </si>
  <si>
    <t>Tipo de Operación</t>
  </si>
  <si>
    <t>MAPEO Layout_ACLME_SECCION_I_V_v3.</t>
  </si>
  <si>
    <t>ID SISTEMA</t>
  </si>
  <si>
    <t>TIPO_OPERACIÓN</t>
  </si>
  <si>
    <t>FECHA_CONCERTACION</t>
  </si>
  <si>
    <t>FECHA_INICIO</t>
  </si>
  <si>
    <t>FECHA_VALOR</t>
  </si>
  <si>
    <t>PLAZO</t>
  </si>
  <si>
    <t>FECHA_VMTO</t>
  </si>
  <si>
    <t>MONTO</t>
  </si>
  <si>
    <t>CONTRAPARTE</t>
  </si>
  <si>
    <t>TIPO DE CAMBIO</t>
  </si>
  <si>
    <t>MONTO_MXN</t>
  </si>
  <si>
    <t>MEDIO</t>
  </si>
  <si>
    <t>BROKER</t>
  </si>
  <si>
    <t>TIPO POSTURA</t>
  </si>
  <si>
    <t>HORA</t>
  </si>
  <si>
    <t>OPERACIONES A REPORTAR</t>
  </si>
  <si>
    <t>POSICIÓN de OPERACIÓN</t>
  </si>
  <si>
    <t>LLAVE</t>
  </si>
  <si>
    <t>FX2516369350</t>
  </si>
  <si>
    <t>SW</t>
  </si>
  <si>
    <t>NA</t>
  </si>
  <si>
    <t>MXN</t>
  </si>
  <si>
    <t>FX</t>
  </si>
  <si>
    <t>FW</t>
  </si>
  <si>
    <t>REMATE</t>
  </si>
  <si>
    <t>AGRESOR</t>
  </si>
  <si>
    <t>CICADA</t>
  </si>
  <si>
    <t>Fecha Reporte</t>
  </si>
  <si>
    <t>Llave</t>
  </si>
  <si>
    <t>CFX</t>
  </si>
  <si>
    <t>C</t>
  </si>
  <si>
    <t>CFW</t>
  </si>
  <si>
    <t>VFX</t>
  </si>
  <si>
    <t>V</t>
  </si>
  <si>
    <t>VFW</t>
  </si>
  <si>
    <t>Compra/Venta</t>
  </si>
  <si>
    <t>ESQUEMA LMDA</t>
  </si>
  <si>
    <t>SALIDA SP ION</t>
  </si>
  <si>
    <t xml:space="preserve">1	Para poder asignar el "Tipo de Operación" a la que corresponde cada uno de los movimientos es necesario primero obtener el plazo, 		
	donde no se deben reportar operaciones con un plazo inferior a 1 día por vencer. Para obtener el plazo se trabaja sobre las fechas del archivo de insumo:					
	Fecha de Inicio - Fecha de reporte	</t>
  </si>
  <si>
    <t xml:space="preserve">2	En la estructuración del archivo, tomaremos la asignación de acuerdo al tipo de moneda que se muestra en el archivo de insumo, si son "USD" se refiere a una		
	"Compra" y si es "MXN" hablamos entonces de una "Venta".	</t>
  </si>
  <si>
    <t xml:space="preserve">3	Si bien asignamos lo que corresponde a una venta o una compra, es necesario conocer si se refiere a compra de spots, forwards o swaps,así como una venta		
	de spots, forwards o swaps.		</t>
  </si>
  <si>
    <t>4	Para unir el tipo de operación (SW/FW ) con una compra o venta, se asignó una "LLAVE" a través de una fórmula y posteriormente a través de una fórmula de 		
	BUSCAR se traen los datos que corresponden a cada clave del cátalogo de Tipo de  Operación, por último ya con el conocimiento de la clave asignada llegamos 		
	a la asignación del "Tipo de Operación".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</si>
</sst>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Microsoft Sans Serif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Nunito Regular"/>
    </font>
    <font>
      <sz val="10"/>
      <color theme="1"/>
      <name val="Nunito Regular"/>
    </font>
    <font>
      <b/>
      <sz val="10"/>
      <color theme="1"/>
      <name val="Nunito Regula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2" borderId="2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4" fillId="3" borderId="2" xfId="0" quotePrefix="1" applyFont="1" applyFill="1" applyBorder="1"/>
    <xf numFmtId="0" fontId="4" fillId="0" borderId="2" xfId="0" quotePrefix="1" applyFont="1" applyBorder="1"/>
    <xf numFmtId="0" fontId="3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2" borderId="3" xfId="0" applyFont="1" applyFill="1" applyBorder="1"/>
    <xf numFmtId="0" fontId="4" fillId="3" borderId="3" xfId="0" applyFont="1" applyFill="1" applyBorder="1"/>
    <xf numFmtId="0" fontId="4" fillId="0" borderId="3" xfId="0" applyFont="1" applyBorder="1"/>
    <xf numFmtId="0" fontId="4" fillId="0" borderId="1" xfId="0" applyFont="1" applyBorder="1"/>
    <xf numFmtId="0" fontId="4" fillId="0" borderId="1" xfId="0" quotePrefix="1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4" borderId="1" xfId="0" applyFont="1" applyFill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8" fillId="0" borderId="0" xfId="0" applyFont="1"/>
    <xf numFmtId="0" fontId="2" fillId="6" borderId="1" xfId="0" applyFont="1" applyFill="1" applyBorder="1"/>
    <xf numFmtId="0" fontId="2" fillId="7" borderId="1" xfId="0" applyFont="1" applyFill="1" applyBorder="1"/>
    <xf numFmtId="0" fontId="0" fillId="8" borderId="0" xfId="0" applyFill="1"/>
    <xf numFmtId="0" fontId="2" fillId="5" borderId="1" xfId="0" applyFont="1" applyFill="1" applyBorder="1"/>
    <xf numFmtId="0" fontId="0" fillId="9" borderId="1" xfId="0" applyFill="1" applyBorder="1"/>
    <xf numFmtId="3" fontId="0" fillId="0" borderId="1" xfId="0" applyNumberFormat="1" applyBorder="1"/>
    <xf numFmtId="0" fontId="0" fillId="7" borderId="1" xfId="0" applyFill="1" applyBorder="1"/>
    <xf numFmtId="1" fontId="0" fillId="0" borderId="1" xfId="0" applyNumberFormat="1" applyBorder="1"/>
    <xf numFmtId="20" fontId="0" fillId="0" borderId="1" xfId="0" applyNumberFormat="1" applyBorder="1"/>
    <xf numFmtId="0" fontId="9" fillId="0" borderId="4" xfId="0" applyFont="1" applyBorder="1"/>
    <xf numFmtId="0" fontId="0" fillId="9" borderId="0" xfId="0" applyFill="1"/>
    <xf numFmtId="0" fontId="2" fillId="10" borderId="1" xfId="0" applyFont="1" applyFill="1" applyBorder="1"/>
    <xf numFmtId="0" fontId="0" fillId="11" borderId="1" xfId="0" applyFill="1" applyBorder="1"/>
    <xf numFmtId="0" fontId="0" fillId="11" borderId="0" xfId="0" applyFill="1"/>
    <xf numFmtId="0" fontId="0" fillId="0" borderId="5" xfId="0" applyBorder="1" applyAlignment="1">
      <alignment horizontal="center"/>
    </xf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0510-62F8-4CFB-A879-466B621C0075}">
  <dimension ref="A1:O29"/>
  <sheetViews>
    <sheetView tabSelected="1" topLeftCell="G1" workbookViewId="0">
      <selection activeCell="K22" sqref="K22"/>
    </sheetView>
  </sheetViews>
  <sheetFormatPr baseColWidth="10" defaultRowHeight="15"/>
  <cols>
    <col min="1" max="1" width="27.42578125" bestFit="1" customWidth="1"/>
    <col min="2" max="2" width="38" bestFit="1" customWidth="1"/>
    <col min="3" max="3" width="21.42578125" bestFit="1" customWidth="1"/>
    <col min="4" max="4" width="24.85546875" bestFit="1" customWidth="1"/>
    <col min="5" max="5" width="22.5703125" bestFit="1" customWidth="1"/>
    <col min="6" max="6" width="35" bestFit="1" customWidth="1"/>
    <col min="7" max="7" width="13.28515625" bestFit="1" customWidth="1"/>
    <col min="8" max="8" width="20.28515625" bestFit="1" customWidth="1"/>
    <col min="9" max="9" width="46.140625" bestFit="1" customWidth="1"/>
    <col min="11" max="11" width="5.28515625" bestFit="1" customWidth="1"/>
    <col min="12" max="12" width="5.85546875" bestFit="1" customWidth="1"/>
    <col min="13" max="13" width="31.7109375" bestFit="1" customWidth="1"/>
    <col min="14" max="14" width="14" bestFit="1" customWidth="1"/>
    <col min="15" max="15" width="4" bestFit="1" customWidth="1"/>
  </cols>
  <sheetData>
    <row r="1" spans="1:14">
      <c r="A1" s="1" t="s">
        <v>0</v>
      </c>
      <c r="B1" s="2" t="s">
        <v>14</v>
      </c>
      <c r="C1" s="3" t="s">
        <v>23</v>
      </c>
      <c r="D1" s="2" t="s">
        <v>28</v>
      </c>
      <c r="E1" s="3" t="s">
        <v>32</v>
      </c>
      <c r="F1" s="2" t="s">
        <v>37</v>
      </c>
      <c r="G1" s="3" t="s">
        <v>41</v>
      </c>
      <c r="H1" s="2" t="s">
        <v>45</v>
      </c>
      <c r="I1" s="3" t="s">
        <v>48</v>
      </c>
    </row>
    <row r="2" spans="1:14">
      <c r="A2" s="1" t="s">
        <v>1</v>
      </c>
      <c r="B2" s="2" t="s">
        <v>15</v>
      </c>
      <c r="C2" s="3" t="s">
        <v>24</v>
      </c>
      <c r="D2" s="2" t="s">
        <v>24</v>
      </c>
      <c r="E2" s="3" t="s">
        <v>33</v>
      </c>
      <c r="F2" s="2" t="s">
        <v>15</v>
      </c>
      <c r="G2" s="3" t="s">
        <v>15</v>
      </c>
      <c r="H2" s="2" t="s">
        <v>24</v>
      </c>
      <c r="I2" s="3" t="s">
        <v>33</v>
      </c>
    </row>
    <row r="3" spans="1:14">
      <c r="A3" s="1" t="s">
        <v>2</v>
      </c>
      <c r="B3" s="4" t="s">
        <v>16</v>
      </c>
      <c r="C3" s="5" t="s">
        <v>25</v>
      </c>
      <c r="D3" s="4" t="s">
        <v>29</v>
      </c>
      <c r="E3" s="5" t="s">
        <v>34</v>
      </c>
      <c r="F3" s="4" t="s">
        <v>38</v>
      </c>
      <c r="G3" s="5" t="s">
        <v>42</v>
      </c>
      <c r="H3" s="4" t="s">
        <v>29</v>
      </c>
      <c r="I3" s="5" t="s">
        <v>34</v>
      </c>
    </row>
    <row r="4" spans="1:14">
      <c r="A4" s="1" t="s">
        <v>3</v>
      </c>
      <c r="B4" s="2" t="s">
        <v>13</v>
      </c>
      <c r="C4" s="3" t="s">
        <v>13</v>
      </c>
      <c r="D4" s="2"/>
      <c r="E4" s="3"/>
      <c r="F4" s="2"/>
      <c r="G4" s="3"/>
      <c r="H4" s="2"/>
      <c r="I4" s="3"/>
    </row>
    <row r="5" spans="1:14">
      <c r="A5" s="1" t="s">
        <v>4</v>
      </c>
      <c r="B5" s="2" t="s">
        <v>17</v>
      </c>
      <c r="C5" s="3"/>
      <c r="D5" s="2"/>
      <c r="E5" s="3"/>
      <c r="F5" s="2"/>
      <c r="G5" s="3" t="s">
        <v>17</v>
      </c>
      <c r="H5" s="2"/>
      <c r="I5" s="3"/>
    </row>
    <row r="6" spans="1:14">
      <c r="A6" s="1" t="s">
        <v>5</v>
      </c>
      <c r="B6" s="2" t="s">
        <v>18</v>
      </c>
      <c r="C6" s="3"/>
      <c r="D6" s="2"/>
      <c r="E6" s="3"/>
      <c r="F6" s="2"/>
      <c r="G6" s="3" t="s">
        <v>41</v>
      </c>
      <c r="H6" s="2"/>
      <c r="I6" s="3"/>
    </row>
    <row r="7" spans="1:14">
      <c r="A7" s="6" t="s">
        <v>6</v>
      </c>
      <c r="B7" s="7" t="s">
        <v>19</v>
      </c>
      <c r="C7" s="8" t="s">
        <v>19</v>
      </c>
      <c r="D7" s="7" t="s">
        <v>19</v>
      </c>
      <c r="E7" s="8" t="s">
        <v>19</v>
      </c>
      <c r="F7" s="7" t="s">
        <v>19</v>
      </c>
      <c r="G7" s="8" t="s">
        <v>19</v>
      </c>
      <c r="H7" s="7" t="s">
        <v>19</v>
      </c>
      <c r="I7" s="8"/>
    </row>
    <row r="8" spans="1:14">
      <c r="A8" s="6" t="s">
        <v>7</v>
      </c>
      <c r="B8" s="7"/>
      <c r="C8" s="8"/>
      <c r="D8" s="7"/>
      <c r="E8" s="8"/>
      <c r="F8" s="7"/>
      <c r="G8" s="8"/>
      <c r="H8" s="7"/>
      <c r="I8" s="8"/>
    </row>
    <row r="9" spans="1:14">
      <c r="A9" s="1" t="s">
        <v>8</v>
      </c>
      <c r="B9" s="2" t="s">
        <v>20</v>
      </c>
      <c r="C9" s="3" t="s">
        <v>26</v>
      </c>
      <c r="D9" s="2" t="s">
        <v>30</v>
      </c>
      <c r="E9" s="3" t="s">
        <v>35</v>
      </c>
      <c r="F9" s="2" t="s">
        <v>39</v>
      </c>
      <c r="G9" s="3" t="s">
        <v>43</v>
      </c>
      <c r="H9" s="2" t="s">
        <v>46</v>
      </c>
      <c r="I9" s="3" t="s">
        <v>49</v>
      </c>
    </row>
    <row r="10" spans="1:14">
      <c r="A10" s="1" t="s">
        <v>9</v>
      </c>
      <c r="B10" s="2" t="s">
        <v>21</v>
      </c>
      <c r="C10" s="3" t="s">
        <v>27</v>
      </c>
      <c r="D10" s="2" t="s">
        <v>31</v>
      </c>
      <c r="E10" s="3" t="s">
        <v>36</v>
      </c>
      <c r="F10" s="2" t="s">
        <v>40</v>
      </c>
      <c r="G10" s="3" t="s">
        <v>44</v>
      </c>
      <c r="H10" s="2" t="s">
        <v>47</v>
      </c>
      <c r="I10" s="3" t="s">
        <v>50</v>
      </c>
    </row>
    <row r="11" spans="1:14">
      <c r="A11" s="1" t="s">
        <v>10</v>
      </c>
      <c r="B11" s="2"/>
      <c r="C11" s="3"/>
      <c r="D11" s="2"/>
      <c r="E11" s="3"/>
      <c r="F11" s="2"/>
      <c r="G11" s="3"/>
      <c r="H11" s="2"/>
      <c r="I11" s="3"/>
    </row>
    <row r="12" spans="1:14">
      <c r="A12" s="1" t="s">
        <v>11</v>
      </c>
      <c r="B12" s="2" t="s">
        <v>22</v>
      </c>
      <c r="C12" s="3" t="s">
        <v>22</v>
      </c>
      <c r="D12" s="2"/>
      <c r="E12" s="3"/>
      <c r="F12" s="2"/>
      <c r="G12" s="3"/>
      <c r="H12" s="2"/>
      <c r="I12" s="3"/>
    </row>
    <row r="13" spans="1:14">
      <c r="A13" s="9" t="s">
        <v>12</v>
      </c>
      <c r="B13" s="10" t="s">
        <v>22</v>
      </c>
      <c r="C13" s="11" t="s">
        <v>22</v>
      </c>
      <c r="D13" s="10"/>
      <c r="E13" s="11"/>
      <c r="F13" s="10"/>
      <c r="G13" s="11"/>
      <c r="H13" s="10"/>
      <c r="I13" s="11"/>
    </row>
    <row r="15" spans="1:14">
      <c r="B15" s="28" t="s">
        <v>74</v>
      </c>
    </row>
    <row r="16" spans="1:14">
      <c r="L16" s="26" t="s">
        <v>72</v>
      </c>
      <c r="M16" s="26" t="s">
        <v>73</v>
      </c>
      <c r="N16" s="26" t="s">
        <v>110</v>
      </c>
    </row>
    <row r="17" spans="1:15">
      <c r="A17" s="22"/>
      <c r="B17" s="16" t="s">
        <v>14</v>
      </c>
      <c r="C17" s="16" t="s">
        <v>23</v>
      </c>
      <c r="D17" s="16" t="s">
        <v>28</v>
      </c>
      <c r="E17" s="16" t="s">
        <v>32</v>
      </c>
      <c r="F17" s="16" t="s">
        <v>37</v>
      </c>
      <c r="G17" s="16" t="s">
        <v>41</v>
      </c>
      <c r="H17" s="16" t="s">
        <v>45</v>
      </c>
      <c r="I17" s="16" t="s">
        <v>48</v>
      </c>
      <c r="K17" s="25"/>
      <c r="L17" s="27">
        <v>3050</v>
      </c>
      <c r="M17" s="25" t="s">
        <v>51</v>
      </c>
      <c r="N17" s="25"/>
      <c r="O17" s="25"/>
    </row>
    <row r="18" spans="1:15">
      <c r="A18" s="22"/>
      <c r="B18" s="15"/>
      <c r="C18" s="15"/>
      <c r="D18" s="15"/>
      <c r="E18" s="15"/>
      <c r="F18" s="15"/>
      <c r="G18" s="15"/>
      <c r="H18" s="15"/>
      <c r="I18" s="15"/>
      <c r="K18" s="41" t="s">
        <v>104</v>
      </c>
      <c r="L18" s="27">
        <v>3515</v>
      </c>
      <c r="M18" s="25" t="s">
        <v>64</v>
      </c>
      <c r="N18" s="41" t="s">
        <v>105</v>
      </c>
      <c r="O18" s="41" t="s">
        <v>94</v>
      </c>
    </row>
    <row r="19" spans="1:15">
      <c r="A19" s="22"/>
      <c r="B19" s="24">
        <f>+L18</f>
        <v>3515</v>
      </c>
      <c r="C19" s="12">
        <v>1</v>
      </c>
      <c r="D19" s="18">
        <v>1000</v>
      </c>
      <c r="E19" s="18">
        <v>20250704</v>
      </c>
      <c r="F19" s="20" t="s">
        <v>53</v>
      </c>
      <c r="G19" s="14" t="s">
        <v>52</v>
      </c>
      <c r="H19" s="14" t="s">
        <v>63</v>
      </c>
      <c r="I19" s="18">
        <v>20250612</v>
      </c>
      <c r="K19" s="41" t="s">
        <v>106</v>
      </c>
      <c r="L19" s="27">
        <v>3561</v>
      </c>
      <c r="M19" s="25" t="s">
        <v>65</v>
      </c>
      <c r="N19" s="41" t="s">
        <v>105</v>
      </c>
      <c r="O19" s="41" t="s">
        <v>98</v>
      </c>
    </row>
    <row r="20" spans="1:15">
      <c r="A20" s="22"/>
      <c r="B20" s="17">
        <v>3515</v>
      </c>
      <c r="C20" s="13">
        <v>1</v>
      </c>
      <c r="D20" s="19">
        <v>5000</v>
      </c>
      <c r="E20" s="19">
        <v>20250718</v>
      </c>
      <c r="F20" s="21" t="s">
        <v>54</v>
      </c>
      <c r="G20" s="17" t="s">
        <v>52</v>
      </c>
      <c r="H20" s="17" t="s">
        <v>63</v>
      </c>
      <c r="I20" s="19">
        <v>20250612</v>
      </c>
      <c r="K20" s="41"/>
      <c r="L20" s="27">
        <v>3636</v>
      </c>
      <c r="M20" s="25" t="s">
        <v>66</v>
      </c>
      <c r="N20" s="41" t="s">
        <v>105</v>
      </c>
      <c r="O20" s="41"/>
    </row>
    <row r="21" spans="1:15">
      <c r="A21" s="22"/>
      <c r="B21" s="14">
        <v>6415</v>
      </c>
      <c r="C21" s="12">
        <v>1</v>
      </c>
      <c r="D21" s="18">
        <v>16500</v>
      </c>
      <c r="E21" s="18">
        <v>20250730</v>
      </c>
      <c r="F21" s="20" t="s">
        <v>55</v>
      </c>
      <c r="G21" s="14" t="s">
        <v>52</v>
      </c>
      <c r="H21" s="14" t="s">
        <v>63</v>
      </c>
      <c r="I21" s="18">
        <v>20250612</v>
      </c>
      <c r="K21" s="41" t="s">
        <v>107</v>
      </c>
      <c r="L21" s="27">
        <v>6415</v>
      </c>
      <c r="M21" s="25" t="s">
        <v>67</v>
      </c>
      <c r="N21" s="41" t="s">
        <v>108</v>
      </c>
      <c r="O21" s="41" t="s">
        <v>94</v>
      </c>
    </row>
    <row r="22" spans="1:15">
      <c r="A22" s="22"/>
      <c r="B22" s="14">
        <v>6415</v>
      </c>
      <c r="C22" s="12">
        <v>1</v>
      </c>
      <c r="D22" s="18">
        <v>10000</v>
      </c>
      <c r="E22" s="18">
        <v>20250729</v>
      </c>
      <c r="F22" s="20" t="s">
        <v>56</v>
      </c>
      <c r="G22" s="14" t="s">
        <v>52</v>
      </c>
      <c r="H22" s="14" t="s">
        <v>63</v>
      </c>
      <c r="I22" s="18">
        <v>20250612</v>
      </c>
      <c r="K22" s="41" t="s">
        <v>109</v>
      </c>
      <c r="L22" s="27">
        <v>6477</v>
      </c>
      <c r="M22" s="25" t="s">
        <v>68</v>
      </c>
      <c r="N22" s="41" t="s">
        <v>108</v>
      </c>
      <c r="O22" s="41" t="s">
        <v>98</v>
      </c>
    </row>
    <row r="23" spans="1:15">
      <c r="A23" s="23"/>
      <c r="B23" s="14">
        <v>3561</v>
      </c>
      <c r="C23" s="12">
        <v>1</v>
      </c>
      <c r="D23" s="18">
        <v>10000</v>
      </c>
      <c r="E23" s="18">
        <v>20250729</v>
      </c>
      <c r="F23" s="20" t="s">
        <v>57</v>
      </c>
      <c r="G23" s="14" t="s">
        <v>52</v>
      </c>
      <c r="H23" s="14" t="s">
        <v>63</v>
      </c>
      <c r="I23" s="18">
        <v>20250612</v>
      </c>
      <c r="K23" s="25"/>
      <c r="L23" s="27">
        <v>6542</v>
      </c>
      <c r="M23" s="25" t="s">
        <v>69</v>
      </c>
      <c r="N23" s="41" t="s">
        <v>108</v>
      </c>
      <c r="O23" s="25"/>
    </row>
    <row r="24" spans="1:15">
      <c r="A24" s="23"/>
      <c r="B24" s="14">
        <v>6477</v>
      </c>
      <c r="C24" s="18">
        <v>1</v>
      </c>
      <c r="D24" s="18">
        <v>15000</v>
      </c>
      <c r="E24" s="18">
        <v>20250730</v>
      </c>
      <c r="F24" s="20" t="s">
        <v>58</v>
      </c>
      <c r="G24" s="14" t="s">
        <v>52</v>
      </c>
      <c r="H24" s="14" t="s">
        <v>63</v>
      </c>
      <c r="I24" s="18">
        <v>20250612</v>
      </c>
      <c r="K24" s="25"/>
      <c r="L24" s="27">
        <v>7635</v>
      </c>
      <c r="M24" s="25" t="s">
        <v>70</v>
      </c>
      <c r="N24" s="25"/>
      <c r="O24" s="25"/>
    </row>
    <row r="25" spans="1:15">
      <c r="A25" s="22"/>
      <c r="B25" s="14">
        <v>3561</v>
      </c>
      <c r="C25" s="18">
        <v>1</v>
      </c>
      <c r="D25" s="18">
        <v>12000</v>
      </c>
      <c r="E25" s="18">
        <v>20250801</v>
      </c>
      <c r="F25" s="20" t="s">
        <v>59</v>
      </c>
      <c r="G25" s="14" t="s">
        <v>52</v>
      </c>
      <c r="H25" s="14" t="s">
        <v>63</v>
      </c>
      <c r="I25" s="18">
        <v>20250612</v>
      </c>
      <c r="K25" s="25"/>
      <c r="L25" s="27">
        <v>7790</v>
      </c>
      <c r="M25" s="25" t="s">
        <v>71</v>
      </c>
      <c r="N25" s="25"/>
      <c r="O25" s="25"/>
    </row>
    <row r="26" spans="1:15">
      <c r="A26" s="22"/>
      <c r="B26" s="14">
        <v>3561</v>
      </c>
      <c r="C26" s="12">
        <v>1</v>
      </c>
      <c r="D26" s="18">
        <v>1000000001</v>
      </c>
      <c r="E26" s="18">
        <v>20250815</v>
      </c>
      <c r="F26" s="20" t="s">
        <v>60</v>
      </c>
      <c r="G26" s="14" t="s">
        <v>52</v>
      </c>
      <c r="H26" s="14" t="s">
        <v>63</v>
      </c>
      <c r="I26" s="18">
        <v>20250612</v>
      </c>
    </row>
    <row r="27" spans="1:15">
      <c r="A27" s="22"/>
      <c r="B27" s="14">
        <v>3561</v>
      </c>
      <c r="C27" s="12">
        <v>1</v>
      </c>
      <c r="D27" s="18">
        <v>22000002</v>
      </c>
      <c r="E27" s="18">
        <v>20250822</v>
      </c>
      <c r="F27" s="20" t="s">
        <v>61</v>
      </c>
      <c r="G27" s="14" t="s">
        <v>52</v>
      </c>
      <c r="H27" s="14" t="s">
        <v>63</v>
      </c>
      <c r="I27" s="18">
        <v>20250612</v>
      </c>
    </row>
    <row r="28" spans="1:15">
      <c r="A28" s="22"/>
      <c r="B28" s="14">
        <v>3561</v>
      </c>
      <c r="C28" s="12">
        <v>1</v>
      </c>
      <c r="D28" s="18">
        <v>33000003</v>
      </c>
      <c r="E28" s="18">
        <v>20250829</v>
      </c>
      <c r="F28" s="20" t="s">
        <v>62</v>
      </c>
      <c r="G28" s="14" t="s">
        <v>52</v>
      </c>
      <c r="H28" s="14" t="s">
        <v>63</v>
      </c>
      <c r="I28" s="18">
        <v>20250612</v>
      </c>
    </row>
    <row r="29" spans="1:15">
      <c r="A29" s="22"/>
      <c r="B29" s="12" t="s">
        <v>22</v>
      </c>
      <c r="C29" s="12" t="s">
        <v>22</v>
      </c>
      <c r="D29" s="12"/>
      <c r="E29" s="12"/>
      <c r="F29" s="12"/>
      <c r="G29" s="12"/>
      <c r="H29" s="12"/>
      <c r="I29" s="12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29AA-E2B1-45D9-B854-ADEF1A762CAA}">
  <dimension ref="A1:AD29"/>
  <sheetViews>
    <sheetView workbookViewId="0">
      <selection activeCell="A9" sqref="A9"/>
    </sheetView>
  </sheetViews>
  <sheetFormatPr baseColWidth="10" defaultColWidth="8.85546875" defaultRowHeight="15"/>
  <cols>
    <col min="8" max="8" width="13.28515625" customWidth="1"/>
    <col min="18" max="18" width="2.140625" customWidth="1"/>
  </cols>
  <sheetData>
    <row r="1" spans="1:30">
      <c r="A1" s="44" t="s">
        <v>111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S1" s="44" t="s">
        <v>112</v>
      </c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>
      <c r="A2" s="27" t="s">
        <v>75</v>
      </c>
      <c r="B2" s="27" t="s">
        <v>76</v>
      </c>
      <c r="C2" s="27" t="s">
        <v>77</v>
      </c>
      <c r="D2" s="27" t="s">
        <v>78</v>
      </c>
      <c r="E2" s="27" t="s">
        <v>79</v>
      </c>
      <c r="F2" s="27" t="s">
        <v>80</v>
      </c>
      <c r="G2" s="27" t="s">
        <v>81</v>
      </c>
      <c r="H2" s="27" t="s">
        <v>82</v>
      </c>
      <c r="I2" s="30" t="s">
        <v>83</v>
      </c>
      <c r="J2" s="27" t="s">
        <v>41</v>
      </c>
      <c r="K2" s="27" t="s">
        <v>84</v>
      </c>
      <c r="L2" s="31" t="s">
        <v>85</v>
      </c>
      <c r="M2" s="27" t="s">
        <v>41</v>
      </c>
      <c r="N2" s="27" t="s">
        <v>86</v>
      </c>
      <c r="O2" s="27" t="s">
        <v>87</v>
      </c>
      <c r="P2" s="27" t="s">
        <v>88</v>
      </c>
      <c r="Q2" s="27" t="s">
        <v>89</v>
      </c>
      <c r="R2" s="32"/>
      <c r="S2" s="27" t="s">
        <v>80</v>
      </c>
      <c r="T2" s="27" t="s">
        <v>90</v>
      </c>
      <c r="U2" s="33" t="s">
        <v>91</v>
      </c>
      <c r="V2" s="42" t="s">
        <v>92</v>
      </c>
      <c r="W2" s="34" t="s">
        <v>14</v>
      </c>
      <c r="X2" s="25" t="s">
        <v>23</v>
      </c>
      <c r="Y2" s="25" t="s">
        <v>28</v>
      </c>
      <c r="Z2" s="25" t="s">
        <v>32</v>
      </c>
      <c r="AA2" s="25" t="s">
        <v>37</v>
      </c>
      <c r="AB2" s="25" t="s">
        <v>41</v>
      </c>
      <c r="AC2" s="25" t="s">
        <v>45</v>
      </c>
      <c r="AD2" s="25" t="s">
        <v>48</v>
      </c>
    </row>
    <row r="3" spans="1:30">
      <c r="A3" s="25" t="s">
        <v>93</v>
      </c>
      <c r="B3" s="25" t="s">
        <v>94</v>
      </c>
      <c r="C3" s="25">
        <v>20250612</v>
      </c>
      <c r="D3" s="25">
        <v>20250612</v>
      </c>
      <c r="E3" s="25" t="s">
        <v>95</v>
      </c>
      <c r="F3" s="25">
        <v>6</v>
      </c>
      <c r="G3" s="25">
        <v>20250620</v>
      </c>
      <c r="H3" s="35">
        <v>10000</v>
      </c>
      <c r="I3" s="25">
        <v>10000750</v>
      </c>
      <c r="J3" s="25" t="s">
        <v>96</v>
      </c>
      <c r="K3" s="25">
        <v>18.100000000000001</v>
      </c>
      <c r="L3" s="36">
        <v>181000</v>
      </c>
      <c r="M3" s="37" t="str">
        <f>+IF(J3="MXN","USD","MXN")</f>
        <v>USD</v>
      </c>
      <c r="N3" s="25"/>
      <c r="O3" s="25" t="s">
        <v>95</v>
      </c>
      <c r="P3" s="25" t="s">
        <v>95</v>
      </c>
      <c r="Q3" s="38">
        <v>0.41597222222222224</v>
      </c>
      <c r="R3" s="32"/>
      <c r="S3" s="25">
        <f t="shared" ref="S3:S13" si="0">D3-$B$15</f>
        <v>0</v>
      </c>
      <c r="T3" s="25" t="str">
        <f>+IF(S3&lt;=0,"",B3)</f>
        <v/>
      </c>
      <c r="U3" s="25" t="str">
        <f>+IF(T3="","",IF(J3="MXN","V","C"))</f>
        <v/>
      </c>
      <c r="V3" s="42" t="str">
        <f t="shared" ref="V3" si="1">+U3&amp;IF(T3="SW","FX",T3)</f>
        <v/>
      </c>
      <c r="W3" s="25"/>
      <c r="X3" s="25" t="str">
        <f>+IF(W3="","",1)</f>
        <v/>
      </c>
      <c r="Y3" s="25" t="str">
        <f t="shared" ref="Y3:Y13" si="2">+IF(W3="","",H3)</f>
        <v/>
      </c>
      <c r="Z3" s="25" t="str">
        <f>+IF(Y3="","",G3)</f>
        <v/>
      </c>
      <c r="AA3" s="25" t="str">
        <f>+IF(Z3="","",A3)</f>
        <v/>
      </c>
      <c r="AB3" s="25" t="str">
        <f>+IF(AA3="","","USD")</f>
        <v/>
      </c>
      <c r="AC3" s="25" t="str">
        <f>+IF(AB3="","","N/A")</f>
        <v/>
      </c>
      <c r="AD3" s="25" t="str">
        <f>+IF(AC3="","",$B$15)</f>
        <v/>
      </c>
    </row>
    <row r="4" spans="1:30">
      <c r="A4" s="25" t="s">
        <v>53</v>
      </c>
      <c r="B4" s="25" t="s">
        <v>94</v>
      </c>
      <c r="C4" s="25">
        <v>20250612</v>
      </c>
      <c r="D4" s="25">
        <v>20250613</v>
      </c>
      <c r="E4" s="25" t="s">
        <v>95</v>
      </c>
      <c r="F4" s="25">
        <v>6</v>
      </c>
      <c r="G4" s="25">
        <v>20250704</v>
      </c>
      <c r="H4" s="35">
        <v>1000</v>
      </c>
      <c r="I4" s="25">
        <v>10000750</v>
      </c>
      <c r="J4" s="25" t="s">
        <v>52</v>
      </c>
      <c r="K4" s="25">
        <v>18.2</v>
      </c>
      <c r="L4" s="36">
        <v>18200</v>
      </c>
      <c r="M4" s="37" t="str">
        <f t="shared" ref="M4:M13" si="3">+IF(J4="MXN","USD","MXN")</f>
        <v>MXN</v>
      </c>
      <c r="N4" s="25"/>
      <c r="O4" s="25" t="s">
        <v>95</v>
      </c>
      <c r="P4" s="25" t="s">
        <v>95</v>
      </c>
      <c r="Q4" s="38">
        <v>0.60555555555555551</v>
      </c>
      <c r="R4" s="32"/>
      <c r="S4" s="25">
        <f t="shared" si="0"/>
        <v>1</v>
      </c>
      <c r="T4" s="25" t="str">
        <f t="shared" ref="T4:T13" si="4">+IF(S4&lt;=0,"",B4)</f>
        <v>SW</v>
      </c>
      <c r="U4" s="25" t="str">
        <f t="shared" ref="U4:U13" si="5">+IF(T4="","",IF(J4="MXN","V","C"))</f>
        <v>C</v>
      </c>
      <c r="V4" s="42" t="str">
        <f>+U4&amp;IF(T4="SW","FX",T4)</f>
        <v>CFX</v>
      </c>
      <c r="W4" s="25">
        <f t="shared" ref="W4:W13" si="6">+VLOOKUP(V4,$O$20:$P$29,2,0)</f>
        <v>3515</v>
      </c>
      <c r="X4" s="25">
        <f t="shared" ref="X4:X13" si="7">+IF(W4="","",1)</f>
        <v>1</v>
      </c>
      <c r="Y4" s="25">
        <f t="shared" si="2"/>
        <v>1000</v>
      </c>
      <c r="Z4" s="25">
        <f t="shared" ref="Z4:Z13" si="8">+IF(Y4="","",G4)</f>
        <v>20250704</v>
      </c>
      <c r="AA4" s="25" t="str">
        <f t="shared" ref="AA4:AA13" si="9">+IF(Z4="","",A4)</f>
        <v>FX2516369351</v>
      </c>
      <c r="AB4" s="25" t="str">
        <f t="shared" ref="AB4:AB13" si="10">+IF(AA4="","","USD")</f>
        <v>USD</v>
      </c>
      <c r="AC4" s="25" t="str">
        <f t="shared" ref="AC4:AC13" si="11">+IF(AB4="","","N/A")</f>
        <v>N/A</v>
      </c>
      <c r="AD4" s="25">
        <f t="shared" ref="AD4:AD13" si="12">+IF(AC4="","",$B$15)</f>
        <v>20250612</v>
      </c>
    </row>
    <row r="5" spans="1:30">
      <c r="A5" s="25" t="s">
        <v>54</v>
      </c>
      <c r="B5" s="25" t="s">
        <v>97</v>
      </c>
      <c r="C5" s="25">
        <v>20250715</v>
      </c>
      <c r="D5" s="25">
        <v>20250715</v>
      </c>
      <c r="E5" s="25" t="s">
        <v>95</v>
      </c>
      <c r="F5" s="25">
        <v>3</v>
      </c>
      <c r="G5" s="25">
        <v>20250718</v>
      </c>
      <c r="H5" s="35">
        <v>5000</v>
      </c>
      <c r="I5" s="25">
        <v>10000750</v>
      </c>
      <c r="J5" s="25" t="s">
        <v>52</v>
      </c>
      <c r="K5" s="25">
        <v>19</v>
      </c>
      <c r="L5" s="36">
        <v>95000</v>
      </c>
      <c r="M5" s="37" t="str">
        <f t="shared" si="3"/>
        <v>MXN</v>
      </c>
      <c r="N5" s="25"/>
      <c r="O5" s="25" t="s">
        <v>95</v>
      </c>
      <c r="P5" s="25" t="s">
        <v>95</v>
      </c>
      <c r="Q5" s="38">
        <v>0.62291666666666667</v>
      </c>
      <c r="R5" s="32"/>
      <c r="S5" s="25">
        <f t="shared" si="0"/>
        <v>103</v>
      </c>
      <c r="T5" s="25" t="str">
        <f t="shared" si="4"/>
        <v>FX</v>
      </c>
      <c r="U5" s="25" t="str">
        <f t="shared" si="5"/>
        <v>C</v>
      </c>
      <c r="V5" s="42" t="str">
        <f t="shared" ref="V5:V13" si="13">+U5&amp;IF(T5="SW","FX",T5)</f>
        <v>CFX</v>
      </c>
      <c r="W5" s="25">
        <f t="shared" si="6"/>
        <v>3515</v>
      </c>
      <c r="X5" s="25">
        <f t="shared" si="7"/>
        <v>1</v>
      </c>
      <c r="Y5" s="25">
        <f t="shared" si="2"/>
        <v>5000</v>
      </c>
      <c r="Z5" s="25">
        <f t="shared" si="8"/>
        <v>20250718</v>
      </c>
      <c r="AA5" s="25" t="str">
        <f t="shared" si="9"/>
        <v>FX2519610393</v>
      </c>
      <c r="AB5" s="25" t="str">
        <f t="shared" si="10"/>
        <v>USD</v>
      </c>
      <c r="AC5" s="25" t="str">
        <f t="shared" si="11"/>
        <v>N/A</v>
      </c>
      <c r="AD5" s="25">
        <f t="shared" si="12"/>
        <v>20250612</v>
      </c>
    </row>
    <row r="6" spans="1:30">
      <c r="A6" s="25" t="s">
        <v>55</v>
      </c>
      <c r="B6" s="25" t="s">
        <v>97</v>
      </c>
      <c r="C6" s="25">
        <v>20250724</v>
      </c>
      <c r="D6" s="25">
        <v>20250724</v>
      </c>
      <c r="E6" s="25" t="s">
        <v>95</v>
      </c>
      <c r="F6" s="25">
        <v>4</v>
      </c>
      <c r="G6" s="25">
        <v>20250730</v>
      </c>
      <c r="H6" s="35">
        <v>16500</v>
      </c>
      <c r="I6" s="25">
        <v>10000750</v>
      </c>
      <c r="J6" s="25" t="s">
        <v>96</v>
      </c>
      <c r="K6" s="25">
        <v>17.5</v>
      </c>
      <c r="L6" s="36">
        <v>288750</v>
      </c>
      <c r="M6" s="37" t="str">
        <f t="shared" si="3"/>
        <v>USD</v>
      </c>
      <c r="N6" s="25"/>
      <c r="O6" s="25" t="s">
        <v>95</v>
      </c>
      <c r="P6" s="25" t="s">
        <v>95</v>
      </c>
      <c r="Q6" s="38">
        <v>0.51944444444444449</v>
      </c>
      <c r="R6" s="32"/>
      <c r="S6" s="25">
        <f t="shared" si="0"/>
        <v>112</v>
      </c>
      <c r="T6" s="25" t="str">
        <f t="shared" si="4"/>
        <v>FX</v>
      </c>
      <c r="U6" s="25" t="str">
        <f t="shared" si="5"/>
        <v>V</v>
      </c>
      <c r="V6" s="42" t="str">
        <f t="shared" si="13"/>
        <v>VFX</v>
      </c>
      <c r="W6" s="25">
        <f t="shared" si="6"/>
        <v>6415</v>
      </c>
      <c r="X6" s="25">
        <f t="shared" si="7"/>
        <v>1</v>
      </c>
      <c r="Y6" s="25">
        <f t="shared" si="2"/>
        <v>16500</v>
      </c>
      <c r="Z6" s="25">
        <f t="shared" si="8"/>
        <v>20250730</v>
      </c>
      <c r="AA6" s="25" t="str">
        <f t="shared" si="9"/>
        <v>FX2520520079</v>
      </c>
      <c r="AB6" s="25" t="str">
        <f t="shared" si="10"/>
        <v>USD</v>
      </c>
      <c r="AC6" s="25" t="str">
        <f t="shared" si="11"/>
        <v>N/A</v>
      </c>
      <c r="AD6" s="25">
        <f t="shared" si="12"/>
        <v>20250612</v>
      </c>
    </row>
    <row r="7" spans="1:30">
      <c r="A7" s="25" t="s">
        <v>56</v>
      </c>
      <c r="B7" s="25" t="s">
        <v>97</v>
      </c>
      <c r="C7" s="25">
        <v>20250724</v>
      </c>
      <c r="D7" s="25">
        <v>20250724</v>
      </c>
      <c r="E7" s="25" t="s">
        <v>95</v>
      </c>
      <c r="F7" s="25">
        <v>3</v>
      </c>
      <c r="G7" s="25">
        <v>20250729</v>
      </c>
      <c r="H7" s="35">
        <v>10000</v>
      </c>
      <c r="I7" s="25">
        <v>10000750</v>
      </c>
      <c r="J7" s="25" t="s">
        <v>96</v>
      </c>
      <c r="K7" s="25">
        <v>19</v>
      </c>
      <c r="L7" s="36">
        <v>190000</v>
      </c>
      <c r="M7" s="37" t="str">
        <f t="shared" si="3"/>
        <v>USD</v>
      </c>
      <c r="N7" s="25"/>
      <c r="O7" s="25" t="s">
        <v>95</v>
      </c>
      <c r="P7" s="25" t="s">
        <v>95</v>
      </c>
      <c r="Q7" s="38">
        <v>0.77152777777777781</v>
      </c>
      <c r="R7" s="32"/>
      <c r="S7" s="25">
        <f t="shared" si="0"/>
        <v>112</v>
      </c>
      <c r="T7" s="25" t="str">
        <f t="shared" si="4"/>
        <v>FX</v>
      </c>
      <c r="U7" s="25" t="str">
        <f t="shared" si="5"/>
        <v>V</v>
      </c>
      <c r="V7" s="42" t="str">
        <f t="shared" si="13"/>
        <v>VFX</v>
      </c>
      <c r="W7" s="25">
        <f t="shared" si="6"/>
        <v>6415</v>
      </c>
      <c r="X7" s="25">
        <f t="shared" si="7"/>
        <v>1</v>
      </c>
      <c r="Y7" s="25">
        <f t="shared" si="2"/>
        <v>10000</v>
      </c>
      <c r="Z7" s="25">
        <f t="shared" si="8"/>
        <v>20250729</v>
      </c>
      <c r="AA7" s="25" t="str">
        <f t="shared" si="9"/>
        <v>FX2520545503</v>
      </c>
      <c r="AB7" s="25" t="str">
        <f t="shared" si="10"/>
        <v>USD</v>
      </c>
      <c r="AC7" s="25" t="str">
        <f t="shared" si="11"/>
        <v>N/A</v>
      </c>
      <c r="AD7" s="25">
        <f t="shared" si="12"/>
        <v>20250612</v>
      </c>
    </row>
    <row r="8" spans="1:30">
      <c r="A8" s="25" t="s">
        <v>57</v>
      </c>
      <c r="B8" s="25" t="s">
        <v>98</v>
      </c>
      <c r="C8" s="25">
        <v>20250724</v>
      </c>
      <c r="D8" s="25">
        <v>20250724</v>
      </c>
      <c r="E8" s="25" t="s">
        <v>95</v>
      </c>
      <c r="F8" s="25">
        <v>3</v>
      </c>
      <c r="G8" s="25">
        <v>20250729</v>
      </c>
      <c r="H8" s="35">
        <v>10000</v>
      </c>
      <c r="I8" s="25">
        <v>10000750</v>
      </c>
      <c r="J8" s="25" t="s">
        <v>52</v>
      </c>
      <c r="K8" s="25">
        <v>19</v>
      </c>
      <c r="L8" s="36">
        <v>190000</v>
      </c>
      <c r="M8" s="37" t="str">
        <f t="shared" si="3"/>
        <v>MXN</v>
      </c>
      <c r="N8" s="25"/>
      <c r="O8" s="25" t="s">
        <v>95</v>
      </c>
      <c r="P8" s="25" t="s">
        <v>95</v>
      </c>
      <c r="Q8" s="38">
        <v>0.77152777777777781</v>
      </c>
      <c r="R8" s="32"/>
      <c r="S8" s="25">
        <f t="shared" si="0"/>
        <v>112</v>
      </c>
      <c r="T8" s="25" t="str">
        <f t="shared" si="4"/>
        <v>FW</v>
      </c>
      <c r="U8" s="25" t="str">
        <f t="shared" si="5"/>
        <v>C</v>
      </c>
      <c r="V8" s="42" t="str">
        <f t="shared" si="13"/>
        <v>CFW</v>
      </c>
      <c r="W8" s="25">
        <f t="shared" si="6"/>
        <v>3561</v>
      </c>
      <c r="X8" s="25">
        <f t="shared" si="7"/>
        <v>1</v>
      </c>
      <c r="Y8" s="25">
        <f t="shared" si="2"/>
        <v>10000</v>
      </c>
      <c r="Z8" s="25">
        <f t="shared" si="8"/>
        <v>20250729</v>
      </c>
      <c r="AA8" s="25" t="str">
        <f t="shared" si="9"/>
        <v>FX2520528523</v>
      </c>
      <c r="AB8" s="25" t="str">
        <f t="shared" si="10"/>
        <v>USD</v>
      </c>
      <c r="AC8" s="25" t="str">
        <f t="shared" si="11"/>
        <v>N/A</v>
      </c>
      <c r="AD8" s="25">
        <f t="shared" si="12"/>
        <v>20250612</v>
      </c>
    </row>
    <row r="9" spans="1:30">
      <c r="A9" s="25" t="s">
        <v>58</v>
      </c>
      <c r="B9" s="25" t="s">
        <v>98</v>
      </c>
      <c r="C9" s="25">
        <v>20250724</v>
      </c>
      <c r="D9" s="25">
        <v>20250724</v>
      </c>
      <c r="E9" s="25" t="s">
        <v>95</v>
      </c>
      <c r="F9" s="25">
        <v>4</v>
      </c>
      <c r="G9" s="25">
        <v>20250730</v>
      </c>
      <c r="H9" s="35">
        <v>15000</v>
      </c>
      <c r="I9" s="25">
        <v>10000750</v>
      </c>
      <c r="J9" s="25" t="s">
        <v>96</v>
      </c>
      <c r="K9" s="25">
        <v>18.5</v>
      </c>
      <c r="L9" s="36">
        <v>277500</v>
      </c>
      <c r="M9" s="37" t="str">
        <f t="shared" si="3"/>
        <v>USD</v>
      </c>
      <c r="N9" s="25"/>
      <c r="O9" s="25" t="s">
        <v>95</v>
      </c>
      <c r="P9" s="25" t="s">
        <v>95</v>
      </c>
      <c r="Q9" s="38">
        <v>0.51944444444444449</v>
      </c>
      <c r="R9" s="32"/>
      <c r="S9" s="25">
        <f t="shared" si="0"/>
        <v>112</v>
      </c>
      <c r="T9" s="25" t="str">
        <f t="shared" si="4"/>
        <v>FW</v>
      </c>
      <c r="U9" s="25" t="str">
        <f t="shared" si="5"/>
        <v>V</v>
      </c>
      <c r="V9" s="42" t="str">
        <f t="shared" si="13"/>
        <v>VFW</v>
      </c>
      <c r="W9" s="25">
        <f t="shared" si="6"/>
        <v>6477</v>
      </c>
      <c r="X9" s="25">
        <f t="shared" si="7"/>
        <v>1</v>
      </c>
      <c r="Y9" s="25">
        <f t="shared" si="2"/>
        <v>15000</v>
      </c>
      <c r="Z9" s="25">
        <f t="shared" si="8"/>
        <v>20250730</v>
      </c>
      <c r="AA9" s="25" t="str">
        <f t="shared" si="9"/>
        <v>FX2520560074</v>
      </c>
      <c r="AB9" s="25" t="str">
        <f t="shared" si="10"/>
        <v>USD</v>
      </c>
      <c r="AC9" s="25" t="str">
        <f t="shared" si="11"/>
        <v>N/A</v>
      </c>
      <c r="AD9" s="25">
        <f t="shared" si="12"/>
        <v>20250612</v>
      </c>
    </row>
    <row r="10" spans="1:30">
      <c r="A10" s="25" t="s">
        <v>59</v>
      </c>
      <c r="B10" s="25" t="s">
        <v>98</v>
      </c>
      <c r="C10" s="25">
        <v>20250729</v>
      </c>
      <c r="D10" s="25">
        <v>20250729</v>
      </c>
      <c r="E10" s="25" t="s">
        <v>95</v>
      </c>
      <c r="F10" s="25">
        <v>3</v>
      </c>
      <c r="G10" s="25">
        <v>20250801</v>
      </c>
      <c r="H10" s="35">
        <v>12000</v>
      </c>
      <c r="I10" s="25">
        <v>10000750</v>
      </c>
      <c r="J10" s="25" t="s">
        <v>52</v>
      </c>
      <c r="K10" s="25">
        <v>19</v>
      </c>
      <c r="L10" s="36">
        <v>228000</v>
      </c>
      <c r="M10" s="37" t="str">
        <f t="shared" si="3"/>
        <v>MXN</v>
      </c>
      <c r="N10" s="25"/>
      <c r="O10" s="25" t="s">
        <v>95</v>
      </c>
      <c r="P10" s="25" t="s">
        <v>95</v>
      </c>
      <c r="Q10" s="38">
        <v>0.71805555555555556</v>
      </c>
      <c r="R10" s="32"/>
      <c r="S10" s="25">
        <f t="shared" si="0"/>
        <v>117</v>
      </c>
      <c r="T10" s="25" t="str">
        <f t="shared" si="4"/>
        <v>FW</v>
      </c>
      <c r="U10" s="25" t="str">
        <f t="shared" si="5"/>
        <v>C</v>
      </c>
      <c r="V10" s="42" t="str">
        <f t="shared" si="13"/>
        <v>CFW</v>
      </c>
      <c r="W10" s="25">
        <f t="shared" si="6"/>
        <v>3561</v>
      </c>
      <c r="X10" s="25">
        <f t="shared" si="7"/>
        <v>1</v>
      </c>
      <c r="Y10" s="25">
        <f t="shared" si="2"/>
        <v>12000</v>
      </c>
      <c r="Z10" s="25">
        <f t="shared" si="8"/>
        <v>20250801</v>
      </c>
      <c r="AA10" s="25" t="str">
        <f t="shared" si="9"/>
        <v>FX2521048565</v>
      </c>
      <c r="AB10" s="25" t="str">
        <f t="shared" si="10"/>
        <v>USD</v>
      </c>
      <c r="AC10" s="25" t="str">
        <f t="shared" si="11"/>
        <v>N/A</v>
      </c>
      <c r="AD10" s="25">
        <f t="shared" si="12"/>
        <v>20250612</v>
      </c>
    </row>
    <row r="11" spans="1:30">
      <c r="A11" s="25" t="s">
        <v>60</v>
      </c>
      <c r="B11" s="25" t="s">
        <v>98</v>
      </c>
      <c r="C11" s="25">
        <v>20250805</v>
      </c>
      <c r="D11" s="25">
        <v>20250805</v>
      </c>
      <c r="E11" s="25" t="s">
        <v>95</v>
      </c>
      <c r="F11" s="25">
        <v>8</v>
      </c>
      <c r="G11" s="25">
        <v>20250815</v>
      </c>
      <c r="H11" s="35">
        <v>1000000001</v>
      </c>
      <c r="I11" s="25">
        <v>10000963</v>
      </c>
      <c r="J11" s="25" t="s">
        <v>52</v>
      </c>
      <c r="K11" s="25">
        <v>19.5</v>
      </c>
      <c r="L11" s="36">
        <v>19500000019.5</v>
      </c>
      <c r="M11" s="37" t="str">
        <f t="shared" si="3"/>
        <v>MXN</v>
      </c>
      <c r="N11" s="25"/>
      <c r="O11" s="25" t="s">
        <v>95</v>
      </c>
      <c r="P11" s="25" t="s">
        <v>95</v>
      </c>
      <c r="Q11" s="38">
        <v>0.66805555555555551</v>
      </c>
      <c r="R11" s="32"/>
      <c r="S11" s="25">
        <f t="shared" si="0"/>
        <v>193</v>
      </c>
      <c r="T11" s="25" t="str">
        <f t="shared" si="4"/>
        <v>FW</v>
      </c>
      <c r="U11" s="25" t="str">
        <f t="shared" si="5"/>
        <v>C</v>
      </c>
      <c r="V11" s="42" t="str">
        <f t="shared" si="13"/>
        <v>CFW</v>
      </c>
      <c r="W11" s="25">
        <f t="shared" si="6"/>
        <v>3561</v>
      </c>
      <c r="X11" s="25">
        <f t="shared" si="7"/>
        <v>1</v>
      </c>
      <c r="Y11" s="25">
        <f t="shared" si="2"/>
        <v>1000000001</v>
      </c>
      <c r="Z11" s="25">
        <f t="shared" si="8"/>
        <v>20250815</v>
      </c>
      <c r="AA11" s="25" t="str">
        <f t="shared" si="9"/>
        <v>FX2521701258</v>
      </c>
      <c r="AB11" s="25" t="str">
        <f t="shared" si="10"/>
        <v>USD</v>
      </c>
      <c r="AC11" s="25" t="str">
        <f t="shared" si="11"/>
        <v>N/A</v>
      </c>
      <c r="AD11" s="25">
        <f t="shared" si="12"/>
        <v>20250612</v>
      </c>
    </row>
    <row r="12" spans="1:30">
      <c r="A12" s="25" t="s">
        <v>61</v>
      </c>
      <c r="B12" s="25" t="s">
        <v>98</v>
      </c>
      <c r="C12" s="25">
        <v>20250805</v>
      </c>
      <c r="D12" s="25">
        <v>20250805</v>
      </c>
      <c r="E12" s="25" t="s">
        <v>95</v>
      </c>
      <c r="F12" s="25">
        <v>13</v>
      </c>
      <c r="G12" s="25">
        <v>20250822</v>
      </c>
      <c r="H12" s="35">
        <v>22000002</v>
      </c>
      <c r="I12" s="25">
        <v>10000963</v>
      </c>
      <c r="J12" s="25" t="s">
        <v>52</v>
      </c>
      <c r="K12" s="25">
        <v>19.5</v>
      </c>
      <c r="L12" s="36">
        <v>429000039</v>
      </c>
      <c r="M12" s="37" t="str">
        <f t="shared" si="3"/>
        <v>MXN</v>
      </c>
      <c r="N12" s="25"/>
      <c r="O12" s="25" t="s">
        <v>99</v>
      </c>
      <c r="P12" s="25" t="s">
        <v>100</v>
      </c>
      <c r="Q12" s="38">
        <v>0.66874999999999996</v>
      </c>
      <c r="R12" s="32"/>
      <c r="S12" s="25">
        <f t="shared" si="0"/>
        <v>193</v>
      </c>
      <c r="T12" s="25" t="str">
        <f t="shared" si="4"/>
        <v>FW</v>
      </c>
      <c r="U12" s="25" t="str">
        <f t="shared" si="5"/>
        <v>C</v>
      </c>
      <c r="V12" s="42" t="str">
        <f t="shared" si="13"/>
        <v>CFW</v>
      </c>
      <c r="W12" s="25">
        <f t="shared" si="6"/>
        <v>3561</v>
      </c>
      <c r="X12" s="25">
        <f t="shared" si="7"/>
        <v>1</v>
      </c>
      <c r="Y12" s="25">
        <f t="shared" si="2"/>
        <v>22000002</v>
      </c>
      <c r="Z12" s="25">
        <f t="shared" si="8"/>
        <v>20250822</v>
      </c>
      <c r="AA12" s="25" t="str">
        <f t="shared" si="9"/>
        <v>FX2521774163</v>
      </c>
      <c r="AB12" s="25" t="str">
        <f t="shared" si="10"/>
        <v>USD</v>
      </c>
      <c r="AC12" s="25" t="str">
        <f t="shared" si="11"/>
        <v>N/A</v>
      </c>
      <c r="AD12" s="25">
        <f t="shared" si="12"/>
        <v>20250612</v>
      </c>
    </row>
    <row r="13" spans="1:30">
      <c r="A13" s="25" t="s">
        <v>62</v>
      </c>
      <c r="B13" s="25" t="s">
        <v>98</v>
      </c>
      <c r="C13" s="25">
        <v>20250805</v>
      </c>
      <c r="D13" s="25">
        <v>20250805</v>
      </c>
      <c r="E13" s="25" t="s">
        <v>95</v>
      </c>
      <c r="F13" s="25">
        <v>18</v>
      </c>
      <c r="G13" s="25">
        <v>20250829</v>
      </c>
      <c r="H13" s="35">
        <v>33000003</v>
      </c>
      <c r="I13" s="25">
        <v>10000963</v>
      </c>
      <c r="J13" s="25" t="s">
        <v>52</v>
      </c>
      <c r="K13" s="25">
        <v>19.5</v>
      </c>
      <c r="L13" s="36">
        <v>643500058.5</v>
      </c>
      <c r="M13" s="37" t="str">
        <f t="shared" si="3"/>
        <v>MXN</v>
      </c>
      <c r="N13" s="25"/>
      <c r="O13" s="25" t="s">
        <v>101</v>
      </c>
      <c r="P13" s="25" t="s">
        <v>100</v>
      </c>
      <c r="Q13" s="38">
        <v>0.66874999999999996</v>
      </c>
      <c r="R13" s="32"/>
      <c r="S13" s="25">
        <f t="shared" si="0"/>
        <v>193</v>
      </c>
      <c r="T13" s="25" t="str">
        <f t="shared" si="4"/>
        <v>FW</v>
      </c>
      <c r="U13" s="25" t="str">
        <f t="shared" si="5"/>
        <v>C</v>
      </c>
      <c r="V13" s="42" t="str">
        <f t="shared" si="13"/>
        <v>CFW</v>
      </c>
      <c r="W13" s="25">
        <f t="shared" si="6"/>
        <v>3561</v>
      </c>
      <c r="X13" s="25">
        <f t="shared" si="7"/>
        <v>1</v>
      </c>
      <c r="Y13" s="25">
        <f t="shared" si="2"/>
        <v>33000003</v>
      </c>
      <c r="Z13" s="25">
        <f t="shared" si="8"/>
        <v>20250829</v>
      </c>
      <c r="AA13" s="25" t="str">
        <f t="shared" si="9"/>
        <v>FX2521764604</v>
      </c>
      <c r="AB13" s="25" t="str">
        <f t="shared" si="10"/>
        <v>USD</v>
      </c>
      <c r="AC13" s="25" t="str">
        <f t="shared" si="11"/>
        <v>N/A</v>
      </c>
      <c r="AD13" s="25">
        <f t="shared" si="12"/>
        <v>20250612</v>
      </c>
    </row>
    <row r="14" spans="1:30" ht="15.75" thickBot="1"/>
    <row r="15" spans="1:30" ht="15.75" thickBot="1">
      <c r="A15" s="28" t="s">
        <v>102</v>
      </c>
      <c r="B15" s="39">
        <v>20250612</v>
      </c>
    </row>
    <row r="19" spans="3:23">
      <c r="O19" s="40" t="s">
        <v>14</v>
      </c>
    </row>
    <row r="20" spans="3:23">
      <c r="O20" s="43" t="s">
        <v>103</v>
      </c>
      <c r="P20" t="s">
        <v>72</v>
      </c>
    </row>
    <row r="21" spans="3:23">
      <c r="D21" s="28"/>
      <c r="E21" s="28"/>
      <c r="F21" s="28"/>
      <c r="G21" s="28"/>
      <c r="H21" s="28"/>
      <c r="I21" s="28"/>
      <c r="J21" s="28"/>
      <c r="K21" s="28"/>
      <c r="L21" s="28"/>
      <c r="O21" s="43"/>
      <c r="P21">
        <v>3050</v>
      </c>
      <c r="Q21" t="s">
        <v>51</v>
      </c>
    </row>
    <row r="22" spans="3:23">
      <c r="O22" s="43" t="s">
        <v>104</v>
      </c>
      <c r="P22">
        <v>3515</v>
      </c>
      <c r="Q22" t="s">
        <v>64</v>
      </c>
      <c r="U22" t="s">
        <v>105</v>
      </c>
      <c r="V22" t="s">
        <v>94</v>
      </c>
      <c r="W22" t="s">
        <v>97</v>
      </c>
    </row>
    <row r="23" spans="3:23">
      <c r="O23" s="43" t="s">
        <v>106</v>
      </c>
      <c r="P23">
        <v>3561</v>
      </c>
      <c r="Q23" t="s">
        <v>65</v>
      </c>
      <c r="U23" t="s">
        <v>105</v>
      </c>
      <c r="V23" t="s">
        <v>98</v>
      </c>
    </row>
    <row r="24" spans="3:23">
      <c r="O24" s="43"/>
      <c r="P24">
        <v>3636</v>
      </c>
      <c r="Q24" t="s">
        <v>66</v>
      </c>
      <c r="U24" t="s">
        <v>105</v>
      </c>
    </row>
    <row r="25" spans="3:23">
      <c r="O25" s="43" t="s">
        <v>107</v>
      </c>
      <c r="P25">
        <v>6415</v>
      </c>
      <c r="Q25" t="s">
        <v>67</v>
      </c>
      <c r="U25" t="s">
        <v>108</v>
      </c>
      <c r="V25" t="s">
        <v>94</v>
      </c>
      <c r="W25" t="s">
        <v>97</v>
      </c>
    </row>
    <row r="26" spans="3:23">
      <c r="O26" s="43" t="s">
        <v>109</v>
      </c>
      <c r="P26">
        <v>6477</v>
      </c>
      <c r="Q26" t="s">
        <v>68</v>
      </c>
      <c r="U26" t="s">
        <v>108</v>
      </c>
      <c r="V26" t="s">
        <v>98</v>
      </c>
    </row>
    <row r="27" spans="3:23" ht="15.75">
      <c r="C27" s="29"/>
      <c r="O27" s="43"/>
      <c r="P27">
        <v>6542</v>
      </c>
      <c r="Q27" t="s">
        <v>69</v>
      </c>
      <c r="U27" t="s">
        <v>108</v>
      </c>
    </row>
    <row r="28" spans="3:23">
      <c r="O28" s="43"/>
      <c r="P28">
        <v>7635</v>
      </c>
      <c r="Q28" t="s">
        <v>70</v>
      </c>
    </row>
    <row r="29" spans="3:23">
      <c r="O29" s="43"/>
      <c r="P29">
        <v>7790</v>
      </c>
      <c r="Q29" t="s">
        <v>71</v>
      </c>
    </row>
  </sheetData>
  <mergeCells count="2">
    <mergeCell ref="A1:Q1"/>
    <mergeCell ref="S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C146-8795-4A5F-ACD0-95ADFE0AA904}">
  <dimension ref="A1:A4"/>
  <sheetViews>
    <sheetView workbookViewId="0">
      <selection activeCell="A8" sqref="A8"/>
    </sheetView>
  </sheetViews>
  <sheetFormatPr baseColWidth="10" defaultRowHeight="15"/>
  <cols>
    <col min="1" max="1" width="113.28515625" customWidth="1"/>
    <col min="2" max="2" width="10.42578125" customWidth="1"/>
  </cols>
  <sheetData>
    <row r="1" spans="1:1" ht="75">
      <c r="A1" s="45" t="s">
        <v>113</v>
      </c>
    </row>
    <row r="2" spans="1:1" ht="45">
      <c r="A2" s="45" t="s">
        <v>114</v>
      </c>
    </row>
    <row r="3" spans="1:1" ht="45">
      <c r="A3" s="45" t="s">
        <v>115</v>
      </c>
    </row>
    <row r="4" spans="1:1" ht="75">
      <c r="A4" s="45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C7FE4-CD34-4C75-A9DD-836044652119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297BD9C3-A1E8-4020-B74C-C0A102725C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A47418-D95E-424B-AC2A-5B8943908D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 I_V</vt:lpstr>
      <vt:lpstr>ORIGEN y SALIDA</vt:lpstr>
      <vt:lpstr>REGLAS_NEGOCIO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2014-02-24T21:47:48Z</dcterms:created>
  <dcterms:modified xsi:type="dcterms:W3CDTF">2026-07-14T19:14:43Z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