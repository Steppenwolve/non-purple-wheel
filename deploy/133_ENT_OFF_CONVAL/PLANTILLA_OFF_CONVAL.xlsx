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OFF_CONVAL" sheetId="2" state="visible" r:id="rId2"/>
    <sheet name="CAT_POSICIONOPERACION_V4" sheetId="3" state="hidden" r:id="rId3"/>
    <sheet name="CAT_OBJ_OPE_V1" sheetId="4" state="hidden" r:id="rId4"/>
    <sheet name="CAT_PAQ_EST_DER_V1" sheetId="5" state="hidden" r:id="rId5"/>
    <sheet name="CAT_MONEDAISO" sheetId="6" state="hidden" r:id="rId6"/>
    <sheet name="CHK" sheetId="7" state="hidden" r:id="rId7"/>
  </sheets>
  <definedNames>
    <definedName name="CL_POSICIONOPERACION_V4">CAT_POSICIONOPERACION_V4!$A$2:$A$3</definedName>
    <definedName name="CL_OBJ_OPE_V1">CAT_OBJ_OPE_V1!$A$2:$A$8</definedName>
    <definedName name="CL_PAQ_EST_DER_V1">CAT_PAQ_EST_DER_V1!$A$2:$A$40</definedName>
    <definedName name="CL_MONEDAISO">CAT_MONEDAISO!$A$2:$A$190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Fecha Concertacion
COMENTARIO BW:
(sin comentarios)</t>
      </text>
    </comment>
    <comment ref="B1" authorId="0" shapeId="0">
      <text>
        <t>DESCRIPCION:
Numero de Operacion
COMENTARIO BW:
Llave del insumo y de la operacion.</t>
      </text>
    </comment>
    <comment ref="C1" authorId="0" shapeId="0">
      <text>
        <t>DESCRIPCION:
Posición de operación
COMENTARIO BW:
(sin comentarios)</t>
      </text>
    </comment>
    <comment ref="D1" authorId="0" shapeId="0">
      <text>
        <t>DESCRIPCION:
Objetivo de la operación
COMENTARIO BW:
(sin comentarios)</t>
      </text>
    </comment>
    <comment ref="E1" authorId="0" shapeId="0">
      <text>
        <t>DESCRIPCION:
La Operacion es parte de una operacion estructurada o paquete
COMENTARIO BW:
(sin comentarios)</t>
      </text>
    </comment>
    <comment ref="F1" authorId="0" shapeId="0">
      <text>
        <t>DESCRIPCION:
Clave o Folio con el que se identifica al conjunto de operaciones que forman parte de una operacion estructurada o paquete
COMENTARIO BW:
(sin comentarios)</t>
      </text>
    </comment>
    <comment ref="G1" authorId="0" shapeId="0">
      <text>
        <t>DESCRIPCION:
Numero consecutivo para identificar a la operacion qe forma parte de una operacion estructurada o paquete
COMENTARIO BW:
(sin comentarios)</t>
      </text>
    </comment>
    <comment ref="H1" authorId="0" shapeId="0">
      <text>
        <t>DESCRIPCION:
Valuacion Activa
COMENTARIO BW:
(sin comentarios)</t>
      </text>
    </comment>
    <comment ref="I1" authorId="0" shapeId="0">
      <text>
        <t>DESCRIPCION:
Moneda de la valuacion ACTIVA
COMENTARIO BW:
(sin comentarios)</t>
      </text>
    </comment>
    <comment ref="J1" authorId="0" shapeId="0">
      <text>
        <t>DESCRIPCION:
Valuacion Pasiva
COMENTARIO BW:
(sin comentarios)</t>
      </text>
    </comment>
    <comment ref="K1" authorId="0" shapeId="0">
      <text>
        <t>DESCRIPCION:
Moneda de la valuacion PASIVA
COMENTARIO BW:
(sin comentarios)</t>
      </text>
    </comment>
    <comment ref="L1" authorId="0" shapeId="0">
      <text>
        <t>DESCRIPCION:
Activos de duración
COMENTARIO BW:
(sin comentarios)</t>
      </text>
    </comment>
    <comment ref="M1" authorId="0" shapeId="0">
      <text>
        <t>DESCRIPCION:
Responsabilidad de duración
COMENTARIO BW:
(sin comentarios)</t>
      </text>
    </comment>
    <comment ref="N1" authorId="0" shapeId="0">
      <text>
        <t>DESCRIPCION:
Número de identificación de Colateral
COMENTARIO BW:
(sin comentarios)</t>
      </text>
    </comment>
    <comment ref="O1" authorId="0" shapeId="0">
      <text>
        <t>DESCRIPCION:
NOCIONAL
COMENTARIO BW:
(sin comentarios)</t>
      </text>
    </comment>
    <comment ref="P1" authorId="0" shapeId="0">
      <text>
        <t>DESCRIPCION:
Moneda del NOCIONAL
COMENTARIO BW:
(sin comentarios)</t>
      </text>
    </comment>
    <comment ref="Q1" authorId="0" shapeId="0">
      <text>
        <t>DESCRIPCION:
(sin descripción)
COMENTARIO BW:
(sin comentarios)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SUM(CHK!A2:Q201)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FE_CON_OPE</t>
        </is>
      </c>
      <c r="C6" t="inlineStr">
        <is>
          <t>FECHA</t>
        </is>
      </c>
      <c r="D6" t="inlineStr">
        <is>
          <t>AAAA/MM/DD</t>
        </is>
      </c>
      <c r="E6" t="inlineStr">
        <is>
          <t>—</t>
        </is>
      </c>
      <c r="F6">
        <f>SUM(CHK!A2:A201)</f>
        <v/>
      </c>
      <c r="G6">
        <f>COUNTBLANK('OFF_CONVAL'!A2:A201)</f>
        <v/>
      </c>
    </row>
    <row r="7">
      <c r="A7" t="n">
        <v>2</v>
      </c>
      <c r="B7" t="inlineStr">
        <is>
          <t>NUM_ID</t>
        </is>
      </c>
      <c r="C7" t="inlineStr">
        <is>
          <t>TEXTO</t>
        </is>
      </c>
      <c r="D7" t="inlineStr">
        <is>
          <t>20</t>
        </is>
      </c>
      <c r="E7" t="inlineStr">
        <is>
          <t>—</t>
        </is>
      </c>
      <c r="F7">
        <f>SUM(CHK!B2:B201)</f>
        <v/>
      </c>
      <c r="G7">
        <f>COUNTBLANK('OFF_CONVAL'!B2:B201)</f>
        <v/>
      </c>
    </row>
    <row r="8">
      <c r="A8" t="n">
        <v>3</v>
      </c>
      <c r="B8" t="inlineStr">
        <is>
          <t>POS_OPER</t>
        </is>
      </c>
      <c r="C8" t="inlineStr">
        <is>
          <t>TEXTO</t>
        </is>
      </c>
      <c r="D8" t="inlineStr">
        <is>
          <t>1</t>
        </is>
      </c>
      <c r="E8" t="inlineStr">
        <is>
          <t>PosicionOperacion_V4</t>
        </is>
      </c>
      <c r="F8">
        <f>SUM(CHK!C2:C201)</f>
        <v/>
      </c>
      <c r="G8">
        <f>COUNTBLANK('OFF_CONVAL'!C2:C201)</f>
        <v/>
      </c>
    </row>
    <row r="9">
      <c r="A9" t="n">
        <v>4</v>
      </c>
      <c r="B9" t="inlineStr">
        <is>
          <t>OBJ_OPE</t>
        </is>
      </c>
      <c r="C9" t="inlineStr">
        <is>
          <t>TEXTO</t>
        </is>
      </c>
      <c r="D9" t="inlineStr">
        <is>
          <t>2</t>
        </is>
      </c>
      <c r="E9" t="inlineStr">
        <is>
          <t>OBJ_OPE_V1</t>
        </is>
      </c>
      <c r="F9">
        <f>SUM(CHK!D2:D201)</f>
        <v/>
      </c>
      <c r="G9">
        <f>COUNTBLANK('OFF_CONVAL'!D2:D201)</f>
        <v/>
      </c>
    </row>
    <row r="10">
      <c r="A10" t="n">
        <v>5</v>
      </c>
      <c r="B10" t="inlineStr">
        <is>
          <t>PAQ_EST</t>
        </is>
      </c>
      <c r="C10" t="inlineStr">
        <is>
          <t>NUMERICO</t>
        </is>
      </c>
      <c r="D10" t="inlineStr">
        <is>
          <t>2</t>
        </is>
      </c>
      <c r="E10" t="inlineStr">
        <is>
          <t>PAQ_EST_DER_V1</t>
        </is>
      </c>
      <c r="F10">
        <f>SUM(CHK!E2:E201)</f>
        <v/>
      </c>
      <c r="G10">
        <f>COUNTBLANK('OFF_CONVAL'!E2:E201)</f>
        <v/>
      </c>
    </row>
    <row r="11">
      <c r="A11" t="n">
        <v>6</v>
      </c>
      <c r="B11" t="inlineStr">
        <is>
          <t>ID_PAQ_EST</t>
        </is>
      </c>
      <c r="C11" t="inlineStr">
        <is>
          <t>TEXTO</t>
        </is>
      </c>
      <c r="D11" t="inlineStr">
        <is>
          <t>20</t>
        </is>
      </c>
      <c r="E11" t="inlineStr">
        <is>
          <t>—</t>
        </is>
      </c>
      <c r="F11">
        <f>SUM(CHK!F2:F201)</f>
        <v/>
      </c>
      <c r="G11">
        <f>COUNTBLANK('OFF_CONVAL'!F2:F201)</f>
        <v/>
      </c>
    </row>
    <row r="12">
      <c r="A12" t="n">
        <v>7</v>
      </c>
      <c r="B12" t="inlineStr">
        <is>
          <t>CON_PAQ_EST</t>
        </is>
      </c>
      <c r="C12" t="inlineStr">
        <is>
          <t>NUMERICO</t>
        </is>
      </c>
      <c r="D12" t="inlineStr">
        <is>
          <t>3</t>
        </is>
      </c>
      <c r="E12" t="inlineStr">
        <is>
          <t>—</t>
        </is>
      </c>
      <c r="F12">
        <f>SUM(CHK!G2:G201)</f>
        <v/>
      </c>
      <c r="G12">
        <f>COUNTBLANK('OFF_CONVAL'!G2:G201)</f>
        <v/>
      </c>
    </row>
    <row r="13">
      <c r="A13" t="n">
        <v>8</v>
      </c>
      <c r="B13" t="inlineStr">
        <is>
          <t>ACT_OPE</t>
        </is>
      </c>
      <c r="C13" t="inlineStr">
        <is>
          <t>NUMERICO</t>
        </is>
      </c>
      <c r="D13" t="inlineStr">
        <is>
          <t>15</t>
        </is>
      </c>
      <c r="E13" t="inlineStr">
        <is>
          <t>—</t>
        </is>
      </c>
      <c r="F13">
        <f>SUM(CHK!H2:H201)</f>
        <v/>
      </c>
      <c r="G13">
        <f>COUNTBLANK('OFF_CONVAL'!H2:H201)</f>
        <v/>
      </c>
    </row>
    <row r="14">
      <c r="A14" t="n">
        <v>9</v>
      </c>
      <c r="B14" t="inlineStr">
        <is>
          <t>MON_ACT_OPE</t>
        </is>
      </c>
      <c r="C14" t="inlineStr">
        <is>
          <t>TEXTO</t>
        </is>
      </c>
      <c r="D14" t="inlineStr">
        <is>
          <t>3</t>
        </is>
      </c>
      <c r="E14" t="inlineStr">
        <is>
          <t>MonedaISO</t>
        </is>
      </c>
      <c r="F14">
        <f>SUM(CHK!I2:I201)</f>
        <v/>
      </c>
      <c r="G14">
        <f>COUNTBLANK('OFF_CONVAL'!I2:I201)</f>
        <v/>
      </c>
    </row>
    <row r="15">
      <c r="A15" t="n">
        <v>10</v>
      </c>
      <c r="B15" t="inlineStr">
        <is>
          <t>PAS_OPE</t>
        </is>
      </c>
      <c r="C15" t="inlineStr">
        <is>
          <t>NUMERICO</t>
        </is>
      </c>
      <c r="D15" t="inlineStr">
        <is>
          <t>15</t>
        </is>
      </c>
      <c r="E15" t="inlineStr">
        <is>
          <t>—</t>
        </is>
      </c>
      <c r="F15">
        <f>SUM(CHK!J2:J201)</f>
        <v/>
      </c>
      <c r="G15">
        <f>COUNTBLANK('OFF_CONVAL'!J2:J201)</f>
        <v/>
      </c>
    </row>
    <row r="16">
      <c r="A16" t="n">
        <v>11</v>
      </c>
      <c r="B16" t="inlineStr">
        <is>
          <t>MON_PAS_OPE</t>
        </is>
      </c>
      <c r="C16" t="inlineStr">
        <is>
          <t>TEXTO</t>
        </is>
      </c>
      <c r="D16" t="inlineStr">
        <is>
          <t>3</t>
        </is>
      </c>
      <c r="E16" t="inlineStr">
        <is>
          <t>MonedaISO</t>
        </is>
      </c>
      <c r="F16">
        <f>SUM(CHK!K2:K201)</f>
        <v/>
      </c>
      <c r="G16">
        <f>COUNTBLANK('OFF_CONVAL'!K2:K201)</f>
        <v/>
      </c>
    </row>
    <row r="17">
      <c r="A17" t="n">
        <v>12</v>
      </c>
      <c r="B17" t="inlineStr">
        <is>
          <t>DUR_ACT</t>
        </is>
      </c>
      <c r="C17" t="inlineStr">
        <is>
          <t>NUMERICO</t>
        </is>
      </c>
      <c r="D17" t="inlineStr">
        <is>
          <t>5</t>
        </is>
      </c>
      <c r="E17" t="inlineStr">
        <is>
          <t>—</t>
        </is>
      </c>
      <c r="F17">
        <f>SUM(CHK!L2:L201)</f>
        <v/>
      </c>
      <c r="G17">
        <f>COUNTBLANK('OFF_CONVAL'!L2:L201)</f>
        <v/>
      </c>
    </row>
    <row r="18">
      <c r="A18" t="n">
        <v>13</v>
      </c>
      <c r="B18" t="inlineStr">
        <is>
          <t>DUR_PAS</t>
        </is>
      </c>
      <c r="C18" t="inlineStr">
        <is>
          <t>NUMERICO</t>
        </is>
      </c>
      <c r="D18" t="inlineStr">
        <is>
          <t>5</t>
        </is>
      </c>
      <c r="E18" t="inlineStr">
        <is>
          <t>—</t>
        </is>
      </c>
      <c r="F18">
        <f>SUM(CHK!M2:M201)</f>
        <v/>
      </c>
      <c r="G18">
        <f>COUNTBLANK('OFF_CONVAL'!M2:M201)</f>
        <v/>
      </c>
    </row>
    <row r="19">
      <c r="A19" t="n">
        <v>14</v>
      </c>
      <c r="B19" t="inlineStr">
        <is>
          <t>ID_GAR_VG</t>
        </is>
      </c>
      <c r="C19" t="inlineStr">
        <is>
          <t>TEXTO</t>
        </is>
      </c>
      <c r="D19" t="inlineStr">
        <is>
          <t>20</t>
        </is>
      </c>
      <c r="E19" t="inlineStr">
        <is>
          <t>—</t>
        </is>
      </c>
      <c r="F19">
        <f>SUM(CHK!N2:N201)</f>
        <v/>
      </c>
      <c r="G19">
        <f>COUNTBLANK('OFF_CONVAL'!N2:N201)</f>
        <v/>
      </c>
    </row>
    <row r="20">
      <c r="A20" t="n">
        <v>15</v>
      </c>
      <c r="B20" t="inlineStr">
        <is>
          <t>NOCIONAL</t>
        </is>
      </c>
      <c r="C20" t="inlineStr">
        <is>
          <t>NUMERICO</t>
        </is>
      </c>
      <c r="D20" t="inlineStr">
        <is>
          <t>15</t>
        </is>
      </c>
      <c r="E20" t="inlineStr">
        <is>
          <t>—</t>
        </is>
      </c>
      <c r="F20">
        <f>SUM(CHK!O2:O201)</f>
        <v/>
      </c>
      <c r="G20">
        <f>COUNTBLANK('OFF_CONVAL'!O2:O201)</f>
        <v/>
      </c>
    </row>
    <row r="21">
      <c r="A21" t="n">
        <v>16</v>
      </c>
      <c r="B21" t="inlineStr">
        <is>
          <t>MON_NOCIONAL</t>
        </is>
      </c>
      <c r="C21" t="inlineStr">
        <is>
          <t>TEXTO</t>
        </is>
      </c>
      <c r="D21" t="inlineStr">
        <is>
          <t>3</t>
        </is>
      </c>
      <c r="E21" t="inlineStr">
        <is>
          <t>MonedaISO</t>
        </is>
      </c>
      <c r="F21">
        <f>SUM(CHK!P2:P201)</f>
        <v/>
      </c>
      <c r="G21">
        <f>COUNTBLANK('OFF_CONVAL'!P2:P201)</f>
        <v/>
      </c>
    </row>
    <row r="22">
      <c r="A22" t="n">
        <v>17</v>
      </c>
      <c r="B22" t="inlineStr">
        <is>
          <t>FECHAINFO</t>
        </is>
      </c>
      <c r="C22" t="inlineStr">
        <is>
          <t>FECHA</t>
        </is>
      </c>
      <c r="D22" t="inlineStr">
        <is>
          <t>AAAA/MM/DD</t>
        </is>
      </c>
      <c r="E22" t="inlineStr">
        <is>
          <t>—</t>
        </is>
      </c>
      <c r="F22">
        <f>SUM(CHK!Q2:Q201)</f>
        <v/>
      </c>
      <c r="G22">
        <f>COUNTBLANK('OFF_CONVAL'!Q2:Q201)</f>
        <v/>
      </c>
    </row>
  </sheetData>
  <conditionalFormatting sqref="F6:F22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4" customWidth="1" min="5" max="5"/>
    <col width="22" customWidth="1" min="6" max="6"/>
    <col width="14" customWidth="1" min="7" max="7"/>
    <col width="14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22" customWidth="1" min="14" max="14"/>
    <col width="14" customWidth="1" min="15" max="15"/>
    <col width="10" customWidth="1" min="16" max="16"/>
    <col width="14" customWidth="1" min="17" max="17"/>
  </cols>
  <sheetData>
    <row r="1" ht="30" customHeight="1">
      <c r="A1" s="4" t="inlineStr">
        <is>
          <t>FE_CON_OPE</t>
        </is>
      </c>
      <c r="B1" s="4" t="inlineStr">
        <is>
          <t>NUM_ID</t>
        </is>
      </c>
      <c r="C1" s="4" t="inlineStr">
        <is>
          <t>POS_OPER</t>
        </is>
      </c>
      <c r="D1" s="4" t="inlineStr">
        <is>
          <t>OBJ_OPE</t>
        </is>
      </c>
      <c r="E1" s="4" t="inlineStr">
        <is>
          <t>PAQ_EST</t>
        </is>
      </c>
      <c r="F1" s="4" t="inlineStr">
        <is>
          <t>ID_PAQ_EST</t>
        </is>
      </c>
      <c r="G1" s="4" t="inlineStr">
        <is>
          <t>CON_PAQ_EST</t>
        </is>
      </c>
      <c r="H1" s="4" t="inlineStr">
        <is>
          <t>ACT_OPE</t>
        </is>
      </c>
      <c r="I1" s="4" t="inlineStr">
        <is>
          <t>MON_ACT_OPE</t>
        </is>
      </c>
      <c r="J1" s="4" t="inlineStr">
        <is>
          <t>PAS_OPE</t>
        </is>
      </c>
      <c r="K1" s="4" t="inlineStr">
        <is>
          <t>MON_PAS_OPE</t>
        </is>
      </c>
      <c r="L1" s="4" t="inlineStr">
        <is>
          <t>DUR_ACT</t>
        </is>
      </c>
      <c r="M1" s="4" t="inlineStr">
        <is>
          <t>DUR_PAS</t>
        </is>
      </c>
      <c r="N1" s="4" t="inlineStr">
        <is>
          <t>ID_GAR_VG</t>
        </is>
      </c>
      <c r="O1" s="4" t="inlineStr">
        <is>
          <t>NOCIONAL</t>
        </is>
      </c>
      <c r="P1" s="4" t="inlineStr">
        <is>
          <t>MON_NOCIONAL</t>
        </is>
      </c>
      <c r="Q1" s="4" t="inlineStr">
        <is>
          <t>FECHAINFO</t>
        </is>
      </c>
    </row>
    <row r="2">
      <c r="A2" s="5" t="n"/>
      <c r="B2" s="6" t="n"/>
      <c r="C2" s="6" t="n"/>
      <c r="D2" s="6" t="n"/>
      <c r="E2" s="7" t="n"/>
      <c r="F2" s="6" t="n"/>
      <c r="G2" s="7" t="n"/>
      <c r="H2" s="7" t="n"/>
      <c r="I2" s="6" t="n"/>
      <c r="J2" s="7" t="n"/>
      <c r="K2" s="6" t="n"/>
      <c r="L2" s="7" t="n"/>
      <c r="M2" s="7" t="n"/>
      <c r="N2" s="6" t="n"/>
      <c r="O2" s="7" t="n"/>
      <c r="P2" s="6" t="n"/>
      <c r="Q2" s="8" t="n"/>
    </row>
    <row r="3">
      <c r="A3" s="5" t="n"/>
      <c r="B3" s="6" t="n"/>
      <c r="C3" s="6" t="n"/>
      <c r="D3" s="6" t="n"/>
      <c r="E3" s="7" t="n"/>
      <c r="F3" s="6" t="n"/>
      <c r="G3" s="7" t="n"/>
      <c r="H3" s="7" t="n"/>
      <c r="I3" s="6" t="n"/>
      <c r="J3" s="7" t="n"/>
      <c r="K3" s="6" t="n"/>
      <c r="L3" s="7" t="n"/>
      <c r="M3" s="7" t="n"/>
      <c r="N3" s="6" t="n"/>
      <c r="O3" s="7" t="n"/>
      <c r="P3" s="6" t="n"/>
      <c r="Q3" s="8" t="n"/>
    </row>
    <row r="4">
      <c r="A4" s="5" t="n"/>
      <c r="B4" s="6" t="n"/>
      <c r="C4" s="6" t="n"/>
      <c r="D4" s="6" t="n"/>
      <c r="E4" s="7" t="n"/>
      <c r="F4" s="6" t="n"/>
      <c r="G4" s="7" t="n"/>
      <c r="H4" s="7" t="n"/>
      <c r="I4" s="6" t="n"/>
      <c r="J4" s="7" t="n"/>
      <c r="K4" s="6" t="n"/>
      <c r="L4" s="7" t="n"/>
      <c r="M4" s="7" t="n"/>
      <c r="N4" s="6" t="n"/>
      <c r="O4" s="7" t="n"/>
      <c r="P4" s="6" t="n"/>
      <c r="Q4" s="8" t="n"/>
    </row>
    <row r="5">
      <c r="A5" s="5" t="n"/>
      <c r="B5" s="6" t="n"/>
      <c r="C5" s="6" t="n"/>
      <c r="D5" s="6" t="n"/>
      <c r="E5" s="7" t="n"/>
      <c r="F5" s="6" t="n"/>
      <c r="G5" s="7" t="n"/>
      <c r="H5" s="7" t="n"/>
      <c r="I5" s="6" t="n"/>
      <c r="J5" s="7" t="n"/>
      <c r="K5" s="6" t="n"/>
      <c r="L5" s="7" t="n"/>
      <c r="M5" s="7" t="n"/>
      <c r="N5" s="6" t="n"/>
      <c r="O5" s="7" t="n"/>
      <c r="P5" s="6" t="n"/>
      <c r="Q5" s="8" t="n"/>
    </row>
    <row r="6">
      <c r="A6" s="5" t="n"/>
      <c r="B6" s="6" t="n"/>
      <c r="C6" s="6" t="n"/>
      <c r="D6" s="6" t="n"/>
      <c r="E6" s="7" t="n"/>
      <c r="F6" s="6" t="n"/>
      <c r="G6" s="7" t="n"/>
      <c r="H6" s="7" t="n"/>
      <c r="I6" s="6" t="n"/>
      <c r="J6" s="7" t="n"/>
      <c r="K6" s="6" t="n"/>
      <c r="L6" s="7" t="n"/>
      <c r="M6" s="7" t="n"/>
      <c r="N6" s="6" t="n"/>
      <c r="O6" s="7" t="n"/>
      <c r="P6" s="6" t="n"/>
      <c r="Q6" s="8" t="n"/>
    </row>
    <row r="7">
      <c r="A7" s="5" t="n"/>
      <c r="B7" s="6" t="n"/>
      <c r="C7" s="6" t="n"/>
      <c r="D7" s="6" t="n"/>
      <c r="E7" s="7" t="n"/>
      <c r="F7" s="6" t="n"/>
      <c r="G7" s="7" t="n"/>
      <c r="H7" s="7" t="n"/>
      <c r="I7" s="6" t="n"/>
      <c r="J7" s="7" t="n"/>
      <c r="K7" s="6" t="n"/>
      <c r="L7" s="7" t="n"/>
      <c r="M7" s="7" t="n"/>
      <c r="N7" s="6" t="n"/>
      <c r="O7" s="7" t="n"/>
      <c r="P7" s="6" t="n"/>
      <c r="Q7" s="8" t="n"/>
    </row>
    <row r="8">
      <c r="A8" s="5" t="n"/>
      <c r="B8" s="6" t="n"/>
      <c r="C8" s="6" t="n"/>
      <c r="D8" s="6" t="n"/>
      <c r="E8" s="7" t="n"/>
      <c r="F8" s="6" t="n"/>
      <c r="G8" s="7" t="n"/>
      <c r="H8" s="7" t="n"/>
      <c r="I8" s="6" t="n"/>
      <c r="J8" s="7" t="n"/>
      <c r="K8" s="6" t="n"/>
      <c r="L8" s="7" t="n"/>
      <c r="M8" s="7" t="n"/>
      <c r="N8" s="6" t="n"/>
      <c r="O8" s="7" t="n"/>
      <c r="P8" s="6" t="n"/>
      <c r="Q8" s="8" t="n"/>
    </row>
    <row r="9">
      <c r="A9" s="5" t="n"/>
      <c r="B9" s="6" t="n"/>
      <c r="C9" s="6" t="n"/>
      <c r="D9" s="6" t="n"/>
      <c r="E9" s="7" t="n"/>
      <c r="F9" s="6" t="n"/>
      <c r="G9" s="7" t="n"/>
      <c r="H9" s="7" t="n"/>
      <c r="I9" s="6" t="n"/>
      <c r="J9" s="7" t="n"/>
      <c r="K9" s="6" t="n"/>
      <c r="L9" s="7" t="n"/>
      <c r="M9" s="7" t="n"/>
      <c r="N9" s="6" t="n"/>
      <c r="O9" s="7" t="n"/>
      <c r="P9" s="6" t="n"/>
      <c r="Q9" s="8" t="n"/>
    </row>
    <row r="10">
      <c r="A10" s="5" t="n"/>
      <c r="B10" s="6" t="n"/>
      <c r="C10" s="6" t="n"/>
      <c r="D10" s="6" t="n"/>
      <c r="E10" s="7" t="n"/>
      <c r="F10" s="6" t="n"/>
      <c r="G10" s="7" t="n"/>
      <c r="H10" s="7" t="n"/>
      <c r="I10" s="6" t="n"/>
      <c r="J10" s="7" t="n"/>
      <c r="K10" s="6" t="n"/>
      <c r="L10" s="7" t="n"/>
      <c r="M10" s="7" t="n"/>
      <c r="N10" s="6" t="n"/>
      <c r="O10" s="7" t="n"/>
      <c r="P10" s="6" t="n"/>
      <c r="Q10" s="8" t="n"/>
    </row>
    <row r="11">
      <c r="A11" s="5" t="n"/>
      <c r="B11" s="6" t="n"/>
      <c r="C11" s="6" t="n"/>
      <c r="D11" s="6" t="n"/>
      <c r="E11" s="7" t="n"/>
      <c r="F11" s="6" t="n"/>
      <c r="G11" s="7" t="n"/>
      <c r="H11" s="7" t="n"/>
      <c r="I11" s="6" t="n"/>
      <c r="J11" s="7" t="n"/>
      <c r="K11" s="6" t="n"/>
      <c r="L11" s="7" t="n"/>
      <c r="M11" s="7" t="n"/>
      <c r="N11" s="6" t="n"/>
      <c r="O11" s="7" t="n"/>
      <c r="P11" s="6" t="n"/>
      <c r="Q11" s="8" t="n"/>
    </row>
    <row r="12">
      <c r="A12" s="5" t="n"/>
      <c r="B12" s="6" t="n"/>
      <c r="C12" s="6" t="n"/>
      <c r="D12" s="6" t="n"/>
      <c r="E12" s="7" t="n"/>
      <c r="F12" s="6" t="n"/>
      <c r="G12" s="7" t="n"/>
      <c r="H12" s="7" t="n"/>
      <c r="I12" s="6" t="n"/>
      <c r="J12" s="7" t="n"/>
      <c r="K12" s="6" t="n"/>
      <c r="L12" s="7" t="n"/>
      <c r="M12" s="7" t="n"/>
      <c r="N12" s="6" t="n"/>
      <c r="O12" s="7" t="n"/>
      <c r="P12" s="6" t="n"/>
      <c r="Q12" s="8" t="n"/>
    </row>
    <row r="13">
      <c r="A13" s="5" t="n"/>
      <c r="B13" s="6" t="n"/>
      <c r="C13" s="6" t="n"/>
      <c r="D13" s="6" t="n"/>
      <c r="E13" s="7" t="n"/>
      <c r="F13" s="6" t="n"/>
      <c r="G13" s="7" t="n"/>
      <c r="H13" s="7" t="n"/>
      <c r="I13" s="6" t="n"/>
      <c r="J13" s="7" t="n"/>
      <c r="K13" s="6" t="n"/>
      <c r="L13" s="7" t="n"/>
      <c r="M13" s="7" t="n"/>
      <c r="N13" s="6" t="n"/>
      <c r="O13" s="7" t="n"/>
      <c r="P13" s="6" t="n"/>
      <c r="Q13" s="8" t="n"/>
    </row>
    <row r="14">
      <c r="A14" s="5" t="n"/>
      <c r="B14" s="6" t="n"/>
      <c r="C14" s="6" t="n"/>
      <c r="D14" s="6" t="n"/>
      <c r="E14" s="7" t="n"/>
      <c r="F14" s="6" t="n"/>
      <c r="G14" s="7" t="n"/>
      <c r="H14" s="7" t="n"/>
      <c r="I14" s="6" t="n"/>
      <c r="J14" s="7" t="n"/>
      <c r="K14" s="6" t="n"/>
      <c r="L14" s="7" t="n"/>
      <c r="M14" s="7" t="n"/>
      <c r="N14" s="6" t="n"/>
      <c r="O14" s="7" t="n"/>
      <c r="P14" s="6" t="n"/>
      <c r="Q14" s="8" t="n"/>
    </row>
    <row r="15">
      <c r="A15" s="5" t="n"/>
      <c r="B15" s="6" t="n"/>
      <c r="C15" s="6" t="n"/>
      <c r="D15" s="6" t="n"/>
      <c r="E15" s="7" t="n"/>
      <c r="F15" s="6" t="n"/>
      <c r="G15" s="7" t="n"/>
      <c r="H15" s="7" t="n"/>
      <c r="I15" s="6" t="n"/>
      <c r="J15" s="7" t="n"/>
      <c r="K15" s="6" t="n"/>
      <c r="L15" s="7" t="n"/>
      <c r="M15" s="7" t="n"/>
      <c r="N15" s="6" t="n"/>
      <c r="O15" s="7" t="n"/>
      <c r="P15" s="6" t="n"/>
      <c r="Q15" s="8" t="n"/>
    </row>
    <row r="16">
      <c r="A16" s="5" t="n"/>
      <c r="B16" s="6" t="n"/>
      <c r="C16" s="6" t="n"/>
      <c r="D16" s="6" t="n"/>
      <c r="E16" s="7" t="n"/>
      <c r="F16" s="6" t="n"/>
      <c r="G16" s="7" t="n"/>
      <c r="H16" s="7" t="n"/>
      <c r="I16" s="6" t="n"/>
      <c r="J16" s="7" t="n"/>
      <c r="K16" s="6" t="n"/>
      <c r="L16" s="7" t="n"/>
      <c r="M16" s="7" t="n"/>
      <c r="N16" s="6" t="n"/>
      <c r="O16" s="7" t="n"/>
      <c r="P16" s="6" t="n"/>
      <c r="Q16" s="8" t="n"/>
    </row>
    <row r="17">
      <c r="A17" s="5" t="n"/>
      <c r="B17" s="6" t="n"/>
      <c r="C17" s="6" t="n"/>
      <c r="D17" s="6" t="n"/>
      <c r="E17" s="7" t="n"/>
      <c r="F17" s="6" t="n"/>
      <c r="G17" s="7" t="n"/>
      <c r="H17" s="7" t="n"/>
      <c r="I17" s="6" t="n"/>
      <c r="J17" s="7" t="n"/>
      <c r="K17" s="6" t="n"/>
      <c r="L17" s="7" t="n"/>
      <c r="M17" s="7" t="n"/>
      <c r="N17" s="6" t="n"/>
      <c r="O17" s="7" t="n"/>
      <c r="P17" s="6" t="n"/>
      <c r="Q17" s="8" t="n"/>
    </row>
    <row r="18">
      <c r="A18" s="5" t="n"/>
      <c r="B18" s="6" t="n"/>
      <c r="C18" s="6" t="n"/>
      <c r="D18" s="6" t="n"/>
      <c r="E18" s="7" t="n"/>
      <c r="F18" s="6" t="n"/>
      <c r="G18" s="7" t="n"/>
      <c r="H18" s="7" t="n"/>
      <c r="I18" s="6" t="n"/>
      <c r="J18" s="7" t="n"/>
      <c r="K18" s="6" t="n"/>
      <c r="L18" s="7" t="n"/>
      <c r="M18" s="7" t="n"/>
      <c r="N18" s="6" t="n"/>
      <c r="O18" s="7" t="n"/>
      <c r="P18" s="6" t="n"/>
      <c r="Q18" s="8" t="n"/>
    </row>
    <row r="19">
      <c r="A19" s="5" t="n"/>
      <c r="B19" s="6" t="n"/>
      <c r="C19" s="6" t="n"/>
      <c r="D19" s="6" t="n"/>
      <c r="E19" s="7" t="n"/>
      <c r="F19" s="6" t="n"/>
      <c r="G19" s="7" t="n"/>
      <c r="H19" s="7" t="n"/>
      <c r="I19" s="6" t="n"/>
      <c r="J19" s="7" t="n"/>
      <c r="K19" s="6" t="n"/>
      <c r="L19" s="7" t="n"/>
      <c r="M19" s="7" t="n"/>
      <c r="N19" s="6" t="n"/>
      <c r="O19" s="7" t="n"/>
      <c r="P19" s="6" t="n"/>
      <c r="Q19" s="8" t="n"/>
    </row>
    <row r="20">
      <c r="A20" s="5" t="n"/>
      <c r="B20" s="6" t="n"/>
      <c r="C20" s="6" t="n"/>
      <c r="D20" s="6" t="n"/>
      <c r="E20" s="7" t="n"/>
      <c r="F20" s="6" t="n"/>
      <c r="G20" s="7" t="n"/>
      <c r="H20" s="7" t="n"/>
      <c r="I20" s="6" t="n"/>
      <c r="J20" s="7" t="n"/>
      <c r="K20" s="6" t="n"/>
      <c r="L20" s="7" t="n"/>
      <c r="M20" s="7" t="n"/>
      <c r="N20" s="6" t="n"/>
      <c r="O20" s="7" t="n"/>
      <c r="P20" s="6" t="n"/>
      <c r="Q20" s="8" t="n"/>
    </row>
    <row r="21">
      <c r="A21" s="5" t="n"/>
      <c r="B21" s="6" t="n"/>
      <c r="C21" s="6" t="n"/>
      <c r="D21" s="6" t="n"/>
      <c r="E21" s="7" t="n"/>
      <c r="F21" s="6" t="n"/>
      <c r="G21" s="7" t="n"/>
      <c r="H21" s="7" t="n"/>
      <c r="I21" s="6" t="n"/>
      <c r="J21" s="7" t="n"/>
      <c r="K21" s="6" t="n"/>
      <c r="L21" s="7" t="n"/>
      <c r="M21" s="7" t="n"/>
      <c r="N21" s="6" t="n"/>
      <c r="O21" s="7" t="n"/>
      <c r="P21" s="6" t="n"/>
      <c r="Q21" s="8" t="n"/>
    </row>
    <row r="22">
      <c r="A22" s="5" t="n"/>
      <c r="B22" s="6" t="n"/>
      <c r="C22" s="6" t="n"/>
      <c r="D22" s="6" t="n"/>
      <c r="E22" s="7" t="n"/>
      <c r="F22" s="6" t="n"/>
      <c r="G22" s="7" t="n"/>
      <c r="H22" s="7" t="n"/>
      <c r="I22" s="6" t="n"/>
      <c r="J22" s="7" t="n"/>
      <c r="K22" s="6" t="n"/>
      <c r="L22" s="7" t="n"/>
      <c r="M22" s="7" t="n"/>
      <c r="N22" s="6" t="n"/>
      <c r="O22" s="7" t="n"/>
      <c r="P22" s="6" t="n"/>
      <c r="Q22" s="8" t="n"/>
    </row>
    <row r="23">
      <c r="A23" s="5" t="n"/>
      <c r="B23" s="6" t="n"/>
      <c r="C23" s="6" t="n"/>
      <c r="D23" s="6" t="n"/>
      <c r="E23" s="7" t="n"/>
      <c r="F23" s="6" t="n"/>
      <c r="G23" s="7" t="n"/>
      <c r="H23" s="7" t="n"/>
      <c r="I23" s="6" t="n"/>
      <c r="J23" s="7" t="n"/>
      <c r="K23" s="6" t="n"/>
      <c r="L23" s="7" t="n"/>
      <c r="M23" s="7" t="n"/>
      <c r="N23" s="6" t="n"/>
      <c r="O23" s="7" t="n"/>
      <c r="P23" s="6" t="n"/>
      <c r="Q23" s="8" t="n"/>
    </row>
    <row r="24">
      <c r="A24" s="5" t="n"/>
      <c r="B24" s="6" t="n"/>
      <c r="C24" s="6" t="n"/>
      <c r="D24" s="6" t="n"/>
      <c r="E24" s="7" t="n"/>
      <c r="F24" s="6" t="n"/>
      <c r="G24" s="7" t="n"/>
      <c r="H24" s="7" t="n"/>
      <c r="I24" s="6" t="n"/>
      <c r="J24" s="7" t="n"/>
      <c r="K24" s="6" t="n"/>
      <c r="L24" s="7" t="n"/>
      <c r="M24" s="7" t="n"/>
      <c r="N24" s="6" t="n"/>
      <c r="O24" s="7" t="n"/>
      <c r="P24" s="6" t="n"/>
      <c r="Q24" s="8" t="n"/>
    </row>
    <row r="25">
      <c r="A25" s="5" t="n"/>
      <c r="B25" s="6" t="n"/>
      <c r="C25" s="6" t="n"/>
      <c r="D25" s="6" t="n"/>
      <c r="E25" s="7" t="n"/>
      <c r="F25" s="6" t="n"/>
      <c r="G25" s="7" t="n"/>
      <c r="H25" s="7" t="n"/>
      <c r="I25" s="6" t="n"/>
      <c r="J25" s="7" t="n"/>
      <c r="K25" s="6" t="n"/>
      <c r="L25" s="7" t="n"/>
      <c r="M25" s="7" t="n"/>
      <c r="N25" s="6" t="n"/>
      <c r="O25" s="7" t="n"/>
      <c r="P25" s="6" t="n"/>
      <c r="Q25" s="8" t="n"/>
    </row>
    <row r="26">
      <c r="A26" s="5" t="n"/>
      <c r="B26" s="6" t="n"/>
      <c r="C26" s="6" t="n"/>
      <c r="D26" s="6" t="n"/>
      <c r="E26" s="7" t="n"/>
      <c r="F26" s="6" t="n"/>
      <c r="G26" s="7" t="n"/>
      <c r="H26" s="7" t="n"/>
      <c r="I26" s="6" t="n"/>
      <c r="J26" s="7" t="n"/>
      <c r="K26" s="6" t="n"/>
      <c r="L26" s="7" t="n"/>
      <c r="M26" s="7" t="n"/>
      <c r="N26" s="6" t="n"/>
      <c r="O26" s="7" t="n"/>
      <c r="P26" s="6" t="n"/>
      <c r="Q26" s="8" t="n"/>
    </row>
    <row r="27">
      <c r="A27" s="5" t="n"/>
      <c r="B27" s="6" t="n"/>
      <c r="C27" s="6" t="n"/>
      <c r="D27" s="6" t="n"/>
      <c r="E27" s="7" t="n"/>
      <c r="F27" s="6" t="n"/>
      <c r="G27" s="7" t="n"/>
      <c r="H27" s="7" t="n"/>
      <c r="I27" s="6" t="n"/>
      <c r="J27" s="7" t="n"/>
      <c r="K27" s="6" t="n"/>
      <c r="L27" s="7" t="n"/>
      <c r="M27" s="7" t="n"/>
      <c r="N27" s="6" t="n"/>
      <c r="O27" s="7" t="n"/>
      <c r="P27" s="6" t="n"/>
      <c r="Q27" s="8" t="n"/>
    </row>
    <row r="28">
      <c r="A28" s="5" t="n"/>
      <c r="B28" s="6" t="n"/>
      <c r="C28" s="6" t="n"/>
      <c r="D28" s="6" t="n"/>
      <c r="E28" s="7" t="n"/>
      <c r="F28" s="6" t="n"/>
      <c r="G28" s="7" t="n"/>
      <c r="H28" s="7" t="n"/>
      <c r="I28" s="6" t="n"/>
      <c r="J28" s="7" t="n"/>
      <c r="K28" s="6" t="n"/>
      <c r="L28" s="7" t="n"/>
      <c r="M28" s="7" t="n"/>
      <c r="N28" s="6" t="n"/>
      <c r="O28" s="7" t="n"/>
      <c r="P28" s="6" t="n"/>
      <c r="Q28" s="8" t="n"/>
    </row>
    <row r="29">
      <c r="A29" s="5" t="n"/>
      <c r="B29" s="6" t="n"/>
      <c r="C29" s="6" t="n"/>
      <c r="D29" s="6" t="n"/>
      <c r="E29" s="7" t="n"/>
      <c r="F29" s="6" t="n"/>
      <c r="G29" s="7" t="n"/>
      <c r="H29" s="7" t="n"/>
      <c r="I29" s="6" t="n"/>
      <c r="J29" s="7" t="n"/>
      <c r="K29" s="6" t="n"/>
      <c r="L29" s="7" t="n"/>
      <c r="M29" s="7" t="n"/>
      <c r="N29" s="6" t="n"/>
      <c r="O29" s="7" t="n"/>
      <c r="P29" s="6" t="n"/>
      <c r="Q29" s="8" t="n"/>
    </row>
    <row r="30">
      <c r="A30" s="5" t="n"/>
      <c r="B30" s="6" t="n"/>
      <c r="C30" s="6" t="n"/>
      <c r="D30" s="6" t="n"/>
      <c r="E30" s="7" t="n"/>
      <c r="F30" s="6" t="n"/>
      <c r="G30" s="7" t="n"/>
      <c r="H30" s="7" t="n"/>
      <c r="I30" s="6" t="n"/>
      <c r="J30" s="7" t="n"/>
      <c r="K30" s="6" t="n"/>
      <c r="L30" s="7" t="n"/>
      <c r="M30" s="7" t="n"/>
      <c r="N30" s="6" t="n"/>
      <c r="O30" s="7" t="n"/>
      <c r="P30" s="6" t="n"/>
      <c r="Q30" s="8" t="n"/>
    </row>
    <row r="31">
      <c r="A31" s="5" t="n"/>
      <c r="B31" s="6" t="n"/>
      <c r="C31" s="6" t="n"/>
      <c r="D31" s="6" t="n"/>
      <c r="E31" s="7" t="n"/>
      <c r="F31" s="6" t="n"/>
      <c r="G31" s="7" t="n"/>
      <c r="H31" s="7" t="n"/>
      <c r="I31" s="6" t="n"/>
      <c r="J31" s="7" t="n"/>
      <c r="K31" s="6" t="n"/>
      <c r="L31" s="7" t="n"/>
      <c r="M31" s="7" t="n"/>
      <c r="N31" s="6" t="n"/>
      <c r="O31" s="7" t="n"/>
      <c r="P31" s="6" t="n"/>
      <c r="Q31" s="8" t="n"/>
    </row>
    <row r="32">
      <c r="A32" s="5" t="n"/>
      <c r="B32" s="6" t="n"/>
      <c r="C32" s="6" t="n"/>
      <c r="D32" s="6" t="n"/>
      <c r="E32" s="7" t="n"/>
      <c r="F32" s="6" t="n"/>
      <c r="G32" s="7" t="n"/>
      <c r="H32" s="7" t="n"/>
      <c r="I32" s="6" t="n"/>
      <c r="J32" s="7" t="n"/>
      <c r="K32" s="6" t="n"/>
      <c r="L32" s="7" t="n"/>
      <c r="M32" s="7" t="n"/>
      <c r="N32" s="6" t="n"/>
      <c r="O32" s="7" t="n"/>
      <c r="P32" s="6" t="n"/>
      <c r="Q32" s="8" t="n"/>
    </row>
    <row r="33">
      <c r="A33" s="5" t="n"/>
      <c r="B33" s="6" t="n"/>
      <c r="C33" s="6" t="n"/>
      <c r="D33" s="6" t="n"/>
      <c r="E33" s="7" t="n"/>
      <c r="F33" s="6" t="n"/>
      <c r="G33" s="7" t="n"/>
      <c r="H33" s="7" t="n"/>
      <c r="I33" s="6" t="n"/>
      <c r="J33" s="7" t="n"/>
      <c r="K33" s="6" t="n"/>
      <c r="L33" s="7" t="n"/>
      <c r="M33" s="7" t="n"/>
      <c r="N33" s="6" t="n"/>
      <c r="O33" s="7" t="n"/>
      <c r="P33" s="6" t="n"/>
      <c r="Q33" s="8" t="n"/>
    </row>
    <row r="34">
      <c r="A34" s="5" t="n"/>
      <c r="B34" s="6" t="n"/>
      <c r="C34" s="6" t="n"/>
      <c r="D34" s="6" t="n"/>
      <c r="E34" s="7" t="n"/>
      <c r="F34" s="6" t="n"/>
      <c r="G34" s="7" t="n"/>
      <c r="H34" s="7" t="n"/>
      <c r="I34" s="6" t="n"/>
      <c r="J34" s="7" t="n"/>
      <c r="K34" s="6" t="n"/>
      <c r="L34" s="7" t="n"/>
      <c r="M34" s="7" t="n"/>
      <c r="N34" s="6" t="n"/>
      <c r="O34" s="7" t="n"/>
      <c r="P34" s="6" t="n"/>
      <c r="Q34" s="8" t="n"/>
    </row>
    <row r="35">
      <c r="A35" s="5" t="n"/>
      <c r="B35" s="6" t="n"/>
      <c r="C35" s="6" t="n"/>
      <c r="D35" s="6" t="n"/>
      <c r="E35" s="7" t="n"/>
      <c r="F35" s="6" t="n"/>
      <c r="G35" s="7" t="n"/>
      <c r="H35" s="7" t="n"/>
      <c r="I35" s="6" t="n"/>
      <c r="J35" s="7" t="n"/>
      <c r="K35" s="6" t="n"/>
      <c r="L35" s="7" t="n"/>
      <c r="M35" s="7" t="n"/>
      <c r="N35" s="6" t="n"/>
      <c r="O35" s="7" t="n"/>
      <c r="P35" s="6" t="n"/>
      <c r="Q35" s="8" t="n"/>
    </row>
    <row r="36">
      <c r="A36" s="5" t="n"/>
      <c r="B36" s="6" t="n"/>
      <c r="C36" s="6" t="n"/>
      <c r="D36" s="6" t="n"/>
      <c r="E36" s="7" t="n"/>
      <c r="F36" s="6" t="n"/>
      <c r="G36" s="7" t="n"/>
      <c r="H36" s="7" t="n"/>
      <c r="I36" s="6" t="n"/>
      <c r="J36" s="7" t="n"/>
      <c r="K36" s="6" t="n"/>
      <c r="L36" s="7" t="n"/>
      <c r="M36" s="7" t="n"/>
      <c r="N36" s="6" t="n"/>
      <c r="O36" s="7" t="n"/>
      <c r="P36" s="6" t="n"/>
      <c r="Q36" s="8" t="n"/>
    </row>
    <row r="37">
      <c r="A37" s="5" t="n"/>
      <c r="B37" s="6" t="n"/>
      <c r="C37" s="6" t="n"/>
      <c r="D37" s="6" t="n"/>
      <c r="E37" s="7" t="n"/>
      <c r="F37" s="6" t="n"/>
      <c r="G37" s="7" t="n"/>
      <c r="H37" s="7" t="n"/>
      <c r="I37" s="6" t="n"/>
      <c r="J37" s="7" t="n"/>
      <c r="K37" s="6" t="n"/>
      <c r="L37" s="7" t="n"/>
      <c r="M37" s="7" t="n"/>
      <c r="N37" s="6" t="n"/>
      <c r="O37" s="7" t="n"/>
      <c r="P37" s="6" t="n"/>
      <c r="Q37" s="8" t="n"/>
    </row>
    <row r="38">
      <c r="A38" s="5" t="n"/>
      <c r="B38" s="6" t="n"/>
      <c r="C38" s="6" t="n"/>
      <c r="D38" s="6" t="n"/>
      <c r="E38" s="7" t="n"/>
      <c r="F38" s="6" t="n"/>
      <c r="G38" s="7" t="n"/>
      <c r="H38" s="7" t="n"/>
      <c r="I38" s="6" t="n"/>
      <c r="J38" s="7" t="n"/>
      <c r="K38" s="6" t="n"/>
      <c r="L38" s="7" t="n"/>
      <c r="M38" s="7" t="n"/>
      <c r="N38" s="6" t="n"/>
      <c r="O38" s="7" t="n"/>
      <c r="P38" s="6" t="n"/>
      <c r="Q38" s="8" t="n"/>
    </row>
    <row r="39">
      <c r="A39" s="5" t="n"/>
      <c r="B39" s="6" t="n"/>
      <c r="C39" s="6" t="n"/>
      <c r="D39" s="6" t="n"/>
      <c r="E39" s="7" t="n"/>
      <c r="F39" s="6" t="n"/>
      <c r="G39" s="7" t="n"/>
      <c r="H39" s="7" t="n"/>
      <c r="I39" s="6" t="n"/>
      <c r="J39" s="7" t="n"/>
      <c r="K39" s="6" t="n"/>
      <c r="L39" s="7" t="n"/>
      <c r="M39" s="7" t="n"/>
      <c r="N39" s="6" t="n"/>
      <c r="O39" s="7" t="n"/>
      <c r="P39" s="6" t="n"/>
      <c r="Q39" s="8" t="n"/>
    </row>
    <row r="40">
      <c r="A40" s="5" t="n"/>
      <c r="B40" s="6" t="n"/>
      <c r="C40" s="6" t="n"/>
      <c r="D40" s="6" t="n"/>
      <c r="E40" s="7" t="n"/>
      <c r="F40" s="6" t="n"/>
      <c r="G40" s="7" t="n"/>
      <c r="H40" s="7" t="n"/>
      <c r="I40" s="6" t="n"/>
      <c r="J40" s="7" t="n"/>
      <c r="K40" s="6" t="n"/>
      <c r="L40" s="7" t="n"/>
      <c r="M40" s="7" t="n"/>
      <c r="N40" s="6" t="n"/>
      <c r="O40" s="7" t="n"/>
      <c r="P40" s="6" t="n"/>
      <c r="Q40" s="8" t="n"/>
    </row>
    <row r="41">
      <c r="A41" s="5" t="n"/>
      <c r="B41" s="6" t="n"/>
      <c r="C41" s="6" t="n"/>
      <c r="D41" s="6" t="n"/>
      <c r="E41" s="7" t="n"/>
      <c r="F41" s="6" t="n"/>
      <c r="G41" s="7" t="n"/>
      <c r="H41" s="7" t="n"/>
      <c r="I41" s="6" t="n"/>
      <c r="J41" s="7" t="n"/>
      <c r="K41" s="6" t="n"/>
      <c r="L41" s="7" t="n"/>
      <c r="M41" s="7" t="n"/>
      <c r="N41" s="6" t="n"/>
      <c r="O41" s="7" t="n"/>
      <c r="P41" s="6" t="n"/>
      <c r="Q41" s="8" t="n"/>
    </row>
    <row r="42">
      <c r="A42" s="5" t="n"/>
      <c r="B42" s="6" t="n"/>
      <c r="C42" s="6" t="n"/>
      <c r="D42" s="6" t="n"/>
      <c r="E42" s="7" t="n"/>
      <c r="F42" s="6" t="n"/>
      <c r="G42" s="7" t="n"/>
      <c r="H42" s="7" t="n"/>
      <c r="I42" s="6" t="n"/>
      <c r="J42" s="7" t="n"/>
      <c r="K42" s="6" t="n"/>
      <c r="L42" s="7" t="n"/>
      <c r="M42" s="7" t="n"/>
      <c r="N42" s="6" t="n"/>
      <c r="O42" s="7" t="n"/>
      <c r="P42" s="6" t="n"/>
      <c r="Q42" s="8" t="n"/>
    </row>
    <row r="43">
      <c r="A43" s="5" t="n"/>
      <c r="B43" s="6" t="n"/>
      <c r="C43" s="6" t="n"/>
      <c r="D43" s="6" t="n"/>
      <c r="E43" s="7" t="n"/>
      <c r="F43" s="6" t="n"/>
      <c r="G43" s="7" t="n"/>
      <c r="H43" s="7" t="n"/>
      <c r="I43" s="6" t="n"/>
      <c r="J43" s="7" t="n"/>
      <c r="K43" s="6" t="n"/>
      <c r="L43" s="7" t="n"/>
      <c r="M43" s="7" t="n"/>
      <c r="N43" s="6" t="n"/>
      <c r="O43" s="7" t="n"/>
      <c r="P43" s="6" t="n"/>
      <c r="Q43" s="8" t="n"/>
    </row>
    <row r="44">
      <c r="A44" s="5" t="n"/>
      <c r="B44" s="6" t="n"/>
      <c r="C44" s="6" t="n"/>
      <c r="D44" s="6" t="n"/>
      <c r="E44" s="7" t="n"/>
      <c r="F44" s="6" t="n"/>
      <c r="G44" s="7" t="n"/>
      <c r="H44" s="7" t="n"/>
      <c r="I44" s="6" t="n"/>
      <c r="J44" s="7" t="n"/>
      <c r="K44" s="6" t="n"/>
      <c r="L44" s="7" t="n"/>
      <c r="M44" s="7" t="n"/>
      <c r="N44" s="6" t="n"/>
      <c r="O44" s="7" t="n"/>
      <c r="P44" s="6" t="n"/>
      <c r="Q44" s="8" t="n"/>
    </row>
    <row r="45">
      <c r="A45" s="5" t="n"/>
      <c r="B45" s="6" t="n"/>
      <c r="C45" s="6" t="n"/>
      <c r="D45" s="6" t="n"/>
      <c r="E45" s="7" t="n"/>
      <c r="F45" s="6" t="n"/>
      <c r="G45" s="7" t="n"/>
      <c r="H45" s="7" t="n"/>
      <c r="I45" s="6" t="n"/>
      <c r="J45" s="7" t="n"/>
      <c r="K45" s="6" t="n"/>
      <c r="L45" s="7" t="n"/>
      <c r="M45" s="7" t="n"/>
      <c r="N45" s="6" t="n"/>
      <c r="O45" s="7" t="n"/>
      <c r="P45" s="6" t="n"/>
      <c r="Q45" s="8" t="n"/>
    </row>
    <row r="46">
      <c r="A46" s="5" t="n"/>
      <c r="B46" s="6" t="n"/>
      <c r="C46" s="6" t="n"/>
      <c r="D46" s="6" t="n"/>
      <c r="E46" s="7" t="n"/>
      <c r="F46" s="6" t="n"/>
      <c r="G46" s="7" t="n"/>
      <c r="H46" s="7" t="n"/>
      <c r="I46" s="6" t="n"/>
      <c r="J46" s="7" t="n"/>
      <c r="K46" s="6" t="n"/>
      <c r="L46" s="7" t="n"/>
      <c r="M46" s="7" t="n"/>
      <c r="N46" s="6" t="n"/>
      <c r="O46" s="7" t="n"/>
      <c r="P46" s="6" t="n"/>
      <c r="Q46" s="8" t="n"/>
    </row>
    <row r="47">
      <c r="A47" s="5" t="n"/>
      <c r="B47" s="6" t="n"/>
      <c r="C47" s="6" t="n"/>
      <c r="D47" s="6" t="n"/>
      <c r="E47" s="7" t="n"/>
      <c r="F47" s="6" t="n"/>
      <c r="G47" s="7" t="n"/>
      <c r="H47" s="7" t="n"/>
      <c r="I47" s="6" t="n"/>
      <c r="J47" s="7" t="n"/>
      <c r="K47" s="6" t="n"/>
      <c r="L47" s="7" t="n"/>
      <c r="M47" s="7" t="n"/>
      <c r="N47" s="6" t="n"/>
      <c r="O47" s="7" t="n"/>
      <c r="P47" s="6" t="n"/>
      <c r="Q47" s="8" t="n"/>
    </row>
    <row r="48">
      <c r="A48" s="5" t="n"/>
      <c r="B48" s="6" t="n"/>
      <c r="C48" s="6" t="n"/>
      <c r="D48" s="6" t="n"/>
      <c r="E48" s="7" t="n"/>
      <c r="F48" s="6" t="n"/>
      <c r="G48" s="7" t="n"/>
      <c r="H48" s="7" t="n"/>
      <c r="I48" s="6" t="n"/>
      <c r="J48" s="7" t="n"/>
      <c r="K48" s="6" t="n"/>
      <c r="L48" s="7" t="n"/>
      <c r="M48" s="7" t="n"/>
      <c r="N48" s="6" t="n"/>
      <c r="O48" s="7" t="n"/>
      <c r="P48" s="6" t="n"/>
      <c r="Q48" s="8" t="n"/>
    </row>
    <row r="49">
      <c r="A49" s="5" t="n"/>
      <c r="B49" s="6" t="n"/>
      <c r="C49" s="6" t="n"/>
      <c r="D49" s="6" t="n"/>
      <c r="E49" s="7" t="n"/>
      <c r="F49" s="6" t="n"/>
      <c r="G49" s="7" t="n"/>
      <c r="H49" s="7" t="n"/>
      <c r="I49" s="6" t="n"/>
      <c r="J49" s="7" t="n"/>
      <c r="K49" s="6" t="n"/>
      <c r="L49" s="7" t="n"/>
      <c r="M49" s="7" t="n"/>
      <c r="N49" s="6" t="n"/>
      <c r="O49" s="7" t="n"/>
      <c r="P49" s="6" t="n"/>
      <c r="Q49" s="8" t="n"/>
    </row>
    <row r="50">
      <c r="A50" s="5" t="n"/>
      <c r="B50" s="6" t="n"/>
      <c r="C50" s="6" t="n"/>
      <c r="D50" s="6" t="n"/>
      <c r="E50" s="7" t="n"/>
      <c r="F50" s="6" t="n"/>
      <c r="G50" s="7" t="n"/>
      <c r="H50" s="7" t="n"/>
      <c r="I50" s="6" t="n"/>
      <c r="J50" s="7" t="n"/>
      <c r="K50" s="6" t="n"/>
      <c r="L50" s="7" t="n"/>
      <c r="M50" s="7" t="n"/>
      <c r="N50" s="6" t="n"/>
      <c r="O50" s="7" t="n"/>
      <c r="P50" s="6" t="n"/>
      <c r="Q50" s="8" t="n"/>
    </row>
    <row r="51">
      <c r="A51" s="5" t="n"/>
      <c r="B51" s="6" t="n"/>
      <c r="C51" s="6" t="n"/>
      <c r="D51" s="6" t="n"/>
      <c r="E51" s="7" t="n"/>
      <c r="F51" s="6" t="n"/>
      <c r="G51" s="7" t="n"/>
      <c r="H51" s="7" t="n"/>
      <c r="I51" s="6" t="n"/>
      <c r="J51" s="7" t="n"/>
      <c r="K51" s="6" t="n"/>
      <c r="L51" s="7" t="n"/>
      <c r="M51" s="7" t="n"/>
      <c r="N51" s="6" t="n"/>
      <c r="O51" s="7" t="n"/>
      <c r="P51" s="6" t="n"/>
      <c r="Q51" s="8" t="n"/>
    </row>
    <row r="52">
      <c r="A52" s="5" t="n"/>
      <c r="B52" s="6" t="n"/>
      <c r="C52" s="6" t="n"/>
      <c r="D52" s="6" t="n"/>
      <c r="E52" s="7" t="n"/>
      <c r="F52" s="6" t="n"/>
      <c r="G52" s="7" t="n"/>
      <c r="H52" s="7" t="n"/>
      <c r="I52" s="6" t="n"/>
      <c r="J52" s="7" t="n"/>
      <c r="K52" s="6" t="n"/>
      <c r="L52" s="7" t="n"/>
      <c r="M52" s="7" t="n"/>
      <c r="N52" s="6" t="n"/>
      <c r="O52" s="7" t="n"/>
      <c r="P52" s="6" t="n"/>
      <c r="Q52" s="8" t="n"/>
    </row>
    <row r="53">
      <c r="A53" s="5" t="n"/>
      <c r="B53" s="6" t="n"/>
      <c r="C53" s="6" t="n"/>
      <c r="D53" s="6" t="n"/>
      <c r="E53" s="7" t="n"/>
      <c r="F53" s="6" t="n"/>
      <c r="G53" s="7" t="n"/>
      <c r="H53" s="7" t="n"/>
      <c r="I53" s="6" t="n"/>
      <c r="J53" s="7" t="n"/>
      <c r="K53" s="6" t="n"/>
      <c r="L53" s="7" t="n"/>
      <c r="M53" s="7" t="n"/>
      <c r="N53" s="6" t="n"/>
      <c r="O53" s="7" t="n"/>
      <c r="P53" s="6" t="n"/>
      <c r="Q53" s="8" t="n"/>
    </row>
    <row r="54">
      <c r="A54" s="5" t="n"/>
      <c r="B54" s="6" t="n"/>
      <c r="C54" s="6" t="n"/>
      <c r="D54" s="6" t="n"/>
      <c r="E54" s="7" t="n"/>
      <c r="F54" s="6" t="n"/>
      <c r="G54" s="7" t="n"/>
      <c r="H54" s="7" t="n"/>
      <c r="I54" s="6" t="n"/>
      <c r="J54" s="7" t="n"/>
      <c r="K54" s="6" t="n"/>
      <c r="L54" s="7" t="n"/>
      <c r="M54" s="7" t="n"/>
      <c r="N54" s="6" t="n"/>
      <c r="O54" s="7" t="n"/>
      <c r="P54" s="6" t="n"/>
      <c r="Q54" s="8" t="n"/>
    </row>
    <row r="55">
      <c r="A55" s="5" t="n"/>
      <c r="B55" s="6" t="n"/>
      <c r="C55" s="6" t="n"/>
      <c r="D55" s="6" t="n"/>
      <c r="E55" s="7" t="n"/>
      <c r="F55" s="6" t="n"/>
      <c r="G55" s="7" t="n"/>
      <c r="H55" s="7" t="n"/>
      <c r="I55" s="6" t="n"/>
      <c r="J55" s="7" t="n"/>
      <c r="K55" s="6" t="n"/>
      <c r="L55" s="7" t="n"/>
      <c r="M55" s="7" t="n"/>
      <c r="N55" s="6" t="n"/>
      <c r="O55" s="7" t="n"/>
      <c r="P55" s="6" t="n"/>
      <c r="Q55" s="8" t="n"/>
    </row>
    <row r="56">
      <c r="A56" s="5" t="n"/>
      <c r="B56" s="6" t="n"/>
      <c r="C56" s="6" t="n"/>
      <c r="D56" s="6" t="n"/>
      <c r="E56" s="7" t="n"/>
      <c r="F56" s="6" t="n"/>
      <c r="G56" s="7" t="n"/>
      <c r="H56" s="7" t="n"/>
      <c r="I56" s="6" t="n"/>
      <c r="J56" s="7" t="n"/>
      <c r="K56" s="6" t="n"/>
      <c r="L56" s="7" t="n"/>
      <c r="M56" s="7" t="n"/>
      <c r="N56" s="6" t="n"/>
      <c r="O56" s="7" t="n"/>
      <c r="P56" s="6" t="n"/>
      <c r="Q56" s="8" t="n"/>
    </row>
    <row r="57">
      <c r="A57" s="5" t="n"/>
      <c r="B57" s="6" t="n"/>
      <c r="C57" s="6" t="n"/>
      <c r="D57" s="6" t="n"/>
      <c r="E57" s="7" t="n"/>
      <c r="F57" s="6" t="n"/>
      <c r="G57" s="7" t="n"/>
      <c r="H57" s="7" t="n"/>
      <c r="I57" s="6" t="n"/>
      <c r="J57" s="7" t="n"/>
      <c r="K57" s="6" t="n"/>
      <c r="L57" s="7" t="n"/>
      <c r="M57" s="7" t="n"/>
      <c r="N57" s="6" t="n"/>
      <c r="O57" s="7" t="n"/>
      <c r="P57" s="6" t="n"/>
      <c r="Q57" s="8" t="n"/>
    </row>
    <row r="58">
      <c r="A58" s="5" t="n"/>
      <c r="B58" s="6" t="n"/>
      <c r="C58" s="6" t="n"/>
      <c r="D58" s="6" t="n"/>
      <c r="E58" s="7" t="n"/>
      <c r="F58" s="6" t="n"/>
      <c r="G58" s="7" t="n"/>
      <c r="H58" s="7" t="n"/>
      <c r="I58" s="6" t="n"/>
      <c r="J58" s="7" t="n"/>
      <c r="K58" s="6" t="n"/>
      <c r="L58" s="7" t="n"/>
      <c r="M58" s="7" t="n"/>
      <c r="N58" s="6" t="n"/>
      <c r="O58" s="7" t="n"/>
      <c r="P58" s="6" t="n"/>
      <c r="Q58" s="8" t="n"/>
    </row>
    <row r="59">
      <c r="A59" s="5" t="n"/>
      <c r="B59" s="6" t="n"/>
      <c r="C59" s="6" t="n"/>
      <c r="D59" s="6" t="n"/>
      <c r="E59" s="7" t="n"/>
      <c r="F59" s="6" t="n"/>
      <c r="G59" s="7" t="n"/>
      <c r="H59" s="7" t="n"/>
      <c r="I59" s="6" t="n"/>
      <c r="J59" s="7" t="n"/>
      <c r="K59" s="6" t="n"/>
      <c r="L59" s="7" t="n"/>
      <c r="M59" s="7" t="n"/>
      <c r="N59" s="6" t="n"/>
      <c r="O59" s="7" t="n"/>
      <c r="P59" s="6" t="n"/>
      <c r="Q59" s="8" t="n"/>
    </row>
    <row r="60">
      <c r="A60" s="5" t="n"/>
      <c r="B60" s="6" t="n"/>
      <c r="C60" s="6" t="n"/>
      <c r="D60" s="6" t="n"/>
      <c r="E60" s="7" t="n"/>
      <c r="F60" s="6" t="n"/>
      <c r="G60" s="7" t="n"/>
      <c r="H60" s="7" t="n"/>
      <c r="I60" s="6" t="n"/>
      <c r="J60" s="7" t="n"/>
      <c r="K60" s="6" t="n"/>
      <c r="L60" s="7" t="n"/>
      <c r="M60" s="7" t="n"/>
      <c r="N60" s="6" t="n"/>
      <c r="O60" s="7" t="n"/>
      <c r="P60" s="6" t="n"/>
      <c r="Q60" s="8" t="n"/>
    </row>
    <row r="61">
      <c r="A61" s="5" t="n"/>
      <c r="B61" s="6" t="n"/>
      <c r="C61" s="6" t="n"/>
      <c r="D61" s="6" t="n"/>
      <c r="E61" s="7" t="n"/>
      <c r="F61" s="6" t="n"/>
      <c r="G61" s="7" t="n"/>
      <c r="H61" s="7" t="n"/>
      <c r="I61" s="6" t="n"/>
      <c r="J61" s="7" t="n"/>
      <c r="K61" s="6" t="n"/>
      <c r="L61" s="7" t="n"/>
      <c r="M61" s="7" t="n"/>
      <c r="N61" s="6" t="n"/>
      <c r="O61" s="7" t="n"/>
      <c r="P61" s="6" t="n"/>
      <c r="Q61" s="8" t="n"/>
    </row>
    <row r="62">
      <c r="A62" s="5" t="n"/>
      <c r="B62" s="6" t="n"/>
      <c r="C62" s="6" t="n"/>
      <c r="D62" s="6" t="n"/>
      <c r="E62" s="7" t="n"/>
      <c r="F62" s="6" t="n"/>
      <c r="G62" s="7" t="n"/>
      <c r="H62" s="7" t="n"/>
      <c r="I62" s="6" t="n"/>
      <c r="J62" s="7" t="n"/>
      <c r="K62" s="6" t="n"/>
      <c r="L62" s="7" t="n"/>
      <c r="M62" s="7" t="n"/>
      <c r="N62" s="6" t="n"/>
      <c r="O62" s="7" t="n"/>
      <c r="P62" s="6" t="n"/>
      <c r="Q62" s="8" t="n"/>
    </row>
    <row r="63">
      <c r="A63" s="5" t="n"/>
      <c r="B63" s="6" t="n"/>
      <c r="C63" s="6" t="n"/>
      <c r="D63" s="6" t="n"/>
      <c r="E63" s="7" t="n"/>
      <c r="F63" s="6" t="n"/>
      <c r="G63" s="7" t="n"/>
      <c r="H63" s="7" t="n"/>
      <c r="I63" s="6" t="n"/>
      <c r="J63" s="7" t="n"/>
      <c r="K63" s="6" t="n"/>
      <c r="L63" s="7" t="n"/>
      <c r="M63" s="7" t="n"/>
      <c r="N63" s="6" t="n"/>
      <c r="O63" s="7" t="n"/>
      <c r="P63" s="6" t="n"/>
      <c r="Q63" s="8" t="n"/>
    </row>
    <row r="64">
      <c r="A64" s="5" t="n"/>
      <c r="B64" s="6" t="n"/>
      <c r="C64" s="6" t="n"/>
      <c r="D64" s="6" t="n"/>
      <c r="E64" s="7" t="n"/>
      <c r="F64" s="6" t="n"/>
      <c r="G64" s="7" t="n"/>
      <c r="H64" s="7" t="n"/>
      <c r="I64" s="6" t="n"/>
      <c r="J64" s="7" t="n"/>
      <c r="K64" s="6" t="n"/>
      <c r="L64" s="7" t="n"/>
      <c r="M64" s="7" t="n"/>
      <c r="N64" s="6" t="n"/>
      <c r="O64" s="7" t="n"/>
      <c r="P64" s="6" t="n"/>
      <c r="Q64" s="8" t="n"/>
    </row>
    <row r="65">
      <c r="A65" s="5" t="n"/>
      <c r="B65" s="6" t="n"/>
      <c r="C65" s="6" t="n"/>
      <c r="D65" s="6" t="n"/>
      <c r="E65" s="7" t="n"/>
      <c r="F65" s="6" t="n"/>
      <c r="G65" s="7" t="n"/>
      <c r="H65" s="7" t="n"/>
      <c r="I65" s="6" t="n"/>
      <c r="J65" s="7" t="n"/>
      <c r="K65" s="6" t="n"/>
      <c r="L65" s="7" t="n"/>
      <c r="M65" s="7" t="n"/>
      <c r="N65" s="6" t="n"/>
      <c r="O65" s="7" t="n"/>
      <c r="P65" s="6" t="n"/>
      <c r="Q65" s="8" t="n"/>
    </row>
    <row r="66">
      <c r="A66" s="5" t="n"/>
      <c r="B66" s="6" t="n"/>
      <c r="C66" s="6" t="n"/>
      <c r="D66" s="6" t="n"/>
      <c r="E66" s="7" t="n"/>
      <c r="F66" s="6" t="n"/>
      <c r="G66" s="7" t="n"/>
      <c r="H66" s="7" t="n"/>
      <c r="I66" s="6" t="n"/>
      <c r="J66" s="7" t="n"/>
      <c r="K66" s="6" t="n"/>
      <c r="L66" s="7" t="n"/>
      <c r="M66" s="7" t="n"/>
      <c r="N66" s="6" t="n"/>
      <c r="O66" s="7" t="n"/>
      <c r="P66" s="6" t="n"/>
      <c r="Q66" s="8" t="n"/>
    </row>
    <row r="67">
      <c r="A67" s="5" t="n"/>
      <c r="B67" s="6" t="n"/>
      <c r="C67" s="6" t="n"/>
      <c r="D67" s="6" t="n"/>
      <c r="E67" s="7" t="n"/>
      <c r="F67" s="6" t="n"/>
      <c r="G67" s="7" t="n"/>
      <c r="H67" s="7" t="n"/>
      <c r="I67" s="6" t="n"/>
      <c r="J67" s="7" t="n"/>
      <c r="K67" s="6" t="n"/>
      <c r="L67" s="7" t="n"/>
      <c r="M67" s="7" t="n"/>
      <c r="N67" s="6" t="n"/>
      <c r="O67" s="7" t="n"/>
      <c r="P67" s="6" t="n"/>
      <c r="Q67" s="8" t="n"/>
    </row>
    <row r="68">
      <c r="A68" s="5" t="n"/>
      <c r="B68" s="6" t="n"/>
      <c r="C68" s="6" t="n"/>
      <c r="D68" s="6" t="n"/>
      <c r="E68" s="7" t="n"/>
      <c r="F68" s="6" t="n"/>
      <c r="G68" s="7" t="n"/>
      <c r="H68" s="7" t="n"/>
      <c r="I68" s="6" t="n"/>
      <c r="J68" s="7" t="n"/>
      <c r="K68" s="6" t="n"/>
      <c r="L68" s="7" t="n"/>
      <c r="M68" s="7" t="n"/>
      <c r="N68" s="6" t="n"/>
      <c r="O68" s="7" t="n"/>
      <c r="P68" s="6" t="n"/>
      <c r="Q68" s="8" t="n"/>
    </row>
    <row r="69">
      <c r="A69" s="5" t="n"/>
      <c r="B69" s="6" t="n"/>
      <c r="C69" s="6" t="n"/>
      <c r="D69" s="6" t="n"/>
      <c r="E69" s="7" t="n"/>
      <c r="F69" s="6" t="n"/>
      <c r="G69" s="7" t="n"/>
      <c r="H69" s="7" t="n"/>
      <c r="I69" s="6" t="n"/>
      <c r="J69" s="7" t="n"/>
      <c r="K69" s="6" t="n"/>
      <c r="L69" s="7" t="n"/>
      <c r="M69" s="7" t="n"/>
      <c r="N69" s="6" t="n"/>
      <c r="O69" s="7" t="n"/>
      <c r="P69" s="6" t="n"/>
      <c r="Q69" s="8" t="n"/>
    </row>
    <row r="70">
      <c r="A70" s="5" t="n"/>
      <c r="B70" s="6" t="n"/>
      <c r="C70" s="6" t="n"/>
      <c r="D70" s="6" t="n"/>
      <c r="E70" s="7" t="n"/>
      <c r="F70" s="6" t="n"/>
      <c r="G70" s="7" t="n"/>
      <c r="H70" s="7" t="n"/>
      <c r="I70" s="6" t="n"/>
      <c r="J70" s="7" t="n"/>
      <c r="K70" s="6" t="n"/>
      <c r="L70" s="7" t="n"/>
      <c r="M70" s="7" t="n"/>
      <c r="N70" s="6" t="n"/>
      <c r="O70" s="7" t="n"/>
      <c r="P70" s="6" t="n"/>
      <c r="Q70" s="8" t="n"/>
    </row>
    <row r="71">
      <c r="A71" s="5" t="n"/>
      <c r="B71" s="6" t="n"/>
      <c r="C71" s="6" t="n"/>
      <c r="D71" s="6" t="n"/>
      <c r="E71" s="7" t="n"/>
      <c r="F71" s="6" t="n"/>
      <c r="G71" s="7" t="n"/>
      <c r="H71" s="7" t="n"/>
      <c r="I71" s="6" t="n"/>
      <c r="J71" s="7" t="n"/>
      <c r="K71" s="6" t="n"/>
      <c r="L71" s="7" t="n"/>
      <c r="M71" s="7" t="n"/>
      <c r="N71" s="6" t="n"/>
      <c r="O71" s="7" t="n"/>
      <c r="P71" s="6" t="n"/>
      <c r="Q71" s="8" t="n"/>
    </row>
    <row r="72">
      <c r="A72" s="5" t="n"/>
      <c r="B72" s="6" t="n"/>
      <c r="C72" s="6" t="n"/>
      <c r="D72" s="6" t="n"/>
      <c r="E72" s="7" t="n"/>
      <c r="F72" s="6" t="n"/>
      <c r="G72" s="7" t="n"/>
      <c r="H72" s="7" t="n"/>
      <c r="I72" s="6" t="n"/>
      <c r="J72" s="7" t="n"/>
      <c r="K72" s="6" t="n"/>
      <c r="L72" s="7" t="n"/>
      <c r="M72" s="7" t="n"/>
      <c r="N72" s="6" t="n"/>
      <c r="O72" s="7" t="n"/>
      <c r="P72" s="6" t="n"/>
      <c r="Q72" s="8" t="n"/>
    </row>
    <row r="73">
      <c r="A73" s="5" t="n"/>
      <c r="B73" s="6" t="n"/>
      <c r="C73" s="6" t="n"/>
      <c r="D73" s="6" t="n"/>
      <c r="E73" s="7" t="n"/>
      <c r="F73" s="6" t="n"/>
      <c r="G73" s="7" t="n"/>
      <c r="H73" s="7" t="n"/>
      <c r="I73" s="6" t="n"/>
      <c r="J73" s="7" t="n"/>
      <c r="K73" s="6" t="n"/>
      <c r="L73" s="7" t="n"/>
      <c r="M73" s="7" t="n"/>
      <c r="N73" s="6" t="n"/>
      <c r="O73" s="7" t="n"/>
      <c r="P73" s="6" t="n"/>
      <c r="Q73" s="8" t="n"/>
    </row>
    <row r="74">
      <c r="A74" s="5" t="n"/>
      <c r="B74" s="6" t="n"/>
      <c r="C74" s="6" t="n"/>
      <c r="D74" s="6" t="n"/>
      <c r="E74" s="7" t="n"/>
      <c r="F74" s="6" t="n"/>
      <c r="G74" s="7" t="n"/>
      <c r="H74" s="7" t="n"/>
      <c r="I74" s="6" t="n"/>
      <c r="J74" s="7" t="n"/>
      <c r="K74" s="6" t="n"/>
      <c r="L74" s="7" t="n"/>
      <c r="M74" s="7" t="n"/>
      <c r="N74" s="6" t="n"/>
      <c r="O74" s="7" t="n"/>
      <c r="P74" s="6" t="n"/>
      <c r="Q74" s="8" t="n"/>
    </row>
    <row r="75">
      <c r="A75" s="5" t="n"/>
      <c r="B75" s="6" t="n"/>
      <c r="C75" s="6" t="n"/>
      <c r="D75" s="6" t="n"/>
      <c r="E75" s="7" t="n"/>
      <c r="F75" s="6" t="n"/>
      <c r="G75" s="7" t="n"/>
      <c r="H75" s="7" t="n"/>
      <c r="I75" s="6" t="n"/>
      <c r="J75" s="7" t="n"/>
      <c r="K75" s="6" t="n"/>
      <c r="L75" s="7" t="n"/>
      <c r="M75" s="7" t="n"/>
      <c r="N75" s="6" t="n"/>
      <c r="O75" s="7" t="n"/>
      <c r="P75" s="6" t="n"/>
      <c r="Q75" s="8" t="n"/>
    </row>
    <row r="76">
      <c r="A76" s="5" t="n"/>
      <c r="B76" s="6" t="n"/>
      <c r="C76" s="6" t="n"/>
      <c r="D76" s="6" t="n"/>
      <c r="E76" s="7" t="n"/>
      <c r="F76" s="6" t="n"/>
      <c r="G76" s="7" t="n"/>
      <c r="H76" s="7" t="n"/>
      <c r="I76" s="6" t="n"/>
      <c r="J76" s="7" t="n"/>
      <c r="K76" s="6" t="n"/>
      <c r="L76" s="7" t="n"/>
      <c r="M76" s="7" t="n"/>
      <c r="N76" s="6" t="n"/>
      <c r="O76" s="7" t="n"/>
      <c r="P76" s="6" t="n"/>
      <c r="Q76" s="8" t="n"/>
    </row>
    <row r="77">
      <c r="A77" s="5" t="n"/>
      <c r="B77" s="6" t="n"/>
      <c r="C77" s="6" t="n"/>
      <c r="D77" s="6" t="n"/>
      <c r="E77" s="7" t="n"/>
      <c r="F77" s="6" t="n"/>
      <c r="G77" s="7" t="n"/>
      <c r="H77" s="7" t="n"/>
      <c r="I77" s="6" t="n"/>
      <c r="J77" s="7" t="n"/>
      <c r="K77" s="6" t="n"/>
      <c r="L77" s="7" t="n"/>
      <c r="M77" s="7" t="n"/>
      <c r="N77" s="6" t="n"/>
      <c r="O77" s="7" t="n"/>
      <c r="P77" s="6" t="n"/>
      <c r="Q77" s="8" t="n"/>
    </row>
    <row r="78">
      <c r="A78" s="5" t="n"/>
      <c r="B78" s="6" t="n"/>
      <c r="C78" s="6" t="n"/>
      <c r="D78" s="6" t="n"/>
      <c r="E78" s="7" t="n"/>
      <c r="F78" s="6" t="n"/>
      <c r="G78" s="7" t="n"/>
      <c r="H78" s="7" t="n"/>
      <c r="I78" s="6" t="n"/>
      <c r="J78" s="7" t="n"/>
      <c r="K78" s="6" t="n"/>
      <c r="L78" s="7" t="n"/>
      <c r="M78" s="7" t="n"/>
      <c r="N78" s="6" t="n"/>
      <c r="O78" s="7" t="n"/>
      <c r="P78" s="6" t="n"/>
      <c r="Q78" s="8" t="n"/>
    </row>
    <row r="79">
      <c r="A79" s="5" t="n"/>
      <c r="B79" s="6" t="n"/>
      <c r="C79" s="6" t="n"/>
      <c r="D79" s="6" t="n"/>
      <c r="E79" s="7" t="n"/>
      <c r="F79" s="6" t="n"/>
      <c r="G79" s="7" t="n"/>
      <c r="H79" s="7" t="n"/>
      <c r="I79" s="6" t="n"/>
      <c r="J79" s="7" t="n"/>
      <c r="K79" s="6" t="n"/>
      <c r="L79" s="7" t="n"/>
      <c r="M79" s="7" t="n"/>
      <c r="N79" s="6" t="n"/>
      <c r="O79" s="7" t="n"/>
      <c r="P79" s="6" t="n"/>
      <c r="Q79" s="8" t="n"/>
    </row>
    <row r="80">
      <c r="A80" s="5" t="n"/>
      <c r="B80" s="6" t="n"/>
      <c r="C80" s="6" t="n"/>
      <c r="D80" s="6" t="n"/>
      <c r="E80" s="7" t="n"/>
      <c r="F80" s="6" t="n"/>
      <c r="G80" s="7" t="n"/>
      <c r="H80" s="7" t="n"/>
      <c r="I80" s="6" t="n"/>
      <c r="J80" s="7" t="n"/>
      <c r="K80" s="6" t="n"/>
      <c r="L80" s="7" t="n"/>
      <c r="M80" s="7" t="n"/>
      <c r="N80" s="6" t="n"/>
      <c r="O80" s="7" t="n"/>
      <c r="P80" s="6" t="n"/>
      <c r="Q80" s="8" t="n"/>
    </row>
    <row r="81">
      <c r="A81" s="5" t="n"/>
      <c r="B81" s="6" t="n"/>
      <c r="C81" s="6" t="n"/>
      <c r="D81" s="6" t="n"/>
      <c r="E81" s="7" t="n"/>
      <c r="F81" s="6" t="n"/>
      <c r="G81" s="7" t="n"/>
      <c r="H81" s="7" t="n"/>
      <c r="I81" s="6" t="n"/>
      <c r="J81" s="7" t="n"/>
      <c r="K81" s="6" t="n"/>
      <c r="L81" s="7" t="n"/>
      <c r="M81" s="7" t="n"/>
      <c r="N81" s="6" t="n"/>
      <c r="O81" s="7" t="n"/>
      <c r="P81" s="6" t="n"/>
      <c r="Q81" s="8" t="n"/>
    </row>
    <row r="82">
      <c r="A82" s="5" t="n"/>
      <c r="B82" s="6" t="n"/>
      <c r="C82" s="6" t="n"/>
      <c r="D82" s="6" t="n"/>
      <c r="E82" s="7" t="n"/>
      <c r="F82" s="6" t="n"/>
      <c r="G82" s="7" t="n"/>
      <c r="H82" s="7" t="n"/>
      <c r="I82" s="6" t="n"/>
      <c r="J82" s="7" t="n"/>
      <c r="K82" s="6" t="n"/>
      <c r="L82" s="7" t="n"/>
      <c r="M82" s="7" t="n"/>
      <c r="N82" s="6" t="n"/>
      <c r="O82" s="7" t="n"/>
      <c r="P82" s="6" t="n"/>
      <c r="Q82" s="8" t="n"/>
    </row>
    <row r="83">
      <c r="A83" s="5" t="n"/>
      <c r="B83" s="6" t="n"/>
      <c r="C83" s="6" t="n"/>
      <c r="D83" s="6" t="n"/>
      <c r="E83" s="7" t="n"/>
      <c r="F83" s="6" t="n"/>
      <c r="G83" s="7" t="n"/>
      <c r="H83" s="7" t="n"/>
      <c r="I83" s="6" t="n"/>
      <c r="J83" s="7" t="n"/>
      <c r="K83" s="6" t="n"/>
      <c r="L83" s="7" t="n"/>
      <c r="M83" s="7" t="n"/>
      <c r="N83" s="6" t="n"/>
      <c r="O83" s="7" t="n"/>
      <c r="P83" s="6" t="n"/>
      <c r="Q83" s="8" t="n"/>
    </row>
    <row r="84">
      <c r="A84" s="5" t="n"/>
      <c r="B84" s="6" t="n"/>
      <c r="C84" s="6" t="n"/>
      <c r="D84" s="6" t="n"/>
      <c r="E84" s="7" t="n"/>
      <c r="F84" s="6" t="n"/>
      <c r="G84" s="7" t="n"/>
      <c r="H84" s="7" t="n"/>
      <c r="I84" s="6" t="n"/>
      <c r="J84" s="7" t="n"/>
      <c r="K84" s="6" t="n"/>
      <c r="L84" s="7" t="n"/>
      <c r="M84" s="7" t="n"/>
      <c r="N84" s="6" t="n"/>
      <c r="O84" s="7" t="n"/>
      <c r="P84" s="6" t="n"/>
      <c r="Q84" s="8" t="n"/>
    </row>
    <row r="85">
      <c r="A85" s="5" t="n"/>
      <c r="B85" s="6" t="n"/>
      <c r="C85" s="6" t="n"/>
      <c r="D85" s="6" t="n"/>
      <c r="E85" s="7" t="n"/>
      <c r="F85" s="6" t="n"/>
      <c r="G85" s="7" t="n"/>
      <c r="H85" s="7" t="n"/>
      <c r="I85" s="6" t="n"/>
      <c r="J85" s="7" t="n"/>
      <c r="K85" s="6" t="n"/>
      <c r="L85" s="7" t="n"/>
      <c r="M85" s="7" t="n"/>
      <c r="N85" s="6" t="n"/>
      <c r="O85" s="7" t="n"/>
      <c r="P85" s="6" t="n"/>
      <c r="Q85" s="8" t="n"/>
    </row>
    <row r="86">
      <c r="A86" s="5" t="n"/>
      <c r="B86" s="6" t="n"/>
      <c r="C86" s="6" t="n"/>
      <c r="D86" s="6" t="n"/>
      <c r="E86" s="7" t="n"/>
      <c r="F86" s="6" t="n"/>
      <c r="G86" s="7" t="n"/>
      <c r="H86" s="7" t="n"/>
      <c r="I86" s="6" t="n"/>
      <c r="J86" s="7" t="n"/>
      <c r="K86" s="6" t="n"/>
      <c r="L86" s="7" t="n"/>
      <c r="M86" s="7" t="n"/>
      <c r="N86" s="6" t="n"/>
      <c r="O86" s="7" t="n"/>
      <c r="P86" s="6" t="n"/>
      <c r="Q86" s="8" t="n"/>
    </row>
    <row r="87">
      <c r="A87" s="5" t="n"/>
      <c r="B87" s="6" t="n"/>
      <c r="C87" s="6" t="n"/>
      <c r="D87" s="6" t="n"/>
      <c r="E87" s="7" t="n"/>
      <c r="F87" s="6" t="n"/>
      <c r="G87" s="7" t="n"/>
      <c r="H87" s="7" t="n"/>
      <c r="I87" s="6" t="n"/>
      <c r="J87" s="7" t="n"/>
      <c r="K87" s="6" t="n"/>
      <c r="L87" s="7" t="n"/>
      <c r="M87" s="7" t="n"/>
      <c r="N87" s="6" t="n"/>
      <c r="O87" s="7" t="n"/>
      <c r="P87" s="6" t="n"/>
      <c r="Q87" s="8" t="n"/>
    </row>
    <row r="88">
      <c r="A88" s="5" t="n"/>
      <c r="B88" s="6" t="n"/>
      <c r="C88" s="6" t="n"/>
      <c r="D88" s="6" t="n"/>
      <c r="E88" s="7" t="n"/>
      <c r="F88" s="6" t="n"/>
      <c r="G88" s="7" t="n"/>
      <c r="H88" s="7" t="n"/>
      <c r="I88" s="6" t="n"/>
      <c r="J88" s="7" t="n"/>
      <c r="K88" s="6" t="n"/>
      <c r="L88" s="7" t="n"/>
      <c r="M88" s="7" t="n"/>
      <c r="N88" s="6" t="n"/>
      <c r="O88" s="7" t="n"/>
      <c r="P88" s="6" t="n"/>
      <c r="Q88" s="8" t="n"/>
    </row>
    <row r="89">
      <c r="A89" s="5" t="n"/>
      <c r="B89" s="6" t="n"/>
      <c r="C89" s="6" t="n"/>
      <c r="D89" s="6" t="n"/>
      <c r="E89" s="7" t="n"/>
      <c r="F89" s="6" t="n"/>
      <c r="G89" s="7" t="n"/>
      <c r="H89" s="7" t="n"/>
      <c r="I89" s="6" t="n"/>
      <c r="J89" s="7" t="n"/>
      <c r="K89" s="6" t="n"/>
      <c r="L89" s="7" t="n"/>
      <c r="M89" s="7" t="n"/>
      <c r="N89" s="6" t="n"/>
      <c r="O89" s="7" t="n"/>
      <c r="P89" s="6" t="n"/>
      <c r="Q89" s="8" t="n"/>
    </row>
    <row r="90">
      <c r="A90" s="5" t="n"/>
      <c r="B90" s="6" t="n"/>
      <c r="C90" s="6" t="n"/>
      <c r="D90" s="6" t="n"/>
      <c r="E90" s="7" t="n"/>
      <c r="F90" s="6" t="n"/>
      <c r="G90" s="7" t="n"/>
      <c r="H90" s="7" t="n"/>
      <c r="I90" s="6" t="n"/>
      <c r="J90" s="7" t="n"/>
      <c r="K90" s="6" t="n"/>
      <c r="L90" s="7" t="n"/>
      <c r="M90" s="7" t="n"/>
      <c r="N90" s="6" t="n"/>
      <c r="O90" s="7" t="n"/>
      <c r="P90" s="6" t="n"/>
      <c r="Q90" s="8" t="n"/>
    </row>
    <row r="91">
      <c r="A91" s="5" t="n"/>
      <c r="B91" s="6" t="n"/>
      <c r="C91" s="6" t="n"/>
      <c r="D91" s="6" t="n"/>
      <c r="E91" s="7" t="n"/>
      <c r="F91" s="6" t="n"/>
      <c r="G91" s="7" t="n"/>
      <c r="H91" s="7" t="n"/>
      <c r="I91" s="6" t="n"/>
      <c r="J91" s="7" t="n"/>
      <c r="K91" s="6" t="n"/>
      <c r="L91" s="7" t="n"/>
      <c r="M91" s="7" t="n"/>
      <c r="N91" s="6" t="n"/>
      <c r="O91" s="7" t="n"/>
      <c r="P91" s="6" t="n"/>
      <c r="Q91" s="8" t="n"/>
    </row>
    <row r="92">
      <c r="A92" s="5" t="n"/>
      <c r="B92" s="6" t="n"/>
      <c r="C92" s="6" t="n"/>
      <c r="D92" s="6" t="n"/>
      <c r="E92" s="7" t="n"/>
      <c r="F92" s="6" t="n"/>
      <c r="G92" s="7" t="n"/>
      <c r="H92" s="7" t="n"/>
      <c r="I92" s="6" t="n"/>
      <c r="J92" s="7" t="n"/>
      <c r="K92" s="6" t="n"/>
      <c r="L92" s="7" t="n"/>
      <c r="M92" s="7" t="n"/>
      <c r="N92" s="6" t="n"/>
      <c r="O92" s="7" t="n"/>
      <c r="P92" s="6" t="n"/>
      <c r="Q92" s="8" t="n"/>
    </row>
    <row r="93">
      <c r="A93" s="5" t="n"/>
      <c r="B93" s="6" t="n"/>
      <c r="C93" s="6" t="n"/>
      <c r="D93" s="6" t="n"/>
      <c r="E93" s="7" t="n"/>
      <c r="F93" s="6" t="n"/>
      <c r="G93" s="7" t="n"/>
      <c r="H93" s="7" t="n"/>
      <c r="I93" s="6" t="n"/>
      <c r="J93" s="7" t="n"/>
      <c r="K93" s="6" t="n"/>
      <c r="L93" s="7" t="n"/>
      <c r="M93" s="7" t="n"/>
      <c r="N93" s="6" t="n"/>
      <c r="O93" s="7" t="n"/>
      <c r="P93" s="6" t="n"/>
      <c r="Q93" s="8" t="n"/>
    </row>
    <row r="94">
      <c r="A94" s="5" t="n"/>
      <c r="B94" s="6" t="n"/>
      <c r="C94" s="6" t="n"/>
      <c r="D94" s="6" t="n"/>
      <c r="E94" s="7" t="n"/>
      <c r="F94" s="6" t="n"/>
      <c r="G94" s="7" t="n"/>
      <c r="H94" s="7" t="n"/>
      <c r="I94" s="6" t="n"/>
      <c r="J94" s="7" t="n"/>
      <c r="K94" s="6" t="n"/>
      <c r="L94" s="7" t="n"/>
      <c r="M94" s="7" t="n"/>
      <c r="N94" s="6" t="n"/>
      <c r="O94" s="7" t="n"/>
      <c r="P94" s="6" t="n"/>
      <c r="Q94" s="8" t="n"/>
    </row>
    <row r="95">
      <c r="A95" s="5" t="n"/>
      <c r="B95" s="6" t="n"/>
      <c r="C95" s="6" t="n"/>
      <c r="D95" s="6" t="n"/>
      <c r="E95" s="7" t="n"/>
      <c r="F95" s="6" t="n"/>
      <c r="G95" s="7" t="n"/>
      <c r="H95" s="7" t="n"/>
      <c r="I95" s="6" t="n"/>
      <c r="J95" s="7" t="n"/>
      <c r="K95" s="6" t="n"/>
      <c r="L95" s="7" t="n"/>
      <c r="M95" s="7" t="n"/>
      <c r="N95" s="6" t="n"/>
      <c r="O95" s="7" t="n"/>
      <c r="P95" s="6" t="n"/>
      <c r="Q95" s="8" t="n"/>
    </row>
    <row r="96">
      <c r="A96" s="5" t="n"/>
      <c r="B96" s="6" t="n"/>
      <c r="C96" s="6" t="n"/>
      <c r="D96" s="6" t="n"/>
      <c r="E96" s="7" t="n"/>
      <c r="F96" s="6" t="n"/>
      <c r="G96" s="7" t="n"/>
      <c r="H96" s="7" t="n"/>
      <c r="I96" s="6" t="n"/>
      <c r="J96" s="7" t="n"/>
      <c r="K96" s="6" t="n"/>
      <c r="L96" s="7" t="n"/>
      <c r="M96" s="7" t="n"/>
      <c r="N96" s="6" t="n"/>
      <c r="O96" s="7" t="n"/>
      <c r="P96" s="6" t="n"/>
      <c r="Q96" s="8" t="n"/>
    </row>
    <row r="97">
      <c r="A97" s="5" t="n"/>
      <c r="B97" s="6" t="n"/>
      <c r="C97" s="6" t="n"/>
      <c r="D97" s="6" t="n"/>
      <c r="E97" s="7" t="n"/>
      <c r="F97" s="6" t="n"/>
      <c r="G97" s="7" t="n"/>
      <c r="H97" s="7" t="n"/>
      <c r="I97" s="6" t="n"/>
      <c r="J97" s="7" t="n"/>
      <c r="K97" s="6" t="n"/>
      <c r="L97" s="7" t="n"/>
      <c r="M97" s="7" t="n"/>
      <c r="N97" s="6" t="n"/>
      <c r="O97" s="7" t="n"/>
      <c r="P97" s="6" t="n"/>
      <c r="Q97" s="8" t="n"/>
    </row>
    <row r="98">
      <c r="A98" s="5" t="n"/>
      <c r="B98" s="6" t="n"/>
      <c r="C98" s="6" t="n"/>
      <c r="D98" s="6" t="n"/>
      <c r="E98" s="7" t="n"/>
      <c r="F98" s="6" t="n"/>
      <c r="G98" s="7" t="n"/>
      <c r="H98" s="7" t="n"/>
      <c r="I98" s="6" t="n"/>
      <c r="J98" s="7" t="n"/>
      <c r="K98" s="6" t="n"/>
      <c r="L98" s="7" t="n"/>
      <c r="M98" s="7" t="n"/>
      <c r="N98" s="6" t="n"/>
      <c r="O98" s="7" t="n"/>
      <c r="P98" s="6" t="n"/>
      <c r="Q98" s="8" t="n"/>
    </row>
    <row r="99">
      <c r="A99" s="5" t="n"/>
      <c r="B99" s="6" t="n"/>
      <c r="C99" s="6" t="n"/>
      <c r="D99" s="6" t="n"/>
      <c r="E99" s="7" t="n"/>
      <c r="F99" s="6" t="n"/>
      <c r="G99" s="7" t="n"/>
      <c r="H99" s="7" t="n"/>
      <c r="I99" s="6" t="n"/>
      <c r="J99" s="7" t="n"/>
      <c r="K99" s="6" t="n"/>
      <c r="L99" s="7" t="n"/>
      <c r="M99" s="7" t="n"/>
      <c r="N99" s="6" t="n"/>
      <c r="O99" s="7" t="n"/>
      <c r="P99" s="6" t="n"/>
      <c r="Q99" s="8" t="n"/>
    </row>
    <row r="100">
      <c r="A100" s="5" t="n"/>
      <c r="B100" s="6" t="n"/>
      <c r="C100" s="6" t="n"/>
      <c r="D100" s="6" t="n"/>
      <c r="E100" s="7" t="n"/>
      <c r="F100" s="6" t="n"/>
      <c r="G100" s="7" t="n"/>
      <c r="H100" s="7" t="n"/>
      <c r="I100" s="6" t="n"/>
      <c r="J100" s="7" t="n"/>
      <c r="K100" s="6" t="n"/>
      <c r="L100" s="7" t="n"/>
      <c r="M100" s="7" t="n"/>
      <c r="N100" s="6" t="n"/>
      <c r="O100" s="7" t="n"/>
      <c r="P100" s="6" t="n"/>
      <c r="Q100" s="8" t="n"/>
    </row>
    <row r="101">
      <c r="A101" s="5" t="n"/>
      <c r="B101" s="6" t="n"/>
      <c r="C101" s="6" t="n"/>
      <c r="D101" s="6" t="n"/>
      <c r="E101" s="7" t="n"/>
      <c r="F101" s="6" t="n"/>
      <c r="G101" s="7" t="n"/>
      <c r="H101" s="7" t="n"/>
      <c r="I101" s="6" t="n"/>
      <c r="J101" s="7" t="n"/>
      <c r="K101" s="6" t="n"/>
      <c r="L101" s="7" t="n"/>
      <c r="M101" s="7" t="n"/>
      <c r="N101" s="6" t="n"/>
      <c r="O101" s="7" t="n"/>
      <c r="P101" s="6" t="n"/>
      <c r="Q101" s="8" t="n"/>
    </row>
    <row r="102">
      <c r="A102" s="5" t="n"/>
      <c r="B102" s="6" t="n"/>
      <c r="C102" s="6" t="n"/>
      <c r="D102" s="6" t="n"/>
      <c r="E102" s="7" t="n"/>
      <c r="F102" s="6" t="n"/>
      <c r="G102" s="7" t="n"/>
      <c r="H102" s="7" t="n"/>
      <c r="I102" s="6" t="n"/>
      <c r="J102" s="7" t="n"/>
      <c r="K102" s="6" t="n"/>
      <c r="L102" s="7" t="n"/>
      <c r="M102" s="7" t="n"/>
      <c r="N102" s="6" t="n"/>
      <c r="O102" s="7" t="n"/>
      <c r="P102" s="6" t="n"/>
      <c r="Q102" s="8" t="n"/>
    </row>
    <row r="103">
      <c r="A103" s="5" t="n"/>
      <c r="B103" s="6" t="n"/>
      <c r="C103" s="6" t="n"/>
      <c r="D103" s="6" t="n"/>
      <c r="E103" s="7" t="n"/>
      <c r="F103" s="6" t="n"/>
      <c r="G103" s="7" t="n"/>
      <c r="H103" s="7" t="n"/>
      <c r="I103" s="6" t="n"/>
      <c r="J103" s="7" t="n"/>
      <c r="K103" s="6" t="n"/>
      <c r="L103" s="7" t="n"/>
      <c r="M103" s="7" t="n"/>
      <c r="N103" s="6" t="n"/>
      <c r="O103" s="7" t="n"/>
      <c r="P103" s="6" t="n"/>
      <c r="Q103" s="8" t="n"/>
    </row>
    <row r="104">
      <c r="A104" s="5" t="n"/>
      <c r="B104" s="6" t="n"/>
      <c r="C104" s="6" t="n"/>
      <c r="D104" s="6" t="n"/>
      <c r="E104" s="7" t="n"/>
      <c r="F104" s="6" t="n"/>
      <c r="G104" s="7" t="n"/>
      <c r="H104" s="7" t="n"/>
      <c r="I104" s="6" t="n"/>
      <c r="J104" s="7" t="n"/>
      <c r="K104" s="6" t="n"/>
      <c r="L104" s="7" t="n"/>
      <c r="M104" s="7" t="n"/>
      <c r="N104" s="6" t="n"/>
      <c r="O104" s="7" t="n"/>
      <c r="P104" s="6" t="n"/>
      <c r="Q104" s="8" t="n"/>
    </row>
    <row r="105">
      <c r="A105" s="5" t="n"/>
      <c r="B105" s="6" t="n"/>
      <c r="C105" s="6" t="n"/>
      <c r="D105" s="6" t="n"/>
      <c r="E105" s="7" t="n"/>
      <c r="F105" s="6" t="n"/>
      <c r="G105" s="7" t="n"/>
      <c r="H105" s="7" t="n"/>
      <c r="I105" s="6" t="n"/>
      <c r="J105" s="7" t="n"/>
      <c r="K105" s="6" t="n"/>
      <c r="L105" s="7" t="n"/>
      <c r="M105" s="7" t="n"/>
      <c r="N105" s="6" t="n"/>
      <c r="O105" s="7" t="n"/>
      <c r="P105" s="6" t="n"/>
      <c r="Q105" s="8" t="n"/>
    </row>
    <row r="106">
      <c r="A106" s="5" t="n"/>
      <c r="B106" s="6" t="n"/>
      <c r="C106" s="6" t="n"/>
      <c r="D106" s="6" t="n"/>
      <c r="E106" s="7" t="n"/>
      <c r="F106" s="6" t="n"/>
      <c r="G106" s="7" t="n"/>
      <c r="H106" s="7" t="n"/>
      <c r="I106" s="6" t="n"/>
      <c r="J106" s="7" t="n"/>
      <c r="K106" s="6" t="n"/>
      <c r="L106" s="7" t="n"/>
      <c r="M106" s="7" t="n"/>
      <c r="N106" s="6" t="n"/>
      <c r="O106" s="7" t="n"/>
      <c r="P106" s="6" t="n"/>
      <c r="Q106" s="8" t="n"/>
    </row>
    <row r="107">
      <c r="A107" s="5" t="n"/>
      <c r="B107" s="6" t="n"/>
      <c r="C107" s="6" t="n"/>
      <c r="D107" s="6" t="n"/>
      <c r="E107" s="7" t="n"/>
      <c r="F107" s="6" t="n"/>
      <c r="G107" s="7" t="n"/>
      <c r="H107" s="7" t="n"/>
      <c r="I107" s="6" t="n"/>
      <c r="J107" s="7" t="n"/>
      <c r="K107" s="6" t="n"/>
      <c r="L107" s="7" t="n"/>
      <c r="M107" s="7" t="n"/>
      <c r="N107" s="6" t="n"/>
      <c r="O107" s="7" t="n"/>
      <c r="P107" s="6" t="n"/>
      <c r="Q107" s="8" t="n"/>
    </row>
    <row r="108">
      <c r="A108" s="5" t="n"/>
      <c r="B108" s="6" t="n"/>
      <c r="C108" s="6" t="n"/>
      <c r="D108" s="6" t="n"/>
      <c r="E108" s="7" t="n"/>
      <c r="F108" s="6" t="n"/>
      <c r="G108" s="7" t="n"/>
      <c r="H108" s="7" t="n"/>
      <c r="I108" s="6" t="n"/>
      <c r="J108" s="7" t="n"/>
      <c r="K108" s="6" t="n"/>
      <c r="L108" s="7" t="n"/>
      <c r="M108" s="7" t="n"/>
      <c r="N108" s="6" t="n"/>
      <c r="O108" s="7" t="n"/>
      <c r="P108" s="6" t="n"/>
      <c r="Q108" s="8" t="n"/>
    </row>
    <row r="109">
      <c r="A109" s="5" t="n"/>
      <c r="B109" s="6" t="n"/>
      <c r="C109" s="6" t="n"/>
      <c r="D109" s="6" t="n"/>
      <c r="E109" s="7" t="n"/>
      <c r="F109" s="6" t="n"/>
      <c r="G109" s="7" t="n"/>
      <c r="H109" s="7" t="n"/>
      <c r="I109" s="6" t="n"/>
      <c r="J109" s="7" t="n"/>
      <c r="K109" s="6" t="n"/>
      <c r="L109" s="7" t="n"/>
      <c r="M109" s="7" t="n"/>
      <c r="N109" s="6" t="n"/>
      <c r="O109" s="7" t="n"/>
      <c r="P109" s="6" t="n"/>
      <c r="Q109" s="8" t="n"/>
    </row>
    <row r="110">
      <c r="A110" s="5" t="n"/>
      <c r="B110" s="6" t="n"/>
      <c r="C110" s="6" t="n"/>
      <c r="D110" s="6" t="n"/>
      <c r="E110" s="7" t="n"/>
      <c r="F110" s="6" t="n"/>
      <c r="G110" s="7" t="n"/>
      <c r="H110" s="7" t="n"/>
      <c r="I110" s="6" t="n"/>
      <c r="J110" s="7" t="n"/>
      <c r="K110" s="6" t="n"/>
      <c r="L110" s="7" t="n"/>
      <c r="M110" s="7" t="n"/>
      <c r="N110" s="6" t="n"/>
      <c r="O110" s="7" t="n"/>
      <c r="P110" s="6" t="n"/>
      <c r="Q110" s="8" t="n"/>
    </row>
    <row r="111">
      <c r="A111" s="5" t="n"/>
      <c r="B111" s="6" t="n"/>
      <c r="C111" s="6" t="n"/>
      <c r="D111" s="6" t="n"/>
      <c r="E111" s="7" t="n"/>
      <c r="F111" s="6" t="n"/>
      <c r="G111" s="7" t="n"/>
      <c r="H111" s="7" t="n"/>
      <c r="I111" s="6" t="n"/>
      <c r="J111" s="7" t="n"/>
      <c r="K111" s="6" t="n"/>
      <c r="L111" s="7" t="n"/>
      <c r="M111" s="7" t="n"/>
      <c r="N111" s="6" t="n"/>
      <c r="O111" s="7" t="n"/>
      <c r="P111" s="6" t="n"/>
      <c r="Q111" s="8" t="n"/>
    </row>
    <row r="112">
      <c r="A112" s="5" t="n"/>
      <c r="B112" s="6" t="n"/>
      <c r="C112" s="6" t="n"/>
      <c r="D112" s="6" t="n"/>
      <c r="E112" s="7" t="n"/>
      <c r="F112" s="6" t="n"/>
      <c r="G112" s="7" t="n"/>
      <c r="H112" s="7" t="n"/>
      <c r="I112" s="6" t="n"/>
      <c r="J112" s="7" t="n"/>
      <c r="K112" s="6" t="n"/>
      <c r="L112" s="7" t="n"/>
      <c r="M112" s="7" t="n"/>
      <c r="N112" s="6" t="n"/>
      <c r="O112" s="7" t="n"/>
      <c r="P112" s="6" t="n"/>
      <c r="Q112" s="8" t="n"/>
    </row>
    <row r="113">
      <c r="A113" s="5" t="n"/>
      <c r="B113" s="6" t="n"/>
      <c r="C113" s="6" t="n"/>
      <c r="D113" s="6" t="n"/>
      <c r="E113" s="7" t="n"/>
      <c r="F113" s="6" t="n"/>
      <c r="G113" s="7" t="n"/>
      <c r="H113" s="7" t="n"/>
      <c r="I113" s="6" t="n"/>
      <c r="J113" s="7" t="n"/>
      <c r="K113" s="6" t="n"/>
      <c r="L113" s="7" t="n"/>
      <c r="M113" s="7" t="n"/>
      <c r="N113" s="6" t="n"/>
      <c r="O113" s="7" t="n"/>
      <c r="P113" s="6" t="n"/>
      <c r="Q113" s="8" t="n"/>
    </row>
    <row r="114">
      <c r="A114" s="5" t="n"/>
      <c r="B114" s="6" t="n"/>
      <c r="C114" s="6" t="n"/>
      <c r="D114" s="6" t="n"/>
      <c r="E114" s="7" t="n"/>
      <c r="F114" s="6" t="n"/>
      <c r="G114" s="7" t="n"/>
      <c r="H114" s="7" t="n"/>
      <c r="I114" s="6" t="n"/>
      <c r="J114" s="7" t="n"/>
      <c r="K114" s="6" t="n"/>
      <c r="L114" s="7" t="n"/>
      <c r="M114" s="7" t="n"/>
      <c r="N114" s="6" t="n"/>
      <c r="O114" s="7" t="n"/>
      <c r="P114" s="6" t="n"/>
      <c r="Q114" s="8" t="n"/>
    </row>
    <row r="115">
      <c r="A115" s="5" t="n"/>
      <c r="B115" s="6" t="n"/>
      <c r="C115" s="6" t="n"/>
      <c r="D115" s="6" t="n"/>
      <c r="E115" s="7" t="n"/>
      <c r="F115" s="6" t="n"/>
      <c r="G115" s="7" t="n"/>
      <c r="H115" s="7" t="n"/>
      <c r="I115" s="6" t="n"/>
      <c r="J115" s="7" t="n"/>
      <c r="K115" s="6" t="n"/>
      <c r="L115" s="7" t="n"/>
      <c r="M115" s="7" t="n"/>
      <c r="N115" s="6" t="n"/>
      <c r="O115" s="7" t="n"/>
      <c r="P115" s="6" t="n"/>
      <c r="Q115" s="8" t="n"/>
    </row>
    <row r="116">
      <c r="A116" s="5" t="n"/>
      <c r="B116" s="6" t="n"/>
      <c r="C116" s="6" t="n"/>
      <c r="D116" s="6" t="n"/>
      <c r="E116" s="7" t="n"/>
      <c r="F116" s="6" t="n"/>
      <c r="G116" s="7" t="n"/>
      <c r="H116" s="7" t="n"/>
      <c r="I116" s="6" t="n"/>
      <c r="J116" s="7" t="n"/>
      <c r="K116" s="6" t="n"/>
      <c r="L116" s="7" t="n"/>
      <c r="M116" s="7" t="n"/>
      <c r="N116" s="6" t="n"/>
      <c r="O116" s="7" t="n"/>
      <c r="P116" s="6" t="n"/>
      <c r="Q116" s="8" t="n"/>
    </row>
    <row r="117">
      <c r="A117" s="5" t="n"/>
      <c r="B117" s="6" t="n"/>
      <c r="C117" s="6" t="n"/>
      <c r="D117" s="6" t="n"/>
      <c r="E117" s="7" t="n"/>
      <c r="F117" s="6" t="n"/>
      <c r="G117" s="7" t="n"/>
      <c r="H117" s="7" t="n"/>
      <c r="I117" s="6" t="n"/>
      <c r="J117" s="7" t="n"/>
      <c r="K117" s="6" t="n"/>
      <c r="L117" s="7" t="n"/>
      <c r="M117" s="7" t="n"/>
      <c r="N117" s="6" t="n"/>
      <c r="O117" s="7" t="n"/>
      <c r="P117" s="6" t="n"/>
      <c r="Q117" s="8" t="n"/>
    </row>
    <row r="118">
      <c r="A118" s="5" t="n"/>
      <c r="B118" s="6" t="n"/>
      <c r="C118" s="6" t="n"/>
      <c r="D118" s="6" t="n"/>
      <c r="E118" s="7" t="n"/>
      <c r="F118" s="6" t="n"/>
      <c r="G118" s="7" t="n"/>
      <c r="H118" s="7" t="n"/>
      <c r="I118" s="6" t="n"/>
      <c r="J118" s="7" t="n"/>
      <c r="K118" s="6" t="n"/>
      <c r="L118" s="7" t="n"/>
      <c r="M118" s="7" t="n"/>
      <c r="N118" s="6" t="n"/>
      <c r="O118" s="7" t="n"/>
      <c r="P118" s="6" t="n"/>
      <c r="Q118" s="8" t="n"/>
    </row>
    <row r="119">
      <c r="A119" s="5" t="n"/>
      <c r="B119" s="6" t="n"/>
      <c r="C119" s="6" t="n"/>
      <c r="D119" s="6" t="n"/>
      <c r="E119" s="7" t="n"/>
      <c r="F119" s="6" t="n"/>
      <c r="G119" s="7" t="n"/>
      <c r="H119" s="7" t="n"/>
      <c r="I119" s="6" t="n"/>
      <c r="J119" s="7" t="n"/>
      <c r="K119" s="6" t="n"/>
      <c r="L119" s="7" t="n"/>
      <c r="M119" s="7" t="n"/>
      <c r="N119" s="6" t="n"/>
      <c r="O119" s="7" t="n"/>
      <c r="P119" s="6" t="n"/>
      <c r="Q119" s="8" t="n"/>
    </row>
    <row r="120">
      <c r="A120" s="5" t="n"/>
      <c r="B120" s="6" t="n"/>
      <c r="C120" s="6" t="n"/>
      <c r="D120" s="6" t="n"/>
      <c r="E120" s="7" t="n"/>
      <c r="F120" s="6" t="n"/>
      <c r="G120" s="7" t="n"/>
      <c r="H120" s="7" t="n"/>
      <c r="I120" s="6" t="n"/>
      <c r="J120" s="7" t="n"/>
      <c r="K120" s="6" t="n"/>
      <c r="L120" s="7" t="n"/>
      <c r="M120" s="7" t="n"/>
      <c r="N120" s="6" t="n"/>
      <c r="O120" s="7" t="n"/>
      <c r="P120" s="6" t="n"/>
      <c r="Q120" s="8" t="n"/>
    </row>
    <row r="121">
      <c r="A121" s="5" t="n"/>
      <c r="B121" s="6" t="n"/>
      <c r="C121" s="6" t="n"/>
      <c r="D121" s="6" t="n"/>
      <c r="E121" s="7" t="n"/>
      <c r="F121" s="6" t="n"/>
      <c r="G121" s="7" t="n"/>
      <c r="H121" s="7" t="n"/>
      <c r="I121" s="6" t="n"/>
      <c r="J121" s="7" t="n"/>
      <c r="K121" s="6" t="n"/>
      <c r="L121" s="7" t="n"/>
      <c r="M121" s="7" t="n"/>
      <c r="N121" s="6" t="n"/>
      <c r="O121" s="7" t="n"/>
      <c r="P121" s="6" t="n"/>
      <c r="Q121" s="8" t="n"/>
    </row>
    <row r="122">
      <c r="A122" s="5" t="n"/>
      <c r="B122" s="6" t="n"/>
      <c r="C122" s="6" t="n"/>
      <c r="D122" s="6" t="n"/>
      <c r="E122" s="7" t="n"/>
      <c r="F122" s="6" t="n"/>
      <c r="G122" s="7" t="n"/>
      <c r="H122" s="7" t="n"/>
      <c r="I122" s="6" t="n"/>
      <c r="J122" s="7" t="n"/>
      <c r="K122" s="6" t="n"/>
      <c r="L122" s="7" t="n"/>
      <c r="M122" s="7" t="n"/>
      <c r="N122" s="6" t="n"/>
      <c r="O122" s="7" t="n"/>
      <c r="P122" s="6" t="n"/>
      <c r="Q122" s="8" t="n"/>
    </row>
    <row r="123">
      <c r="A123" s="5" t="n"/>
      <c r="B123" s="6" t="n"/>
      <c r="C123" s="6" t="n"/>
      <c r="D123" s="6" t="n"/>
      <c r="E123" s="7" t="n"/>
      <c r="F123" s="6" t="n"/>
      <c r="G123" s="7" t="n"/>
      <c r="H123" s="7" t="n"/>
      <c r="I123" s="6" t="n"/>
      <c r="J123" s="7" t="n"/>
      <c r="K123" s="6" t="n"/>
      <c r="L123" s="7" t="n"/>
      <c r="M123" s="7" t="n"/>
      <c r="N123" s="6" t="n"/>
      <c r="O123" s="7" t="n"/>
      <c r="P123" s="6" t="n"/>
      <c r="Q123" s="8" t="n"/>
    </row>
    <row r="124">
      <c r="A124" s="5" t="n"/>
      <c r="B124" s="6" t="n"/>
      <c r="C124" s="6" t="n"/>
      <c r="D124" s="6" t="n"/>
      <c r="E124" s="7" t="n"/>
      <c r="F124" s="6" t="n"/>
      <c r="G124" s="7" t="n"/>
      <c r="H124" s="7" t="n"/>
      <c r="I124" s="6" t="n"/>
      <c r="J124" s="7" t="n"/>
      <c r="K124" s="6" t="n"/>
      <c r="L124" s="7" t="n"/>
      <c r="M124" s="7" t="n"/>
      <c r="N124" s="6" t="n"/>
      <c r="O124" s="7" t="n"/>
      <c r="P124" s="6" t="n"/>
      <c r="Q124" s="8" t="n"/>
    </row>
    <row r="125">
      <c r="A125" s="5" t="n"/>
      <c r="B125" s="6" t="n"/>
      <c r="C125" s="6" t="n"/>
      <c r="D125" s="6" t="n"/>
      <c r="E125" s="7" t="n"/>
      <c r="F125" s="6" t="n"/>
      <c r="G125" s="7" t="n"/>
      <c r="H125" s="7" t="n"/>
      <c r="I125" s="6" t="n"/>
      <c r="J125" s="7" t="n"/>
      <c r="K125" s="6" t="n"/>
      <c r="L125" s="7" t="n"/>
      <c r="M125" s="7" t="n"/>
      <c r="N125" s="6" t="n"/>
      <c r="O125" s="7" t="n"/>
      <c r="P125" s="6" t="n"/>
      <c r="Q125" s="8" t="n"/>
    </row>
    <row r="126">
      <c r="A126" s="5" t="n"/>
      <c r="B126" s="6" t="n"/>
      <c r="C126" s="6" t="n"/>
      <c r="D126" s="6" t="n"/>
      <c r="E126" s="7" t="n"/>
      <c r="F126" s="6" t="n"/>
      <c r="G126" s="7" t="n"/>
      <c r="H126" s="7" t="n"/>
      <c r="I126" s="6" t="n"/>
      <c r="J126" s="7" t="n"/>
      <c r="K126" s="6" t="n"/>
      <c r="L126" s="7" t="n"/>
      <c r="M126" s="7" t="n"/>
      <c r="N126" s="6" t="n"/>
      <c r="O126" s="7" t="n"/>
      <c r="P126" s="6" t="n"/>
      <c r="Q126" s="8" t="n"/>
    </row>
    <row r="127">
      <c r="A127" s="5" t="n"/>
      <c r="B127" s="6" t="n"/>
      <c r="C127" s="6" t="n"/>
      <c r="D127" s="6" t="n"/>
      <c r="E127" s="7" t="n"/>
      <c r="F127" s="6" t="n"/>
      <c r="G127" s="7" t="n"/>
      <c r="H127" s="7" t="n"/>
      <c r="I127" s="6" t="n"/>
      <c r="J127" s="7" t="n"/>
      <c r="K127" s="6" t="n"/>
      <c r="L127" s="7" t="n"/>
      <c r="M127" s="7" t="n"/>
      <c r="N127" s="6" t="n"/>
      <c r="O127" s="7" t="n"/>
      <c r="P127" s="6" t="n"/>
      <c r="Q127" s="8" t="n"/>
    </row>
    <row r="128">
      <c r="A128" s="5" t="n"/>
      <c r="B128" s="6" t="n"/>
      <c r="C128" s="6" t="n"/>
      <c r="D128" s="6" t="n"/>
      <c r="E128" s="7" t="n"/>
      <c r="F128" s="6" t="n"/>
      <c r="G128" s="7" t="n"/>
      <c r="H128" s="7" t="n"/>
      <c r="I128" s="6" t="n"/>
      <c r="J128" s="7" t="n"/>
      <c r="K128" s="6" t="n"/>
      <c r="L128" s="7" t="n"/>
      <c r="M128" s="7" t="n"/>
      <c r="N128" s="6" t="n"/>
      <c r="O128" s="7" t="n"/>
      <c r="P128" s="6" t="n"/>
      <c r="Q128" s="8" t="n"/>
    </row>
    <row r="129">
      <c r="A129" s="5" t="n"/>
      <c r="B129" s="6" t="n"/>
      <c r="C129" s="6" t="n"/>
      <c r="D129" s="6" t="n"/>
      <c r="E129" s="7" t="n"/>
      <c r="F129" s="6" t="n"/>
      <c r="G129" s="7" t="n"/>
      <c r="H129" s="7" t="n"/>
      <c r="I129" s="6" t="n"/>
      <c r="J129" s="7" t="n"/>
      <c r="K129" s="6" t="n"/>
      <c r="L129" s="7" t="n"/>
      <c r="M129" s="7" t="n"/>
      <c r="N129" s="6" t="n"/>
      <c r="O129" s="7" t="n"/>
      <c r="P129" s="6" t="n"/>
      <c r="Q129" s="8" t="n"/>
    </row>
    <row r="130">
      <c r="A130" s="5" t="n"/>
      <c r="B130" s="6" t="n"/>
      <c r="C130" s="6" t="n"/>
      <c r="D130" s="6" t="n"/>
      <c r="E130" s="7" t="n"/>
      <c r="F130" s="6" t="n"/>
      <c r="G130" s="7" t="n"/>
      <c r="H130" s="7" t="n"/>
      <c r="I130" s="6" t="n"/>
      <c r="J130" s="7" t="n"/>
      <c r="K130" s="6" t="n"/>
      <c r="L130" s="7" t="n"/>
      <c r="M130" s="7" t="n"/>
      <c r="N130" s="6" t="n"/>
      <c r="O130" s="7" t="n"/>
      <c r="P130" s="6" t="n"/>
      <c r="Q130" s="8" t="n"/>
    </row>
    <row r="131">
      <c r="A131" s="5" t="n"/>
      <c r="B131" s="6" t="n"/>
      <c r="C131" s="6" t="n"/>
      <c r="D131" s="6" t="n"/>
      <c r="E131" s="7" t="n"/>
      <c r="F131" s="6" t="n"/>
      <c r="G131" s="7" t="n"/>
      <c r="H131" s="7" t="n"/>
      <c r="I131" s="6" t="n"/>
      <c r="J131" s="7" t="n"/>
      <c r="K131" s="6" t="n"/>
      <c r="L131" s="7" t="n"/>
      <c r="M131" s="7" t="n"/>
      <c r="N131" s="6" t="n"/>
      <c r="O131" s="7" t="n"/>
      <c r="P131" s="6" t="n"/>
      <c r="Q131" s="8" t="n"/>
    </row>
    <row r="132">
      <c r="A132" s="5" t="n"/>
      <c r="B132" s="6" t="n"/>
      <c r="C132" s="6" t="n"/>
      <c r="D132" s="6" t="n"/>
      <c r="E132" s="7" t="n"/>
      <c r="F132" s="6" t="n"/>
      <c r="G132" s="7" t="n"/>
      <c r="H132" s="7" t="n"/>
      <c r="I132" s="6" t="n"/>
      <c r="J132" s="7" t="n"/>
      <c r="K132" s="6" t="n"/>
      <c r="L132" s="7" t="n"/>
      <c r="M132" s="7" t="n"/>
      <c r="N132" s="6" t="n"/>
      <c r="O132" s="7" t="n"/>
      <c r="P132" s="6" t="n"/>
      <c r="Q132" s="8" t="n"/>
    </row>
    <row r="133">
      <c r="A133" s="5" t="n"/>
      <c r="B133" s="6" t="n"/>
      <c r="C133" s="6" t="n"/>
      <c r="D133" s="6" t="n"/>
      <c r="E133" s="7" t="n"/>
      <c r="F133" s="6" t="n"/>
      <c r="G133" s="7" t="n"/>
      <c r="H133" s="7" t="n"/>
      <c r="I133" s="6" t="n"/>
      <c r="J133" s="7" t="n"/>
      <c r="K133" s="6" t="n"/>
      <c r="L133" s="7" t="n"/>
      <c r="M133" s="7" t="n"/>
      <c r="N133" s="6" t="n"/>
      <c r="O133" s="7" t="n"/>
      <c r="P133" s="6" t="n"/>
      <c r="Q133" s="8" t="n"/>
    </row>
    <row r="134">
      <c r="A134" s="5" t="n"/>
      <c r="B134" s="6" t="n"/>
      <c r="C134" s="6" t="n"/>
      <c r="D134" s="6" t="n"/>
      <c r="E134" s="7" t="n"/>
      <c r="F134" s="6" t="n"/>
      <c r="G134" s="7" t="n"/>
      <c r="H134" s="7" t="n"/>
      <c r="I134" s="6" t="n"/>
      <c r="J134" s="7" t="n"/>
      <c r="K134" s="6" t="n"/>
      <c r="L134" s="7" t="n"/>
      <c r="M134" s="7" t="n"/>
      <c r="N134" s="6" t="n"/>
      <c r="O134" s="7" t="n"/>
      <c r="P134" s="6" t="n"/>
      <c r="Q134" s="8" t="n"/>
    </row>
    <row r="135">
      <c r="A135" s="5" t="n"/>
      <c r="B135" s="6" t="n"/>
      <c r="C135" s="6" t="n"/>
      <c r="D135" s="6" t="n"/>
      <c r="E135" s="7" t="n"/>
      <c r="F135" s="6" t="n"/>
      <c r="G135" s="7" t="n"/>
      <c r="H135" s="7" t="n"/>
      <c r="I135" s="6" t="n"/>
      <c r="J135" s="7" t="n"/>
      <c r="K135" s="6" t="n"/>
      <c r="L135" s="7" t="n"/>
      <c r="M135" s="7" t="n"/>
      <c r="N135" s="6" t="n"/>
      <c r="O135" s="7" t="n"/>
      <c r="P135" s="6" t="n"/>
      <c r="Q135" s="8" t="n"/>
    </row>
    <row r="136">
      <c r="A136" s="5" t="n"/>
      <c r="B136" s="6" t="n"/>
      <c r="C136" s="6" t="n"/>
      <c r="D136" s="6" t="n"/>
      <c r="E136" s="7" t="n"/>
      <c r="F136" s="6" t="n"/>
      <c r="G136" s="7" t="n"/>
      <c r="H136" s="7" t="n"/>
      <c r="I136" s="6" t="n"/>
      <c r="J136" s="7" t="n"/>
      <c r="K136" s="6" t="n"/>
      <c r="L136" s="7" t="n"/>
      <c r="M136" s="7" t="n"/>
      <c r="N136" s="6" t="n"/>
      <c r="O136" s="7" t="n"/>
      <c r="P136" s="6" t="n"/>
      <c r="Q136" s="8" t="n"/>
    </row>
    <row r="137">
      <c r="A137" s="5" t="n"/>
      <c r="B137" s="6" t="n"/>
      <c r="C137" s="6" t="n"/>
      <c r="D137" s="6" t="n"/>
      <c r="E137" s="7" t="n"/>
      <c r="F137" s="6" t="n"/>
      <c r="G137" s="7" t="n"/>
      <c r="H137" s="7" t="n"/>
      <c r="I137" s="6" t="n"/>
      <c r="J137" s="7" t="n"/>
      <c r="K137" s="6" t="n"/>
      <c r="L137" s="7" t="n"/>
      <c r="M137" s="7" t="n"/>
      <c r="N137" s="6" t="n"/>
      <c r="O137" s="7" t="n"/>
      <c r="P137" s="6" t="n"/>
      <c r="Q137" s="8" t="n"/>
    </row>
    <row r="138">
      <c r="A138" s="5" t="n"/>
      <c r="B138" s="6" t="n"/>
      <c r="C138" s="6" t="n"/>
      <c r="D138" s="6" t="n"/>
      <c r="E138" s="7" t="n"/>
      <c r="F138" s="6" t="n"/>
      <c r="G138" s="7" t="n"/>
      <c r="H138" s="7" t="n"/>
      <c r="I138" s="6" t="n"/>
      <c r="J138" s="7" t="n"/>
      <c r="K138" s="6" t="n"/>
      <c r="L138" s="7" t="n"/>
      <c r="M138" s="7" t="n"/>
      <c r="N138" s="6" t="n"/>
      <c r="O138" s="7" t="n"/>
      <c r="P138" s="6" t="n"/>
      <c r="Q138" s="8" t="n"/>
    </row>
    <row r="139">
      <c r="A139" s="5" t="n"/>
      <c r="B139" s="6" t="n"/>
      <c r="C139" s="6" t="n"/>
      <c r="D139" s="6" t="n"/>
      <c r="E139" s="7" t="n"/>
      <c r="F139" s="6" t="n"/>
      <c r="G139" s="7" t="n"/>
      <c r="H139" s="7" t="n"/>
      <c r="I139" s="6" t="n"/>
      <c r="J139" s="7" t="n"/>
      <c r="K139" s="6" t="n"/>
      <c r="L139" s="7" t="n"/>
      <c r="M139" s="7" t="n"/>
      <c r="N139" s="6" t="n"/>
      <c r="O139" s="7" t="n"/>
      <c r="P139" s="6" t="n"/>
      <c r="Q139" s="8" t="n"/>
    </row>
    <row r="140">
      <c r="A140" s="5" t="n"/>
      <c r="B140" s="6" t="n"/>
      <c r="C140" s="6" t="n"/>
      <c r="D140" s="6" t="n"/>
      <c r="E140" s="7" t="n"/>
      <c r="F140" s="6" t="n"/>
      <c r="G140" s="7" t="n"/>
      <c r="H140" s="7" t="n"/>
      <c r="I140" s="6" t="n"/>
      <c r="J140" s="7" t="n"/>
      <c r="K140" s="6" t="n"/>
      <c r="L140" s="7" t="n"/>
      <c r="M140" s="7" t="n"/>
      <c r="N140" s="6" t="n"/>
      <c r="O140" s="7" t="n"/>
      <c r="P140" s="6" t="n"/>
      <c r="Q140" s="8" t="n"/>
    </row>
    <row r="141">
      <c r="A141" s="5" t="n"/>
      <c r="B141" s="6" t="n"/>
      <c r="C141" s="6" t="n"/>
      <c r="D141" s="6" t="n"/>
      <c r="E141" s="7" t="n"/>
      <c r="F141" s="6" t="n"/>
      <c r="G141" s="7" t="n"/>
      <c r="H141" s="7" t="n"/>
      <c r="I141" s="6" t="n"/>
      <c r="J141" s="7" t="n"/>
      <c r="K141" s="6" t="n"/>
      <c r="L141" s="7" t="n"/>
      <c r="M141" s="7" t="n"/>
      <c r="N141" s="6" t="n"/>
      <c r="O141" s="7" t="n"/>
      <c r="P141" s="6" t="n"/>
      <c r="Q141" s="8" t="n"/>
    </row>
    <row r="142">
      <c r="A142" s="5" t="n"/>
      <c r="B142" s="6" t="n"/>
      <c r="C142" s="6" t="n"/>
      <c r="D142" s="6" t="n"/>
      <c r="E142" s="7" t="n"/>
      <c r="F142" s="6" t="n"/>
      <c r="G142" s="7" t="n"/>
      <c r="H142" s="7" t="n"/>
      <c r="I142" s="6" t="n"/>
      <c r="J142" s="7" t="n"/>
      <c r="K142" s="6" t="n"/>
      <c r="L142" s="7" t="n"/>
      <c r="M142" s="7" t="n"/>
      <c r="N142" s="6" t="n"/>
      <c r="O142" s="7" t="n"/>
      <c r="P142" s="6" t="n"/>
      <c r="Q142" s="8" t="n"/>
    </row>
    <row r="143">
      <c r="A143" s="5" t="n"/>
      <c r="B143" s="6" t="n"/>
      <c r="C143" s="6" t="n"/>
      <c r="D143" s="6" t="n"/>
      <c r="E143" s="7" t="n"/>
      <c r="F143" s="6" t="n"/>
      <c r="G143" s="7" t="n"/>
      <c r="H143" s="7" t="n"/>
      <c r="I143" s="6" t="n"/>
      <c r="J143" s="7" t="n"/>
      <c r="K143" s="6" t="n"/>
      <c r="L143" s="7" t="n"/>
      <c r="M143" s="7" t="n"/>
      <c r="N143" s="6" t="n"/>
      <c r="O143" s="7" t="n"/>
      <c r="P143" s="6" t="n"/>
      <c r="Q143" s="8" t="n"/>
    </row>
    <row r="144">
      <c r="A144" s="5" t="n"/>
      <c r="B144" s="6" t="n"/>
      <c r="C144" s="6" t="n"/>
      <c r="D144" s="6" t="n"/>
      <c r="E144" s="7" t="n"/>
      <c r="F144" s="6" t="n"/>
      <c r="G144" s="7" t="n"/>
      <c r="H144" s="7" t="n"/>
      <c r="I144" s="6" t="n"/>
      <c r="J144" s="7" t="n"/>
      <c r="K144" s="6" t="n"/>
      <c r="L144" s="7" t="n"/>
      <c r="M144" s="7" t="n"/>
      <c r="N144" s="6" t="n"/>
      <c r="O144" s="7" t="n"/>
      <c r="P144" s="6" t="n"/>
      <c r="Q144" s="8" t="n"/>
    </row>
    <row r="145">
      <c r="A145" s="5" t="n"/>
      <c r="B145" s="6" t="n"/>
      <c r="C145" s="6" t="n"/>
      <c r="D145" s="6" t="n"/>
      <c r="E145" s="7" t="n"/>
      <c r="F145" s="6" t="n"/>
      <c r="G145" s="7" t="n"/>
      <c r="H145" s="7" t="n"/>
      <c r="I145" s="6" t="n"/>
      <c r="J145" s="7" t="n"/>
      <c r="K145" s="6" t="n"/>
      <c r="L145" s="7" t="n"/>
      <c r="M145" s="7" t="n"/>
      <c r="N145" s="6" t="n"/>
      <c r="O145" s="7" t="n"/>
      <c r="P145" s="6" t="n"/>
      <c r="Q145" s="8" t="n"/>
    </row>
    <row r="146">
      <c r="A146" s="5" t="n"/>
      <c r="B146" s="6" t="n"/>
      <c r="C146" s="6" t="n"/>
      <c r="D146" s="6" t="n"/>
      <c r="E146" s="7" t="n"/>
      <c r="F146" s="6" t="n"/>
      <c r="G146" s="7" t="n"/>
      <c r="H146" s="7" t="n"/>
      <c r="I146" s="6" t="n"/>
      <c r="J146" s="7" t="n"/>
      <c r="K146" s="6" t="n"/>
      <c r="L146" s="7" t="n"/>
      <c r="M146" s="7" t="n"/>
      <c r="N146" s="6" t="n"/>
      <c r="O146" s="7" t="n"/>
      <c r="P146" s="6" t="n"/>
      <c r="Q146" s="8" t="n"/>
    </row>
    <row r="147">
      <c r="A147" s="5" t="n"/>
      <c r="B147" s="6" t="n"/>
      <c r="C147" s="6" t="n"/>
      <c r="D147" s="6" t="n"/>
      <c r="E147" s="7" t="n"/>
      <c r="F147" s="6" t="n"/>
      <c r="G147" s="7" t="n"/>
      <c r="H147" s="7" t="n"/>
      <c r="I147" s="6" t="n"/>
      <c r="J147" s="7" t="n"/>
      <c r="K147" s="6" t="n"/>
      <c r="L147" s="7" t="n"/>
      <c r="M147" s="7" t="n"/>
      <c r="N147" s="6" t="n"/>
      <c r="O147" s="7" t="n"/>
      <c r="P147" s="6" t="n"/>
      <c r="Q147" s="8" t="n"/>
    </row>
    <row r="148">
      <c r="A148" s="5" t="n"/>
      <c r="B148" s="6" t="n"/>
      <c r="C148" s="6" t="n"/>
      <c r="D148" s="6" t="n"/>
      <c r="E148" s="7" t="n"/>
      <c r="F148" s="6" t="n"/>
      <c r="G148" s="7" t="n"/>
      <c r="H148" s="7" t="n"/>
      <c r="I148" s="6" t="n"/>
      <c r="J148" s="7" t="n"/>
      <c r="K148" s="6" t="n"/>
      <c r="L148" s="7" t="n"/>
      <c r="M148" s="7" t="n"/>
      <c r="N148" s="6" t="n"/>
      <c r="O148" s="7" t="n"/>
      <c r="P148" s="6" t="n"/>
      <c r="Q148" s="8" t="n"/>
    </row>
    <row r="149">
      <c r="A149" s="5" t="n"/>
      <c r="B149" s="6" t="n"/>
      <c r="C149" s="6" t="n"/>
      <c r="D149" s="6" t="n"/>
      <c r="E149" s="7" t="n"/>
      <c r="F149" s="6" t="n"/>
      <c r="G149" s="7" t="n"/>
      <c r="H149" s="7" t="n"/>
      <c r="I149" s="6" t="n"/>
      <c r="J149" s="7" t="n"/>
      <c r="K149" s="6" t="n"/>
      <c r="L149" s="7" t="n"/>
      <c r="M149" s="7" t="n"/>
      <c r="N149" s="6" t="n"/>
      <c r="O149" s="7" t="n"/>
      <c r="P149" s="6" t="n"/>
      <c r="Q149" s="8" t="n"/>
    </row>
    <row r="150">
      <c r="A150" s="5" t="n"/>
      <c r="B150" s="6" t="n"/>
      <c r="C150" s="6" t="n"/>
      <c r="D150" s="6" t="n"/>
      <c r="E150" s="7" t="n"/>
      <c r="F150" s="6" t="n"/>
      <c r="G150" s="7" t="n"/>
      <c r="H150" s="7" t="n"/>
      <c r="I150" s="6" t="n"/>
      <c r="J150" s="7" t="n"/>
      <c r="K150" s="6" t="n"/>
      <c r="L150" s="7" t="n"/>
      <c r="M150" s="7" t="n"/>
      <c r="N150" s="6" t="n"/>
      <c r="O150" s="7" t="n"/>
      <c r="P150" s="6" t="n"/>
      <c r="Q150" s="8" t="n"/>
    </row>
    <row r="151">
      <c r="A151" s="5" t="n"/>
      <c r="B151" s="6" t="n"/>
      <c r="C151" s="6" t="n"/>
      <c r="D151" s="6" t="n"/>
      <c r="E151" s="7" t="n"/>
      <c r="F151" s="6" t="n"/>
      <c r="G151" s="7" t="n"/>
      <c r="H151" s="7" t="n"/>
      <c r="I151" s="6" t="n"/>
      <c r="J151" s="7" t="n"/>
      <c r="K151" s="6" t="n"/>
      <c r="L151" s="7" t="n"/>
      <c r="M151" s="7" t="n"/>
      <c r="N151" s="6" t="n"/>
      <c r="O151" s="7" t="n"/>
      <c r="P151" s="6" t="n"/>
      <c r="Q151" s="8" t="n"/>
    </row>
    <row r="152">
      <c r="A152" s="5" t="n"/>
      <c r="B152" s="6" t="n"/>
      <c r="C152" s="6" t="n"/>
      <c r="D152" s="6" t="n"/>
      <c r="E152" s="7" t="n"/>
      <c r="F152" s="6" t="n"/>
      <c r="G152" s="7" t="n"/>
      <c r="H152" s="7" t="n"/>
      <c r="I152" s="6" t="n"/>
      <c r="J152" s="7" t="n"/>
      <c r="K152" s="6" t="n"/>
      <c r="L152" s="7" t="n"/>
      <c r="M152" s="7" t="n"/>
      <c r="N152" s="6" t="n"/>
      <c r="O152" s="7" t="n"/>
      <c r="P152" s="6" t="n"/>
      <c r="Q152" s="8" t="n"/>
    </row>
    <row r="153">
      <c r="A153" s="5" t="n"/>
      <c r="B153" s="6" t="n"/>
      <c r="C153" s="6" t="n"/>
      <c r="D153" s="6" t="n"/>
      <c r="E153" s="7" t="n"/>
      <c r="F153" s="6" t="n"/>
      <c r="G153" s="7" t="n"/>
      <c r="H153" s="7" t="n"/>
      <c r="I153" s="6" t="n"/>
      <c r="J153" s="7" t="n"/>
      <c r="K153" s="6" t="n"/>
      <c r="L153" s="7" t="n"/>
      <c r="M153" s="7" t="n"/>
      <c r="N153" s="6" t="n"/>
      <c r="O153" s="7" t="n"/>
      <c r="P153" s="6" t="n"/>
      <c r="Q153" s="8" t="n"/>
    </row>
    <row r="154">
      <c r="A154" s="5" t="n"/>
      <c r="B154" s="6" t="n"/>
      <c r="C154" s="6" t="n"/>
      <c r="D154" s="6" t="n"/>
      <c r="E154" s="7" t="n"/>
      <c r="F154" s="6" t="n"/>
      <c r="G154" s="7" t="n"/>
      <c r="H154" s="7" t="n"/>
      <c r="I154" s="6" t="n"/>
      <c r="J154" s="7" t="n"/>
      <c r="K154" s="6" t="n"/>
      <c r="L154" s="7" t="n"/>
      <c r="M154" s="7" t="n"/>
      <c r="N154" s="6" t="n"/>
      <c r="O154" s="7" t="n"/>
      <c r="P154" s="6" t="n"/>
      <c r="Q154" s="8" t="n"/>
    </row>
    <row r="155">
      <c r="A155" s="5" t="n"/>
      <c r="B155" s="6" t="n"/>
      <c r="C155" s="6" t="n"/>
      <c r="D155" s="6" t="n"/>
      <c r="E155" s="7" t="n"/>
      <c r="F155" s="6" t="n"/>
      <c r="G155" s="7" t="n"/>
      <c r="H155" s="7" t="n"/>
      <c r="I155" s="6" t="n"/>
      <c r="J155" s="7" t="n"/>
      <c r="K155" s="6" t="n"/>
      <c r="L155" s="7" t="n"/>
      <c r="M155" s="7" t="n"/>
      <c r="N155" s="6" t="n"/>
      <c r="O155" s="7" t="n"/>
      <c r="P155" s="6" t="n"/>
      <c r="Q155" s="8" t="n"/>
    </row>
    <row r="156">
      <c r="A156" s="5" t="n"/>
      <c r="B156" s="6" t="n"/>
      <c r="C156" s="6" t="n"/>
      <c r="D156" s="6" t="n"/>
      <c r="E156" s="7" t="n"/>
      <c r="F156" s="6" t="n"/>
      <c r="G156" s="7" t="n"/>
      <c r="H156" s="7" t="n"/>
      <c r="I156" s="6" t="n"/>
      <c r="J156" s="7" t="n"/>
      <c r="K156" s="6" t="n"/>
      <c r="L156" s="7" t="n"/>
      <c r="M156" s="7" t="n"/>
      <c r="N156" s="6" t="n"/>
      <c r="O156" s="7" t="n"/>
      <c r="P156" s="6" t="n"/>
      <c r="Q156" s="8" t="n"/>
    </row>
    <row r="157">
      <c r="A157" s="5" t="n"/>
      <c r="B157" s="6" t="n"/>
      <c r="C157" s="6" t="n"/>
      <c r="D157" s="6" t="n"/>
      <c r="E157" s="7" t="n"/>
      <c r="F157" s="6" t="n"/>
      <c r="G157" s="7" t="n"/>
      <c r="H157" s="7" t="n"/>
      <c r="I157" s="6" t="n"/>
      <c r="J157" s="7" t="n"/>
      <c r="K157" s="6" t="n"/>
      <c r="L157" s="7" t="n"/>
      <c r="M157" s="7" t="n"/>
      <c r="N157" s="6" t="n"/>
      <c r="O157" s="7" t="n"/>
      <c r="P157" s="6" t="n"/>
      <c r="Q157" s="8" t="n"/>
    </row>
    <row r="158">
      <c r="A158" s="5" t="n"/>
      <c r="B158" s="6" t="n"/>
      <c r="C158" s="6" t="n"/>
      <c r="D158" s="6" t="n"/>
      <c r="E158" s="7" t="n"/>
      <c r="F158" s="6" t="n"/>
      <c r="G158" s="7" t="n"/>
      <c r="H158" s="7" t="n"/>
      <c r="I158" s="6" t="n"/>
      <c r="J158" s="7" t="n"/>
      <c r="K158" s="6" t="n"/>
      <c r="L158" s="7" t="n"/>
      <c r="M158" s="7" t="n"/>
      <c r="N158" s="6" t="n"/>
      <c r="O158" s="7" t="n"/>
      <c r="P158" s="6" t="n"/>
      <c r="Q158" s="8" t="n"/>
    </row>
    <row r="159">
      <c r="A159" s="5" t="n"/>
      <c r="B159" s="6" t="n"/>
      <c r="C159" s="6" t="n"/>
      <c r="D159" s="6" t="n"/>
      <c r="E159" s="7" t="n"/>
      <c r="F159" s="6" t="n"/>
      <c r="G159" s="7" t="n"/>
      <c r="H159" s="7" t="n"/>
      <c r="I159" s="6" t="n"/>
      <c r="J159" s="7" t="n"/>
      <c r="K159" s="6" t="n"/>
      <c r="L159" s="7" t="n"/>
      <c r="M159" s="7" t="n"/>
      <c r="N159" s="6" t="n"/>
      <c r="O159" s="7" t="n"/>
      <c r="P159" s="6" t="n"/>
      <c r="Q159" s="8" t="n"/>
    </row>
    <row r="160">
      <c r="A160" s="5" t="n"/>
      <c r="B160" s="6" t="n"/>
      <c r="C160" s="6" t="n"/>
      <c r="D160" s="6" t="n"/>
      <c r="E160" s="7" t="n"/>
      <c r="F160" s="6" t="n"/>
      <c r="G160" s="7" t="n"/>
      <c r="H160" s="7" t="n"/>
      <c r="I160" s="6" t="n"/>
      <c r="J160" s="7" t="n"/>
      <c r="K160" s="6" t="n"/>
      <c r="L160" s="7" t="n"/>
      <c r="M160" s="7" t="n"/>
      <c r="N160" s="6" t="n"/>
      <c r="O160" s="7" t="n"/>
      <c r="P160" s="6" t="n"/>
      <c r="Q160" s="8" t="n"/>
    </row>
    <row r="161">
      <c r="A161" s="5" t="n"/>
      <c r="B161" s="6" t="n"/>
      <c r="C161" s="6" t="n"/>
      <c r="D161" s="6" t="n"/>
      <c r="E161" s="7" t="n"/>
      <c r="F161" s="6" t="n"/>
      <c r="G161" s="7" t="n"/>
      <c r="H161" s="7" t="n"/>
      <c r="I161" s="6" t="n"/>
      <c r="J161" s="7" t="n"/>
      <c r="K161" s="6" t="n"/>
      <c r="L161" s="7" t="n"/>
      <c r="M161" s="7" t="n"/>
      <c r="N161" s="6" t="n"/>
      <c r="O161" s="7" t="n"/>
      <c r="P161" s="6" t="n"/>
      <c r="Q161" s="8" t="n"/>
    </row>
    <row r="162">
      <c r="A162" s="5" t="n"/>
      <c r="B162" s="6" t="n"/>
      <c r="C162" s="6" t="n"/>
      <c r="D162" s="6" t="n"/>
      <c r="E162" s="7" t="n"/>
      <c r="F162" s="6" t="n"/>
      <c r="G162" s="7" t="n"/>
      <c r="H162" s="7" t="n"/>
      <c r="I162" s="6" t="n"/>
      <c r="J162" s="7" t="n"/>
      <c r="K162" s="6" t="n"/>
      <c r="L162" s="7" t="n"/>
      <c r="M162" s="7" t="n"/>
      <c r="N162" s="6" t="n"/>
      <c r="O162" s="7" t="n"/>
      <c r="P162" s="6" t="n"/>
      <c r="Q162" s="8" t="n"/>
    </row>
    <row r="163">
      <c r="A163" s="5" t="n"/>
      <c r="B163" s="6" t="n"/>
      <c r="C163" s="6" t="n"/>
      <c r="D163" s="6" t="n"/>
      <c r="E163" s="7" t="n"/>
      <c r="F163" s="6" t="n"/>
      <c r="G163" s="7" t="n"/>
      <c r="H163" s="7" t="n"/>
      <c r="I163" s="6" t="n"/>
      <c r="J163" s="7" t="n"/>
      <c r="K163" s="6" t="n"/>
      <c r="L163" s="7" t="n"/>
      <c r="M163" s="7" t="n"/>
      <c r="N163" s="6" t="n"/>
      <c r="O163" s="7" t="n"/>
      <c r="P163" s="6" t="n"/>
      <c r="Q163" s="8" t="n"/>
    </row>
    <row r="164">
      <c r="A164" s="5" t="n"/>
      <c r="B164" s="6" t="n"/>
      <c r="C164" s="6" t="n"/>
      <c r="D164" s="6" t="n"/>
      <c r="E164" s="7" t="n"/>
      <c r="F164" s="6" t="n"/>
      <c r="G164" s="7" t="n"/>
      <c r="H164" s="7" t="n"/>
      <c r="I164" s="6" t="n"/>
      <c r="J164" s="7" t="n"/>
      <c r="K164" s="6" t="n"/>
      <c r="L164" s="7" t="n"/>
      <c r="M164" s="7" t="n"/>
      <c r="N164" s="6" t="n"/>
      <c r="O164" s="7" t="n"/>
      <c r="P164" s="6" t="n"/>
      <c r="Q164" s="8" t="n"/>
    </row>
    <row r="165">
      <c r="A165" s="5" t="n"/>
      <c r="B165" s="6" t="n"/>
      <c r="C165" s="6" t="n"/>
      <c r="D165" s="6" t="n"/>
      <c r="E165" s="7" t="n"/>
      <c r="F165" s="6" t="n"/>
      <c r="G165" s="7" t="n"/>
      <c r="H165" s="7" t="n"/>
      <c r="I165" s="6" t="n"/>
      <c r="J165" s="7" t="n"/>
      <c r="K165" s="6" t="n"/>
      <c r="L165" s="7" t="n"/>
      <c r="M165" s="7" t="n"/>
      <c r="N165" s="6" t="n"/>
      <c r="O165" s="7" t="n"/>
      <c r="P165" s="6" t="n"/>
      <c r="Q165" s="8" t="n"/>
    </row>
    <row r="166">
      <c r="A166" s="5" t="n"/>
      <c r="B166" s="6" t="n"/>
      <c r="C166" s="6" t="n"/>
      <c r="D166" s="6" t="n"/>
      <c r="E166" s="7" t="n"/>
      <c r="F166" s="6" t="n"/>
      <c r="G166" s="7" t="n"/>
      <c r="H166" s="7" t="n"/>
      <c r="I166" s="6" t="n"/>
      <c r="J166" s="7" t="n"/>
      <c r="K166" s="6" t="n"/>
      <c r="L166" s="7" t="n"/>
      <c r="M166" s="7" t="n"/>
      <c r="N166" s="6" t="n"/>
      <c r="O166" s="7" t="n"/>
      <c r="P166" s="6" t="n"/>
      <c r="Q166" s="8" t="n"/>
    </row>
    <row r="167">
      <c r="A167" s="5" t="n"/>
      <c r="B167" s="6" t="n"/>
      <c r="C167" s="6" t="n"/>
      <c r="D167" s="6" t="n"/>
      <c r="E167" s="7" t="n"/>
      <c r="F167" s="6" t="n"/>
      <c r="G167" s="7" t="n"/>
      <c r="H167" s="7" t="n"/>
      <c r="I167" s="6" t="n"/>
      <c r="J167" s="7" t="n"/>
      <c r="K167" s="6" t="n"/>
      <c r="L167" s="7" t="n"/>
      <c r="M167" s="7" t="n"/>
      <c r="N167" s="6" t="n"/>
      <c r="O167" s="7" t="n"/>
      <c r="P167" s="6" t="n"/>
      <c r="Q167" s="8" t="n"/>
    </row>
    <row r="168">
      <c r="A168" s="5" t="n"/>
      <c r="B168" s="6" t="n"/>
      <c r="C168" s="6" t="n"/>
      <c r="D168" s="6" t="n"/>
      <c r="E168" s="7" t="n"/>
      <c r="F168" s="6" t="n"/>
      <c r="G168" s="7" t="n"/>
      <c r="H168" s="7" t="n"/>
      <c r="I168" s="6" t="n"/>
      <c r="J168" s="7" t="n"/>
      <c r="K168" s="6" t="n"/>
      <c r="L168" s="7" t="n"/>
      <c r="M168" s="7" t="n"/>
      <c r="N168" s="6" t="n"/>
      <c r="O168" s="7" t="n"/>
      <c r="P168" s="6" t="n"/>
      <c r="Q168" s="8" t="n"/>
    </row>
    <row r="169">
      <c r="A169" s="5" t="n"/>
      <c r="B169" s="6" t="n"/>
      <c r="C169" s="6" t="n"/>
      <c r="D169" s="6" t="n"/>
      <c r="E169" s="7" t="n"/>
      <c r="F169" s="6" t="n"/>
      <c r="G169" s="7" t="n"/>
      <c r="H169" s="7" t="n"/>
      <c r="I169" s="6" t="n"/>
      <c r="J169" s="7" t="n"/>
      <c r="K169" s="6" t="n"/>
      <c r="L169" s="7" t="n"/>
      <c r="M169" s="7" t="n"/>
      <c r="N169" s="6" t="n"/>
      <c r="O169" s="7" t="n"/>
      <c r="P169" s="6" t="n"/>
      <c r="Q169" s="8" t="n"/>
    </row>
    <row r="170">
      <c r="A170" s="5" t="n"/>
      <c r="B170" s="6" t="n"/>
      <c r="C170" s="6" t="n"/>
      <c r="D170" s="6" t="n"/>
      <c r="E170" s="7" t="n"/>
      <c r="F170" s="6" t="n"/>
      <c r="G170" s="7" t="n"/>
      <c r="H170" s="7" t="n"/>
      <c r="I170" s="6" t="n"/>
      <c r="J170" s="7" t="n"/>
      <c r="K170" s="6" t="n"/>
      <c r="L170" s="7" t="n"/>
      <c r="M170" s="7" t="n"/>
      <c r="N170" s="6" t="n"/>
      <c r="O170" s="7" t="n"/>
      <c r="P170" s="6" t="n"/>
      <c r="Q170" s="8" t="n"/>
    </row>
    <row r="171">
      <c r="A171" s="5" t="n"/>
      <c r="B171" s="6" t="n"/>
      <c r="C171" s="6" t="n"/>
      <c r="D171" s="6" t="n"/>
      <c r="E171" s="7" t="n"/>
      <c r="F171" s="6" t="n"/>
      <c r="G171" s="7" t="n"/>
      <c r="H171" s="7" t="n"/>
      <c r="I171" s="6" t="n"/>
      <c r="J171" s="7" t="n"/>
      <c r="K171" s="6" t="n"/>
      <c r="L171" s="7" t="n"/>
      <c r="M171" s="7" t="n"/>
      <c r="N171" s="6" t="n"/>
      <c r="O171" s="7" t="n"/>
      <c r="P171" s="6" t="n"/>
      <c r="Q171" s="8" t="n"/>
    </row>
    <row r="172">
      <c r="A172" s="5" t="n"/>
      <c r="B172" s="6" t="n"/>
      <c r="C172" s="6" t="n"/>
      <c r="D172" s="6" t="n"/>
      <c r="E172" s="7" t="n"/>
      <c r="F172" s="6" t="n"/>
      <c r="G172" s="7" t="n"/>
      <c r="H172" s="7" t="n"/>
      <c r="I172" s="6" t="n"/>
      <c r="J172" s="7" t="n"/>
      <c r="K172" s="6" t="n"/>
      <c r="L172" s="7" t="n"/>
      <c r="M172" s="7" t="n"/>
      <c r="N172" s="6" t="n"/>
      <c r="O172" s="7" t="n"/>
      <c r="P172" s="6" t="n"/>
      <c r="Q172" s="8" t="n"/>
    </row>
    <row r="173">
      <c r="A173" s="5" t="n"/>
      <c r="B173" s="6" t="n"/>
      <c r="C173" s="6" t="n"/>
      <c r="D173" s="6" t="n"/>
      <c r="E173" s="7" t="n"/>
      <c r="F173" s="6" t="n"/>
      <c r="G173" s="7" t="n"/>
      <c r="H173" s="7" t="n"/>
      <c r="I173" s="6" t="n"/>
      <c r="J173" s="7" t="n"/>
      <c r="K173" s="6" t="n"/>
      <c r="L173" s="7" t="n"/>
      <c r="M173" s="7" t="n"/>
      <c r="N173" s="6" t="n"/>
      <c r="O173" s="7" t="n"/>
      <c r="P173" s="6" t="n"/>
      <c r="Q173" s="8" t="n"/>
    </row>
    <row r="174">
      <c r="A174" s="5" t="n"/>
      <c r="B174" s="6" t="n"/>
      <c r="C174" s="6" t="n"/>
      <c r="D174" s="6" t="n"/>
      <c r="E174" s="7" t="n"/>
      <c r="F174" s="6" t="n"/>
      <c r="G174" s="7" t="n"/>
      <c r="H174" s="7" t="n"/>
      <c r="I174" s="6" t="n"/>
      <c r="J174" s="7" t="n"/>
      <c r="K174" s="6" t="n"/>
      <c r="L174" s="7" t="n"/>
      <c r="M174" s="7" t="n"/>
      <c r="N174" s="6" t="n"/>
      <c r="O174" s="7" t="n"/>
      <c r="P174" s="6" t="n"/>
      <c r="Q174" s="8" t="n"/>
    </row>
    <row r="175">
      <c r="A175" s="5" t="n"/>
      <c r="B175" s="6" t="n"/>
      <c r="C175" s="6" t="n"/>
      <c r="D175" s="6" t="n"/>
      <c r="E175" s="7" t="n"/>
      <c r="F175" s="6" t="n"/>
      <c r="G175" s="7" t="n"/>
      <c r="H175" s="7" t="n"/>
      <c r="I175" s="6" t="n"/>
      <c r="J175" s="7" t="n"/>
      <c r="K175" s="6" t="n"/>
      <c r="L175" s="7" t="n"/>
      <c r="M175" s="7" t="n"/>
      <c r="N175" s="6" t="n"/>
      <c r="O175" s="7" t="n"/>
      <c r="P175" s="6" t="n"/>
      <c r="Q175" s="8" t="n"/>
    </row>
    <row r="176">
      <c r="A176" s="5" t="n"/>
      <c r="B176" s="6" t="n"/>
      <c r="C176" s="6" t="n"/>
      <c r="D176" s="6" t="n"/>
      <c r="E176" s="7" t="n"/>
      <c r="F176" s="6" t="n"/>
      <c r="G176" s="7" t="n"/>
      <c r="H176" s="7" t="n"/>
      <c r="I176" s="6" t="n"/>
      <c r="J176" s="7" t="n"/>
      <c r="K176" s="6" t="n"/>
      <c r="L176" s="7" t="n"/>
      <c r="M176" s="7" t="n"/>
      <c r="N176" s="6" t="n"/>
      <c r="O176" s="7" t="n"/>
      <c r="P176" s="6" t="n"/>
      <c r="Q176" s="8" t="n"/>
    </row>
    <row r="177">
      <c r="A177" s="5" t="n"/>
      <c r="B177" s="6" t="n"/>
      <c r="C177" s="6" t="n"/>
      <c r="D177" s="6" t="n"/>
      <c r="E177" s="7" t="n"/>
      <c r="F177" s="6" t="n"/>
      <c r="G177" s="7" t="n"/>
      <c r="H177" s="7" t="n"/>
      <c r="I177" s="6" t="n"/>
      <c r="J177" s="7" t="n"/>
      <c r="K177" s="6" t="n"/>
      <c r="L177" s="7" t="n"/>
      <c r="M177" s="7" t="n"/>
      <c r="N177" s="6" t="n"/>
      <c r="O177" s="7" t="n"/>
      <c r="P177" s="6" t="n"/>
      <c r="Q177" s="8" t="n"/>
    </row>
    <row r="178">
      <c r="A178" s="5" t="n"/>
      <c r="B178" s="6" t="n"/>
      <c r="C178" s="6" t="n"/>
      <c r="D178" s="6" t="n"/>
      <c r="E178" s="7" t="n"/>
      <c r="F178" s="6" t="n"/>
      <c r="G178" s="7" t="n"/>
      <c r="H178" s="7" t="n"/>
      <c r="I178" s="6" t="n"/>
      <c r="J178" s="7" t="n"/>
      <c r="K178" s="6" t="n"/>
      <c r="L178" s="7" t="n"/>
      <c r="M178" s="7" t="n"/>
      <c r="N178" s="6" t="n"/>
      <c r="O178" s="7" t="n"/>
      <c r="P178" s="6" t="n"/>
      <c r="Q178" s="8" t="n"/>
    </row>
    <row r="179">
      <c r="A179" s="5" t="n"/>
      <c r="B179" s="6" t="n"/>
      <c r="C179" s="6" t="n"/>
      <c r="D179" s="6" t="n"/>
      <c r="E179" s="7" t="n"/>
      <c r="F179" s="6" t="n"/>
      <c r="G179" s="7" t="n"/>
      <c r="H179" s="7" t="n"/>
      <c r="I179" s="6" t="n"/>
      <c r="J179" s="7" t="n"/>
      <c r="K179" s="6" t="n"/>
      <c r="L179" s="7" t="n"/>
      <c r="M179" s="7" t="n"/>
      <c r="N179" s="6" t="n"/>
      <c r="O179" s="7" t="n"/>
      <c r="P179" s="6" t="n"/>
      <c r="Q179" s="8" t="n"/>
    </row>
    <row r="180">
      <c r="A180" s="5" t="n"/>
      <c r="B180" s="6" t="n"/>
      <c r="C180" s="6" t="n"/>
      <c r="D180" s="6" t="n"/>
      <c r="E180" s="7" t="n"/>
      <c r="F180" s="6" t="n"/>
      <c r="G180" s="7" t="n"/>
      <c r="H180" s="7" t="n"/>
      <c r="I180" s="6" t="n"/>
      <c r="J180" s="7" t="n"/>
      <c r="K180" s="6" t="n"/>
      <c r="L180" s="7" t="n"/>
      <c r="M180" s="7" t="n"/>
      <c r="N180" s="6" t="n"/>
      <c r="O180" s="7" t="n"/>
      <c r="P180" s="6" t="n"/>
      <c r="Q180" s="8" t="n"/>
    </row>
    <row r="181">
      <c r="A181" s="5" t="n"/>
      <c r="B181" s="6" t="n"/>
      <c r="C181" s="6" t="n"/>
      <c r="D181" s="6" t="n"/>
      <c r="E181" s="7" t="n"/>
      <c r="F181" s="6" t="n"/>
      <c r="G181" s="7" t="n"/>
      <c r="H181" s="7" t="n"/>
      <c r="I181" s="6" t="n"/>
      <c r="J181" s="7" t="n"/>
      <c r="K181" s="6" t="n"/>
      <c r="L181" s="7" t="n"/>
      <c r="M181" s="7" t="n"/>
      <c r="N181" s="6" t="n"/>
      <c r="O181" s="7" t="n"/>
      <c r="P181" s="6" t="n"/>
      <c r="Q181" s="8" t="n"/>
    </row>
    <row r="182">
      <c r="A182" s="5" t="n"/>
      <c r="B182" s="6" t="n"/>
      <c r="C182" s="6" t="n"/>
      <c r="D182" s="6" t="n"/>
      <c r="E182" s="7" t="n"/>
      <c r="F182" s="6" t="n"/>
      <c r="G182" s="7" t="n"/>
      <c r="H182" s="7" t="n"/>
      <c r="I182" s="6" t="n"/>
      <c r="J182" s="7" t="n"/>
      <c r="K182" s="6" t="n"/>
      <c r="L182" s="7" t="n"/>
      <c r="M182" s="7" t="n"/>
      <c r="N182" s="6" t="n"/>
      <c r="O182" s="7" t="n"/>
      <c r="P182" s="6" t="n"/>
      <c r="Q182" s="8" t="n"/>
    </row>
    <row r="183">
      <c r="A183" s="5" t="n"/>
      <c r="B183" s="6" t="n"/>
      <c r="C183" s="6" t="n"/>
      <c r="D183" s="6" t="n"/>
      <c r="E183" s="7" t="n"/>
      <c r="F183" s="6" t="n"/>
      <c r="G183" s="7" t="n"/>
      <c r="H183" s="7" t="n"/>
      <c r="I183" s="6" t="n"/>
      <c r="J183" s="7" t="n"/>
      <c r="K183" s="6" t="n"/>
      <c r="L183" s="7" t="n"/>
      <c r="M183" s="7" t="n"/>
      <c r="N183" s="6" t="n"/>
      <c r="O183" s="7" t="n"/>
      <c r="P183" s="6" t="n"/>
      <c r="Q183" s="8" t="n"/>
    </row>
    <row r="184">
      <c r="A184" s="5" t="n"/>
      <c r="B184" s="6" t="n"/>
      <c r="C184" s="6" t="n"/>
      <c r="D184" s="6" t="n"/>
      <c r="E184" s="7" t="n"/>
      <c r="F184" s="6" t="n"/>
      <c r="G184" s="7" t="n"/>
      <c r="H184" s="7" t="n"/>
      <c r="I184" s="6" t="n"/>
      <c r="J184" s="7" t="n"/>
      <c r="K184" s="6" t="n"/>
      <c r="L184" s="7" t="n"/>
      <c r="M184" s="7" t="n"/>
      <c r="N184" s="6" t="n"/>
      <c r="O184" s="7" t="n"/>
      <c r="P184" s="6" t="n"/>
      <c r="Q184" s="8" t="n"/>
    </row>
    <row r="185">
      <c r="A185" s="5" t="n"/>
      <c r="B185" s="6" t="n"/>
      <c r="C185" s="6" t="n"/>
      <c r="D185" s="6" t="n"/>
      <c r="E185" s="7" t="n"/>
      <c r="F185" s="6" t="n"/>
      <c r="G185" s="7" t="n"/>
      <c r="H185" s="7" t="n"/>
      <c r="I185" s="6" t="n"/>
      <c r="J185" s="7" t="n"/>
      <c r="K185" s="6" t="n"/>
      <c r="L185" s="7" t="n"/>
      <c r="M185" s="7" t="n"/>
      <c r="N185" s="6" t="n"/>
      <c r="O185" s="7" t="n"/>
      <c r="P185" s="6" t="n"/>
      <c r="Q185" s="8" t="n"/>
    </row>
    <row r="186">
      <c r="A186" s="5" t="n"/>
      <c r="B186" s="6" t="n"/>
      <c r="C186" s="6" t="n"/>
      <c r="D186" s="6" t="n"/>
      <c r="E186" s="7" t="n"/>
      <c r="F186" s="6" t="n"/>
      <c r="G186" s="7" t="n"/>
      <c r="H186" s="7" t="n"/>
      <c r="I186" s="6" t="n"/>
      <c r="J186" s="7" t="n"/>
      <c r="K186" s="6" t="n"/>
      <c r="L186" s="7" t="n"/>
      <c r="M186" s="7" t="n"/>
      <c r="N186" s="6" t="n"/>
      <c r="O186" s="7" t="n"/>
      <c r="P186" s="6" t="n"/>
      <c r="Q186" s="8" t="n"/>
    </row>
    <row r="187">
      <c r="A187" s="5" t="n"/>
      <c r="B187" s="6" t="n"/>
      <c r="C187" s="6" t="n"/>
      <c r="D187" s="6" t="n"/>
      <c r="E187" s="7" t="n"/>
      <c r="F187" s="6" t="n"/>
      <c r="G187" s="7" t="n"/>
      <c r="H187" s="7" t="n"/>
      <c r="I187" s="6" t="n"/>
      <c r="J187" s="7" t="n"/>
      <c r="K187" s="6" t="n"/>
      <c r="L187" s="7" t="n"/>
      <c r="M187" s="7" t="n"/>
      <c r="N187" s="6" t="n"/>
      <c r="O187" s="7" t="n"/>
      <c r="P187" s="6" t="n"/>
      <c r="Q187" s="8" t="n"/>
    </row>
    <row r="188">
      <c r="A188" s="5" t="n"/>
      <c r="B188" s="6" t="n"/>
      <c r="C188" s="6" t="n"/>
      <c r="D188" s="6" t="n"/>
      <c r="E188" s="7" t="n"/>
      <c r="F188" s="6" t="n"/>
      <c r="G188" s="7" t="n"/>
      <c r="H188" s="7" t="n"/>
      <c r="I188" s="6" t="n"/>
      <c r="J188" s="7" t="n"/>
      <c r="K188" s="6" t="n"/>
      <c r="L188" s="7" t="n"/>
      <c r="M188" s="7" t="n"/>
      <c r="N188" s="6" t="n"/>
      <c r="O188" s="7" t="n"/>
      <c r="P188" s="6" t="n"/>
      <c r="Q188" s="8" t="n"/>
    </row>
    <row r="189">
      <c r="A189" s="5" t="n"/>
      <c r="B189" s="6" t="n"/>
      <c r="C189" s="6" t="n"/>
      <c r="D189" s="6" t="n"/>
      <c r="E189" s="7" t="n"/>
      <c r="F189" s="6" t="n"/>
      <c r="G189" s="7" t="n"/>
      <c r="H189" s="7" t="n"/>
      <c r="I189" s="6" t="n"/>
      <c r="J189" s="7" t="n"/>
      <c r="K189" s="6" t="n"/>
      <c r="L189" s="7" t="n"/>
      <c r="M189" s="7" t="n"/>
      <c r="N189" s="6" t="n"/>
      <c r="O189" s="7" t="n"/>
      <c r="P189" s="6" t="n"/>
      <c r="Q189" s="8" t="n"/>
    </row>
    <row r="190">
      <c r="A190" s="5" t="n"/>
      <c r="B190" s="6" t="n"/>
      <c r="C190" s="6" t="n"/>
      <c r="D190" s="6" t="n"/>
      <c r="E190" s="7" t="n"/>
      <c r="F190" s="6" t="n"/>
      <c r="G190" s="7" t="n"/>
      <c r="H190" s="7" t="n"/>
      <c r="I190" s="6" t="n"/>
      <c r="J190" s="7" t="n"/>
      <c r="K190" s="6" t="n"/>
      <c r="L190" s="7" t="n"/>
      <c r="M190" s="7" t="n"/>
      <c r="N190" s="6" t="n"/>
      <c r="O190" s="7" t="n"/>
      <c r="P190" s="6" t="n"/>
      <c r="Q190" s="8" t="n"/>
    </row>
    <row r="191">
      <c r="A191" s="5" t="n"/>
      <c r="B191" s="6" t="n"/>
      <c r="C191" s="6" t="n"/>
      <c r="D191" s="6" t="n"/>
      <c r="E191" s="7" t="n"/>
      <c r="F191" s="6" t="n"/>
      <c r="G191" s="7" t="n"/>
      <c r="H191" s="7" t="n"/>
      <c r="I191" s="6" t="n"/>
      <c r="J191" s="7" t="n"/>
      <c r="K191" s="6" t="n"/>
      <c r="L191" s="7" t="n"/>
      <c r="M191" s="7" t="n"/>
      <c r="N191" s="6" t="n"/>
      <c r="O191" s="7" t="n"/>
      <c r="P191" s="6" t="n"/>
      <c r="Q191" s="8" t="n"/>
    </row>
    <row r="192">
      <c r="A192" s="5" t="n"/>
      <c r="B192" s="6" t="n"/>
      <c r="C192" s="6" t="n"/>
      <c r="D192" s="6" t="n"/>
      <c r="E192" s="7" t="n"/>
      <c r="F192" s="6" t="n"/>
      <c r="G192" s="7" t="n"/>
      <c r="H192" s="7" t="n"/>
      <c r="I192" s="6" t="n"/>
      <c r="J192" s="7" t="n"/>
      <c r="K192" s="6" t="n"/>
      <c r="L192" s="7" t="n"/>
      <c r="M192" s="7" t="n"/>
      <c r="N192" s="6" t="n"/>
      <c r="O192" s="7" t="n"/>
      <c r="P192" s="6" t="n"/>
      <c r="Q192" s="8" t="n"/>
    </row>
    <row r="193">
      <c r="A193" s="5" t="n"/>
      <c r="B193" s="6" t="n"/>
      <c r="C193" s="6" t="n"/>
      <c r="D193" s="6" t="n"/>
      <c r="E193" s="7" t="n"/>
      <c r="F193" s="6" t="n"/>
      <c r="G193" s="7" t="n"/>
      <c r="H193" s="7" t="n"/>
      <c r="I193" s="6" t="n"/>
      <c r="J193" s="7" t="n"/>
      <c r="K193" s="6" t="n"/>
      <c r="L193" s="7" t="n"/>
      <c r="M193" s="7" t="n"/>
      <c r="N193" s="6" t="n"/>
      <c r="O193" s="7" t="n"/>
      <c r="P193" s="6" t="n"/>
      <c r="Q193" s="8" t="n"/>
    </row>
    <row r="194">
      <c r="A194" s="5" t="n"/>
      <c r="B194" s="6" t="n"/>
      <c r="C194" s="6" t="n"/>
      <c r="D194" s="6" t="n"/>
      <c r="E194" s="7" t="n"/>
      <c r="F194" s="6" t="n"/>
      <c r="G194" s="7" t="n"/>
      <c r="H194" s="7" t="n"/>
      <c r="I194" s="6" t="n"/>
      <c r="J194" s="7" t="n"/>
      <c r="K194" s="6" t="n"/>
      <c r="L194" s="7" t="n"/>
      <c r="M194" s="7" t="n"/>
      <c r="N194" s="6" t="n"/>
      <c r="O194" s="7" t="n"/>
      <c r="P194" s="6" t="n"/>
      <c r="Q194" s="8" t="n"/>
    </row>
    <row r="195">
      <c r="A195" s="5" t="n"/>
      <c r="B195" s="6" t="n"/>
      <c r="C195" s="6" t="n"/>
      <c r="D195" s="6" t="n"/>
      <c r="E195" s="7" t="n"/>
      <c r="F195" s="6" t="n"/>
      <c r="G195" s="7" t="n"/>
      <c r="H195" s="7" t="n"/>
      <c r="I195" s="6" t="n"/>
      <c r="J195" s="7" t="n"/>
      <c r="K195" s="6" t="n"/>
      <c r="L195" s="7" t="n"/>
      <c r="M195" s="7" t="n"/>
      <c r="N195" s="6" t="n"/>
      <c r="O195" s="7" t="n"/>
      <c r="P195" s="6" t="n"/>
      <c r="Q195" s="8" t="n"/>
    </row>
    <row r="196">
      <c r="A196" s="5" t="n"/>
      <c r="B196" s="6" t="n"/>
      <c r="C196" s="6" t="n"/>
      <c r="D196" s="6" t="n"/>
      <c r="E196" s="7" t="n"/>
      <c r="F196" s="6" t="n"/>
      <c r="G196" s="7" t="n"/>
      <c r="H196" s="7" t="n"/>
      <c r="I196" s="6" t="n"/>
      <c r="J196" s="7" t="n"/>
      <c r="K196" s="6" t="n"/>
      <c r="L196" s="7" t="n"/>
      <c r="M196" s="7" t="n"/>
      <c r="N196" s="6" t="n"/>
      <c r="O196" s="7" t="n"/>
      <c r="P196" s="6" t="n"/>
      <c r="Q196" s="8" t="n"/>
    </row>
    <row r="197">
      <c r="A197" s="5" t="n"/>
      <c r="B197" s="6" t="n"/>
      <c r="C197" s="6" t="n"/>
      <c r="D197" s="6" t="n"/>
      <c r="E197" s="7" t="n"/>
      <c r="F197" s="6" t="n"/>
      <c r="G197" s="7" t="n"/>
      <c r="H197" s="7" t="n"/>
      <c r="I197" s="6" t="n"/>
      <c r="J197" s="7" t="n"/>
      <c r="K197" s="6" t="n"/>
      <c r="L197" s="7" t="n"/>
      <c r="M197" s="7" t="n"/>
      <c r="N197" s="6" t="n"/>
      <c r="O197" s="7" t="n"/>
      <c r="P197" s="6" t="n"/>
      <c r="Q197" s="8" t="n"/>
    </row>
    <row r="198">
      <c r="A198" s="5" t="n"/>
      <c r="B198" s="6" t="n"/>
      <c r="C198" s="6" t="n"/>
      <c r="D198" s="6" t="n"/>
      <c r="E198" s="7" t="n"/>
      <c r="F198" s="6" t="n"/>
      <c r="G198" s="7" t="n"/>
      <c r="H198" s="7" t="n"/>
      <c r="I198" s="6" t="n"/>
      <c r="J198" s="7" t="n"/>
      <c r="K198" s="6" t="n"/>
      <c r="L198" s="7" t="n"/>
      <c r="M198" s="7" t="n"/>
      <c r="N198" s="6" t="n"/>
      <c r="O198" s="7" t="n"/>
      <c r="P198" s="6" t="n"/>
      <c r="Q198" s="8" t="n"/>
    </row>
    <row r="199">
      <c r="A199" s="5" t="n"/>
      <c r="B199" s="6" t="n"/>
      <c r="C199" s="6" t="n"/>
      <c r="D199" s="6" t="n"/>
      <c r="E199" s="7" t="n"/>
      <c r="F199" s="6" t="n"/>
      <c r="G199" s="7" t="n"/>
      <c r="H199" s="7" t="n"/>
      <c r="I199" s="6" t="n"/>
      <c r="J199" s="7" t="n"/>
      <c r="K199" s="6" t="n"/>
      <c r="L199" s="7" t="n"/>
      <c r="M199" s="7" t="n"/>
      <c r="N199" s="6" t="n"/>
      <c r="O199" s="7" t="n"/>
      <c r="P199" s="6" t="n"/>
      <c r="Q199" s="8" t="n"/>
    </row>
    <row r="200">
      <c r="A200" s="5" t="n"/>
      <c r="B200" s="6" t="n"/>
      <c r="C200" s="6" t="n"/>
      <c r="D200" s="6" t="n"/>
      <c r="E200" s="7" t="n"/>
      <c r="F200" s="6" t="n"/>
      <c r="G200" s="7" t="n"/>
      <c r="H200" s="7" t="n"/>
      <c r="I200" s="6" t="n"/>
      <c r="J200" s="7" t="n"/>
      <c r="K200" s="6" t="n"/>
      <c r="L200" s="7" t="n"/>
      <c r="M200" s="7" t="n"/>
      <c r="N200" s="6" t="n"/>
      <c r="O200" s="7" t="n"/>
      <c r="P200" s="6" t="n"/>
      <c r="Q200" s="8" t="n"/>
    </row>
    <row r="201">
      <c r="A201" s="5" t="n"/>
      <c r="B201" s="6" t="n"/>
      <c r="C201" s="6" t="n"/>
      <c r="D201" s="6" t="n"/>
      <c r="E201" s="7" t="n"/>
      <c r="F201" s="6" t="n"/>
      <c r="G201" s="7" t="n"/>
      <c r="H201" s="7" t="n"/>
      <c r="I201" s="6" t="n"/>
      <c r="J201" s="7" t="n"/>
      <c r="K201" s="6" t="n"/>
      <c r="L201" s="7" t="n"/>
      <c r="M201" s="7" t="n"/>
      <c r="N201" s="6" t="n"/>
      <c r="O201" s="7" t="n"/>
      <c r="P201" s="6" t="n"/>
      <c r="Q201" s="8" t="n"/>
    </row>
  </sheetData>
  <conditionalFormatting sqref="A2:A201">
    <cfRule type="expression" priority="1" dxfId="0" stopIfTrue="0">
      <formula>AND(A2&lt;&gt;"",NOT(ISNUMBER(A2)))</formula>
    </cfRule>
  </conditionalFormatting>
  <conditionalFormatting sqref="B2:B201">
    <cfRule type="expression" priority="2" dxfId="0" stopIfTrue="0">
      <formula>AND(B2&lt;&gt;"",LEN(B2)&gt;20)</formula>
    </cfRule>
  </conditionalFormatting>
  <conditionalFormatting sqref="C2:C201">
    <cfRule type="expression" priority="3" dxfId="0" stopIfTrue="0">
      <formula>AND(C2&lt;&gt;"",OR(LEN(C2)&gt;1,COUNTIF(CL_POSICIONOPERACION_V4,C2)=0))</formula>
    </cfRule>
  </conditionalFormatting>
  <conditionalFormatting sqref="D2:D201">
    <cfRule type="expression" priority="4" dxfId="0" stopIfTrue="0">
      <formula>AND(D2&lt;&gt;"",OR(LEN(D2)&gt;2,COUNTIF(CL_OBJ_OPE_V1,D2)=0))</formula>
    </cfRule>
  </conditionalFormatting>
  <conditionalFormatting sqref="E2:E201">
    <cfRule type="expression" priority="5" dxfId="0" stopIfTrue="0">
      <formula>AND(E2&lt;&gt;"",COUNTIF(CL_PAQ_EST_DER_V1,E2)=0)</formula>
    </cfRule>
  </conditionalFormatting>
  <conditionalFormatting sqref="F2:F201">
    <cfRule type="expression" priority="6" dxfId="0" stopIfTrue="0">
      <formula>AND(F2&lt;&gt;"",LEN(F2)&gt;20)</formula>
    </cfRule>
  </conditionalFormatting>
  <conditionalFormatting sqref="G2:G201">
    <cfRule type="expression" priority="7" dxfId="0" stopIfTrue="0">
      <formula>AND(G2&lt;&gt;"",IF(ISNUMBER(G2),OR(G2&lt;&gt;INT(G2),LEN(TEXT(ABS(G2),"0"))&gt;3),TRUE))</formula>
    </cfRule>
  </conditionalFormatting>
  <conditionalFormatting sqref="H2:H201">
    <cfRule type="expression" priority="8" dxfId="0" stopIfTrue="0">
      <formula>AND(H2&lt;&gt;"",IF(ISNUMBER(H2),OR(H2&lt;&gt;INT(H2),LEN(TEXT(ABS(H2),"0"))&gt;15),TRUE))</formula>
    </cfRule>
  </conditionalFormatting>
  <conditionalFormatting sqref="I2:I201">
    <cfRule type="expression" priority="9" dxfId="0" stopIfTrue="0">
      <formula>AND(I2&lt;&gt;"",OR(LEN(I2)&gt;3,COUNTIF(CL_MONEDAISO,I2)=0))</formula>
    </cfRule>
  </conditionalFormatting>
  <conditionalFormatting sqref="J2:J201">
    <cfRule type="expression" priority="10" dxfId="0" stopIfTrue="0">
      <formula>AND(J2&lt;&gt;"",IF(ISNUMBER(J2),OR(J2&lt;&gt;INT(J2),LEN(TEXT(ABS(J2),"0"))&gt;15),TRUE))</formula>
    </cfRule>
  </conditionalFormatting>
  <conditionalFormatting sqref="K2:K201">
    <cfRule type="expression" priority="11" dxfId="0" stopIfTrue="0">
      <formula>AND(K2&lt;&gt;"",OR(LEN(K2)&gt;3,COUNTIF(CL_MONEDAISO,K2)=0))</formula>
    </cfRule>
  </conditionalFormatting>
  <conditionalFormatting sqref="L2:L201">
    <cfRule type="expression" priority="12" dxfId="0" stopIfTrue="0">
      <formula>AND(L2&lt;&gt;"",IF(ISNUMBER(L2),OR(L2&lt;&gt;INT(L2),LEN(TEXT(ABS(L2),"0"))&gt;5),TRUE))</formula>
    </cfRule>
  </conditionalFormatting>
  <conditionalFormatting sqref="M2:M201">
    <cfRule type="expression" priority="13" dxfId="0" stopIfTrue="0">
      <formula>AND(M2&lt;&gt;"",IF(ISNUMBER(M2),OR(M2&lt;&gt;INT(M2),LEN(TEXT(ABS(M2),"0"))&gt;5),TRUE))</formula>
    </cfRule>
  </conditionalFormatting>
  <conditionalFormatting sqref="N2:N201">
    <cfRule type="expression" priority="14" dxfId="0" stopIfTrue="0">
      <formula>AND(N2&lt;&gt;"",LEN(N2)&gt;20)</formula>
    </cfRule>
  </conditionalFormatting>
  <conditionalFormatting sqref="O2:O201">
    <cfRule type="expression" priority="15" dxfId="0" stopIfTrue="0">
      <formula>AND(O2&lt;&gt;"",IF(ISNUMBER(O2),OR(O2&lt;&gt;INT(O2),LEN(TEXT(ABS(O2),"0"))&gt;15),TRUE))</formula>
    </cfRule>
  </conditionalFormatting>
  <conditionalFormatting sqref="P2:P201">
    <cfRule type="expression" priority="16" dxfId="0" stopIfTrue="0">
      <formula>AND(P2&lt;&gt;"",OR(LEN(P2)&gt;3,COUNTIF(CL_MONEDAISO,P2)=0))</formula>
    </cfRule>
  </conditionalFormatting>
  <conditionalFormatting sqref="Q2:Q201">
    <cfRule type="expression" priority="17" dxfId="0" stopIfTrue="0">
      <formula>AND(Q2&lt;&gt;"",NOT(ISNUMBER(Q2)))</formula>
    </cfRule>
  </conditionalFormatting>
  <dataValidations count="6">
    <dataValidation sqref="C2:C201" showDropDown="0" showInputMessage="1" showErrorMessage="1" allowBlank="1" errorTitle="Clave inválida" error="El valor debe existir en el catálogo PosicionOperacion_V4" promptTitle="POS_OPER" prompt="Selecciona una Clave del catálogo PosicionOperacion_V4" type="list">
      <formula1>=CL_POSICIONOPERACION_V4</formula1>
    </dataValidation>
    <dataValidation sqref="D2:D201" showDropDown="0" showInputMessage="1" showErrorMessage="1" allowBlank="1" errorTitle="Clave inválida" error="El valor debe existir en el catálogo OBJ_OPE_V1" promptTitle="OBJ_OPE" prompt="Selecciona una Clave del catálogo OBJ_OPE_V1" type="list">
      <formula1>=CL_OBJ_OPE_V1</formula1>
    </dataValidation>
    <dataValidation sqref="E2:E201" showDropDown="0" showInputMessage="1" showErrorMessage="1" allowBlank="1" errorTitle="Clave inválida" error="El valor debe existir en el catálogo PAQ_EST_DER_V1" promptTitle="PAQ_EST" prompt="Selecciona una Clave del catálogo PAQ_EST_DER_V1" type="list">
      <formula1>=CL_PAQ_EST_DER_V1</formula1>
    </dataValidation>
    <dataValidation sqref="I2:I201" showDropDown="0" showInputMessage="1" showErrorMessage="1" allowBlank="1" errorTitle="Clave inválida" error="El valor debe existir en el catálogo MonedaISO" promptTitle="MON_ACT_OPE" prompt="Selecciona una Clave del catálogo MonedaISO" type="list">
      <formula1>=CL_MONEDAISO</formula1>
    </dataValidation>
    <dataValidation sqref="K2:K201" showDropDown="0" showInputMessage="1" showErrorMessage="1" allowBlank="1" errorTitle="Clave inválida" error="El valor debe existir en el catálogo MonedaISO" promptTitle="MON_PAS_OPE" prompt="Selecciona una Clave del catálogo MonedaISO" type="list">
      <formula1>=CL_MONEDAISO</formula1>
    </dataValidation>
    <dataValidation sqref="P2:P201" showDropDown="0" showInputMessage="1" showErrorMessage="1" allowBlank="1" errorTitle="Clave inválida" error="El valor debe existir en el catálogo MonedaISO" promptTitle="MON_NOCIONAL" prompt="Selecciona una Clave del catálogo MonedaISO" type="list">
      <formula1>=CL_MONEDAISO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6" t="inlineStr">
        <is>
          <t>C</t>
        </is>
      </c>
      <c r="B2" t="inlineStr">
        <is>
          <t>OPERACIONES DE COMPRA EN DIRECTO</t>
        </is>
      </c>
    </row>
    <row r="3">
      <c r="A3" s="6" t="inlineStr">
        <is>
          <t>V</t>
        </is>
      </c>
      <c r="B3" t="inlineStr">
        <is>
          <t>OPERACIONES DE VENTA EN DIRECTO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6" t="inlineStr">
        <is>
          <t>NE</t>
        </is>
      </c>
      <c r="B2" t="inlineStr">
        <is>
          <t>Cuando la Institución celebre la operación con el objetivo de "Negociación".</t>
        </is>
      </c>
    </row>
    <row r="3">
      <c r="A3" s="6" t="inlineStr">
        <is>
          <t>CC</t>
        </is>
      </c>
      <c r="B3" t="inlineStr">
        <is>
          <t>Cuando la Institución celebre la operación con el objetivo de "Cobertura" para su cartera de créditos (incluye consumo, comercial y vivenda).</t>
        </is>
      </c>
    </row>
    <row r="4">
      <c r="A4" s="6" t="inlineStr">
        <is>
          <t>CT</t>
        </is>
      </c>
      <c r="B4" t="inlineStr">
        <is>
          <t>Cuando la Institución celebre la operación con el objetivo de "Cobertura" para su portafolio de títulos de deuda (diferentes a títulos opcionales).</t>
        </is>
      </c>
    </row>
    <row r="5">
      <c r="A5" s="6" t="inlineStr">
        <is>
          <t>CW</t>
        </is>
      </c>
      <c r="B5" t="inlineStr">
        <is>
          <t>Cuando la Institución celebre la operación con el objetivo de "Cobertura" para su portafolio de títulos opcionales ("Warrants").</t>
        </is>
      </c>
    </row>
    <row r="6">
      <c r="A6" s="6" t="inlineStr">
        <is>
          <t>CA</t>
        </is>
      </c>
      <c r="B6" t="inlineStr">
        <is>
          <t>Cuando la Institución celebre la operación con el objetivo de "Cobertura" para otros activos distintos a créditos, títulos de deuda y títulos opcionales.</t>
        </is>
      </c>
    </row>
    <row r="7">
      <c r="A7" s="6" t="inlineStr">
        <is>
          <t>CP</t>
        </is>
      </c>
      <c r="B7" t="inlineStr">
        <is>
          <t>Cuando la Institución celebre la operación con el objetivo de "Cobertura" de algún pasivo (incluye la emisión de títulos de deuda o títlos opcionales).</t>
        </is>
      </c>
    </row>
    <row r="8">
      <c r="A8" s="6" t="inlineStr">
        <is>
          <t>JP</t>
        </is>
      </c>
      <c r="B8" t="inlineStr">
        <is>
          <t>En operaciones realizadas por la Institución para su Fondo de Reservas para Pensiones, Jubilaciones y demás Prestaciones al personal; cuando dicho Fondo forme parte del Balance de la Institución.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6" t="inlineStr">
        <is>
          <t>1</t>
        </is>
      </c>
      <c r="B2" t="inlineStr">
        <is>
          <t>Paquete de opciones de compra de tasas de interés, con fechas de vencimiento sucesivas ("Caps")</t>
        </is>
      </c>
    </row>
    <row r="3">
      <c r="A3" s="6" t="inlineStr">
        <is>
          <t>2</t>
        </is>
      </c>
      <c r="B3" t="inlineStr">
        <is>
          <t>Paquete de opciones de venta de tasas de interés, con fechas de vencimiento sucesivas ("Floors")</t>
        </is>
      </c>
    </row>
    <row r="4">
      <c r="A4" s="6" t="inlineStr">
        <is>
          <t>3</t>
        </is>
      </c>
      <c r="B4" t="inlineStr">
        <is>
          <t>Paquete de opciones de compra sobre subyacentes distintos a tasas de interés</t>
        </is>
      </c>
    </row>
    <row r="5">
      <c r="A5" s="6" t="inlineStr">
        <is>
          <t>4</t>
        </is>
      </c>
      <c r="B5" t="inlineStr">
        <is>
          <t>Paquete de opciones de venta sobre subyacentes distintos a tasas de interés</t>
        </is>
      </c>
    </row>
    <row r="6">
      <c r="A6" s="6" t="inlineStr">
        <is>
          <t>5</t>
        </is>
      </c>
      <c r="B6" t="inlineStr">
        <is>
          <t>Paquete de opciones binarias o digitales (conocidos como "Corridor")</t>
        </is>
      </c>
    </row>
    <row r="7">
      <c r="A7" s="6" t="inlineStr">
        <is>
          <t>6</t>
        </is>
      </c>
      <c r="B7" t="inlineStr">
        <is>
          <t>Swaption (opción cuyo subyacente es un contrato de intercambio de flujos y rendimientos o "Swap")</t>
        </is>
      </c>
    </row>
    <row r="8">
      <c r="A8" s="6" t="inlineStr">
        <is>
          <t>7</t>
        </is>
      </c>
      <c r="B8" t="inlineStr">
        <is>
          <t>Opciones sobre forwards (contrato de opción cuyo subyacente es un contrato adelantado o "forward")</t>
        </is>
      </c>
    </row>
    <row r="9">
      <c r="A9" s="6" t="inlineStr">
        <is>
          <t>8</t>
        </is>
      </c>
      <c r="B9" t="inlineStr">
        <is>
          <t>Opción de una barrera (La opción se activa o extingue, si el precio de mercado del subyacentes es igual o supera un nivel predeterminado)</t>
        </is>
      </c>
    </row>
    <row r="10">
      <c r="A10" s="6" t="inlineStr">
        <is>
          <t>9</t>
        </is>
      </c>
      <c r="B10" t="inlineStr">
        <is>
          <t>Opción de doble barrera (La opción se activa o extingue, si el precio de mercado del subyacentes rebasa o no alguno de los 2 niveles predeterminados)</t>
        </is>
      </c>
    </row>
    <row r="11">
      <c r="A11" s="6" t="inlineStr">
        <is>
          <t>10</t>
        </is>
      </c>
      <c r="B11" t="inlineStr">
        <is>
          <t>Opción tipo "Lookback maxmin" (El precio de ejercicio es el mayor o menor observado durante la vigencia de la operación)</t>
        </is>
      </c>
    </row>
    <row r="12">
      <c r="A12" s="6" t="inlineStr">
        <is>
          <t>11</t>
        </is>
      </c>
      <c r="B12" t="inlineStr">
        <is>
          <t>Opción tipo "Lookback avg" (El precio de ejercicio resulta del promedio de los precios observados durante la vigencia de la operación)</t>
        </is>
      </c>
    </row>
    <row r="13">
      <c r="A13" s="6" t="inlineStr">
        <is>
          <t>12</t>
        </is>
      </c>
      <c r="B13" t="inlineStr">
        <is>
          <t>Opción "binaria" o "digital" tipo "No Touch" (El comprador recibe el importe fijo, si el precio de mercado del subyacente no toca o supera un nivel predeterminado)</t>
        </is>
      </c>
    </row>
    <row r="14">
      <c r="A14" s="6" t="inlineStr">
        <is>
          <t>13</t>
        </is>
      </c>
      <c r="B14" t="inlineStr">
        <is>
          <t>Opción "binaria" o "digital" tipo "One Touch" (El comprador recibe el importe fijo, si el precio de mercado del subyacente toca o supera un nivel predeterminado)</t>
        </is>
      </c>
    </row>
    <row r="15">
      <c r="A15" s="6" t="inlineStr">
        <is>
          <t>14</t>
        </is>
      </c>
      <c r="B15" t="inlineStr">
        <is>
          <t>Opción "binaria" o "digital" tipo "Double No Touch" (El comprador recibe el importe fijo, si el precio de mercado del subyacente no toca o supera ninguno de los 2 niveles predeterminado)</t>
        </is>
      </c>
    </row>
    <row r="16">
      <c r="A16" s="6" t="inlineStr">
        <is>
          <t>15</t>
        </is>
      </c>
      <c r="B16" t="inlineStr">
        <is>
          <t>Opción "binaria" o "digital" tipo "Double One Touch" (El comprador recibe el importe fijo, si el precio de mercado del subyacente toca o supera alguno de los 2 niveles predeterminado)</t>
        </is>
      </c>
    </row>
    <row r="17">
      <c r="A17" s="6" t="inlineStr">
        <is>
          <t>16</t>
        </is>
      </c>
      <c r="B17" t="inlineStr">
        <is>
          <t>Opción sobre una canasta de acciones o índices accionarios, con ponderadores para cada una de dichas acciones o índices.</t>
        </is>
      </c>
    </row>
    <row r="18">
      <c r="A18" s="6" t="inlineStr">
        <is>
          <t>17</t>
        </is>
      </c>
      <c r="B18" t="inlineStr">
        <is>
          <t>Opción Americana con Pago Diferido - "Deffered Payment American Option" (Opción tipo americana, cuyo valor intrínseco se liquida hasta la fecha de vencimiento)</t>
        </is>
      </c>
    </row>
    <row r="19">
      <c r="A19" s="6" t="inlineStr">
        <is>
          <t>18</t>
        </is>
      </c>
      <c r="B19" t="inlineStr">
        <is>
          <t>Opción tipo Desempeño Comparativo - "Relative Performance Option" (Opción cuyo pago esta en función de comparar el valor de dos acciones o índices accionarios, o dos conjuntos de éstos)</t>
        </is>
      </c>
    </row>
    <row r="20">
      <c r="A20" s="6" t="inlineStr">
        <is>
          <t>19</t>
        </is>
      </c>
      <c r="B20" t="inlineStr">
        <is>
          <t>Contrato de opciones tipo "Straddle" (Un call y un put con el mismo precio de ejercicio y la misma fecha de vencimiento)</t>
        </is>
      </c>
    </row>
    <row r="21">
      <c r="A21" s="6" t="inlineStr">
        <is>
          <t>20</t>
        </is>
      </c>
      <c r="B21" t="inlineStr">
        <is>
          <t>Contrato de opciones tipo "Strangle" (Un call y un put con la misma fecha de vencimiento y el precio de ejercicio del put es menor al del call)</t>
        </is>
      </c>
    </row>
    <row r="22">
      <c r="A22" s="6" t="inlineStr">
        <is>
          <t>21</t>
        </is>
      </c>
      <c r="B22" t="inlineStr">
        <is>
          <t>Contrato de opciones tipo "Bull spread" o "Call spread" (la compra de un call con cierto precio de ejercicio y la venta de otro call con un precio de ejercicio diferente, con la misma fecha de vencimiento)</t>
        </is>
      </c>
    </row>
    <row r="23">
      <c r="A23" s="6" t="inlineStr">
        <is>
          <t>22</t>
        </is>
      </c>
      <c r="B23" t="inlineStr">
        <is>
          <t>Contrato de opciones tipo "Bear spread" o "Put spread" (la venta de un put con cierto precio de ejercicio y la compra de otro put con un precio de ejercicio diferente, con la misma fecha de vencimiento)</t>
        </is>
      </c>
    </row>
    <row r="24">
      <c r="A24" s="6" t="inlineStr">
        <is>
          <t>23</t>
        </is>
      </c>
      <c r="B24" t="inlineStr">
        <is>
          <t>Engrapado de futuros de tasas de interés (conjunto de futuros de tasas de interés con fechas de vencimiento sucesivas)</t>
        </is>
      </c>
    </row>
    <row r="25">
      <c r="A25" s="6" t="inlineStr">
        <is>
          <t>24</t>
        </is>
      </c>
      <c r="B25" t="inlineStr">
        <is>
          <t>Engrapado de futuros de divisas (conjunto de futuros de divisas con fechas de vencimiento sucesivas)</t>
        </is>
      </c>
    </row>
    <row r="26">
      <c r="A26" s="6" t="inlineStr">
        <is>
          <t>25</t>
        </is>
      </c>
      <c r="B26" t="inlineStr">
        <is>
          <t>Paquete de contratos adelantados sobre tasas de interés (contrato sobre un conjunto de "Forwards Rate Agreements")</t>
        </is>
      </c>
    </row>
    <row r="27">
      <c r="A27" s="6" t="inlineStr">
        <is>
          <t>26</t>
        </is>
      </c>
      <c r="B27" t="inlineStr">
        <is>
          <t>Paquete de contratos adelantados sobre subyacentes distintos a tasas de interés</t>
        </is>
      </c>
    </row>
    <row r="28">
      <c r="A28" s="6" t="inlineStr">
        <is>
          <t>28</t>
        </is>
      </c>
      <c r="B28" t="inlineStr">
        <is>
          <t>Derivado de Rendimiento Total sobre uno o más activos de referencia ("Total Return Swap").</t>
        </is>
      </c>
    </row>
    <row r="29">
      <c r="A29" s="6" t="inlineStr">
        <is>
          <t>29</t>
        </is>
      </c>
      <c r="B29" t="inlineStr">
        <is>
          <t>Opciones sobre forwards (contrato de opción cuyo subyacente es un contrato adelantado o "forward")</t>
        </is>
      </c>
    </row>
    <row r="30">
      <c r="A30" s="6" t="inlineStr">
        <is>
          <t>40</t>
        </is>
      </c>
      <c r="B30" t="inlineStr">
        <is>
          <t>Contrato estructurado, distinto a créditos y títulos de deuda, en el cual existan opciones implícitas</t>
        </is>
      </c>
    </row>
    <row r="31">
      <c r="A31" s="6" t="inlineStr">
        <is>
          <t>41</t>
        </is>
      </c>
      <c r="B31" t="inlineStr">
        <is>
          <t>Crédito o préstamo estructurado, en el cual existan opciones implícitas</t>
        </is>
      </c>
    </row>
    <row r="32">
      <c r="A32" s="6" t="inlineStr">
        <is>
          <t>42</t>
        </is>
      </c>
      <c r="B32" t="inlineStr">
        <is>
          <t>Título o nota estructurada, en el cual existan opciones implícitas</t>
        </is>
      </c>
    </row>
    <row r="33">
      <c r="A33" s="6" t="inlineStr">
        <is>
          <t>43</t>
        </is>
      </c>
      <c r="B33" t="inlineStr">
        <is>
          <t>Contrato estructurado, distinto a créditos y títulos de deuda, en el cual existan contratos adelantados implícitos (forwards)</t>
        </is>
      </c>
    </row>
    <row r="34">
      <c r="A34" s="6" t="inlineStr">
        <is>
          <t>44</t>
        </is>
      </c>
      <c r="B34" t="inlineStr">
        <is>
          <t>Contrato estructurado, distinto a créditos y títulos de deuda, en el cual existan swaps implícitos.</t>
        </is>
      </c>
    </row>
    <row r="35">
      <c r="A35" s="6" t="inlineStr">
        <is>
          <t>45</t>
        </is>
      </c>
      <c r="B35" t="inlineStr">
        <is>
          <t>Crédito o préstamo estructurado, en el cual existan contratos adelantados implícitos (forwards)</t>
        </is>
      </c>
    </row>
    <row r="36">
      <c r="A36" s="6" t="inlineStr">
        <is>
          <t>46</t>
        </is>
      </c>
      <c r="B36" t="inlineStr">
        <is>
          <t>Crédito o préstamo estructurado, en el cual existan swaps implícitos.</t>
        </is>
      </c>
    </row>
    <row r="37">
      <c r="A37" s="6" t="inlineStr">
        <is>
          <t>47</t>
        </is>
      </c>
      <c r="B37" t="inlineStr">
        <is>
          <t>Swap cambiario (dos contratos adelantados sobre divisas o un contrato adelantado sobre divisas y una operación cambiaria de contado)</t>
        </is>
      </c>
    </row>
    <row r="38">
      <c r="A38" s="6" t="inlineStr">
        <is>
          <t>48</t>
        </is>
      </c>
      <c r="B38" t="inlineStr">
        <is>
          <t>Título o nota estructurada, en el cual existan contratos adelantados implícitos (forwards)</t>
        </is>
      </c>
    </row>
    <row r="39">
      <c r="A39" s="6" t="inlineStr">
        <is>
          <t>49</t>
        </is>
      </c>
      <c r="B39" t="inlineStr">
        <is>
          <t>Título o nota estructurada, en el cual existan swaps implícitos.</t>
        </is>
      </c>
    </row>
    <row r="40">
      <c r="A40" s="6" t="inlineStr">
        <is>
          <t>90</t>
        </is>
      </c>
      <c r="B40" t="inlineStr">
        <is>
          <t>No aplica; es decir, la operación o contrato es convencional o simple (plain vainilla), y no esta comprendido en algún paquete o estrategia de este catálogo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6" t="inlineStr">
        <is>
          <t>AED</t>
        </is>
      </c>
      <c r="B2" t="inlineStr">
        <is>
          <t>UAE Dirham</t>
        </is>
      </c>
    </row>
    <row r="3">
      <c r="A3" s="6" t="inlineStr">
        <is>
          <t>AFN</t>
        </is>
      </c>
      <c r="B3" t="inlineStr">
        <is>
          <t>Afghani</t>
        </is>
      </c>
    </row>
    <row r="4">
      <c r="A4" s="6" t="inlineStr">
        <is>
          <t>ALL</t>
        </is>
      </c>
      <c r="B4" t="inlineStr">
        <is>
          <t>Lek</t>
        </is>
      </c>
    </row>
    <row r="5">
      <c r="A5" s="6" t="inlineStr">
        <is>
          <t>AMD</t>
        </is>
      </c>
      <c r="B5" t="inlineStr">
        <is>
          <t>Armenian Dram</t>
        </is>
      </c>
    </row>
    <row r="6">
      <c r="A6" s="6" t="inlineStr">
        <is>
          <t>ANG</t>
        </is>
      </c>
      <c r="B6" t="inlineStr">
        <is>
          <t>Netherlands Antillean Guilder</t>
        </is>
      </c>
    </row>
    <row r="7">
      <c r="A7" s="6" t="inlineStr">
        <is>
          <t>AOA</t>
        </is>
      </c>
      <c r="B7" t="inlineStr">
        <is>
          <t>Kwanza</t>
        </is>
      </c>
    </row>
    <row r="8">
      <c r="A8" s="6" t="inlineStr">
        <is>
          <t>ARS</t>
        </is>
      </c>
      <c r="B8" t="inlineStr">
        <is>
          <t>Argentine Peso</t>
        </is>
      </c>
    </row>
    <row r="9">
      <c r="A9" s="6" t="inlineStr">
        <is>
          <t>AUD</t>
        </is>
      </c>
      <c r="B9" t="inlineStr">
        <is>
          <t>Australian Dollar</t>
        </is>
      </c>
    </row>
    <row r="10">
      <c r="A10" s="6" t="inlineStr">
        <is>
          <t>AWG</t>
        </is>
      </c>
      <c r="B10" t="inlineStr">
        <is>
          <t>Aruban Guilder</t>
        </is>
      </c>
    </row>
    <row r="11">
      <c r="A11" s="6" t="inlineStr">
        <is>
          <t>AZN</t>
        </is>
      </c>
      <c r="B11" t="inlineStr">
        <is>
          <t>Azerbaijanian Manat</t>
        </is>
      </c>
    </row>
    <row r="12">
      <c r="A12" s="6" t="inlineStr">
        <is>
          <t>BAM</t>
        </is>
      </c>
      <c r="B12" t="inlineStr">
        <is>
          <t>Convertible Mark</t>
        </is>
      </c>
    </row>
    <row r="13">
      <c r="A13" s="6" t="inlineStr">
        <is>
          <t>BBD</t>
        </is>
      </c>
      <c r="B13" t="inlineStr">
        <is>
          <t>Barbados Dollar</t>
        </is>
      </c>
    </row>
    <row r="14">
      <c r="A14" s="6" t="inlineStr">
        <is>
          <t>BDT</t>
        </is>
      </c>
      <c r="B14" t="inlineStr">
        <is>
          <t>Taka</t>
        </is>
      </c>
    </row>
    <row r="15">
      <c r="A15" s="6" t="inlineStr">
        <is>
          <t>BGN</t>
        </is>
      </c>
      <c r="B15" t="inlineStr">
        <is>
          <t>Bulgarian Lev</t>
        </is>
      </c>
    </row>
    <row r="16">
      <c r="A16" s="6" t="inlineStr">
        <is>
          <t>BHD</t>
        </is>
      </c>
      <c r="B16" t="inlineStr">
        <is>
          <t>Bahraini Dinar</t>
        </is>
      </c>
    </row>
    <row r="17">
      <c r="A17" s="6" t="inlineStr">
        <is>
          <t>BIF</t>
        </is>
      </c>
      <c r="B17" t="inlineStr">
        <is>
          <t>Burundi Franc</t>
        </is>
      </c>
    </row>
    <row r="18">
      <c r="A18" s="6" t="inlineStr">
        <is>
          <t>BMD</t>
        </is>
      </c>
      <c r="B18" t="inlineStr">
        <is>
          <t>Bermudian Dollar</t>
        </is>
      </c>
    </row>
    <row r="19">
      <c r="A19" s="6" t="inlineStr">
        <is>
          <t>BND</t>
        </is>
      </c>
      <c r="B19" t="inlineStr">
        <is>
          <t>Brunei Dollar</t>
        </is>
      </c>
    </row>
    <row r="20">
      <c r="A20" s="6" t="inlineStr">
        <is>
          <t>BOB</t>
        </is>
      </c>
      <c r="B20" t="inlineStr">
        <is>
          <t>Boliviano</t>
        </is>
      </c>
    </row>
    <row r="21">
      <c r="A21" s="6" t="inlineStr">
        <is>
          <t>BOV</t>
        </is>
      </c>
      <c r="B21" t="inlineStr">
        <is>
          <t>Mvdol</t>
        </is>
      </c>
    </row>
    <row r="22">
      <c r="A22" s="6" t="inlineStr">
        <is>
          <t>BRL</t>
        </is>
      </c>
      <c r="B22" t="inlineStr">
        <is>
          <t>Brazilian Real</t>
        </is>
      </c>
    </row>
    <row r="23">
      <c r="A23" s="6" t="inlineStr">
        <is>
          <t>BSD</t>
        </is>
      </c>
      <c r="B23" t="inlineStr">
        <is>
          <t>Bahamian Dollar</t>
        </is>
      </c>
    </row>
    <row r="24">
      <c r="A24" s="6" t="inlineStr">
        <is>
          <t>BYR</t>
        </is>
      </c>
      <c r="B24" t="inlineStr">
        <is>
          <t>Belarussian Ruble</t>
        </is>
      </c>
    </row>
    <row r="25">
      <c r="A25" s="6" t="inlineStr">
        <is>
          <t>BZD</t>
        </is>
      </c>
      <c r="B25" t="inlineStr">
        <is>
          <t>Belize Dollar</t>
        </is>
      </c>
    </row>
    <row r="26">
      <c r="A26" s="6" t="inlineStr">
        <is>
          <t>BTN</t>
        </is>
      </c>
      <c r="B26" t="inlineStr">
        <is>
          <t xml:space="preserve">Ngultrum </t>
        </is>
      </c>
    </row>
    <row r="27">
      <c r="A27" s="6" t="inlineStr">
        <is>
          <t>BWP</t>
        </is>
      </c>
      <c r="B27" t="inlineStr">
        <is>
          <t>Pula</t>
        </is>
      </c>
    </row>
    <row r="28">
      <c r="A28" s="6" t="inlineStr">
        <is>
          <t>CAD</t>
        </is>
      </c>
      <c r="B28" t="inlineStr">
        <is>
          <t>Canadian Dollar</t>
        </is>
      </c>
    </row>
    <row r="29">
      <c r="A29" s="6" t="inlineStr">
        <is>
          <t>EUR</t>
        </is>
      </c>
      <c r="B29" t="inlineStr">
        <is>
          <t>Euro</t>
        </is>
      </c>
    </row>
    <row r="30">
      <c r="A30" s="6" t="inlineStr">
        <is>
          <t>DZD</t>
        </is>
      </c>
      <c r="B30" t="inlineStr">
        <is>
          <t>Algerian Dinar</t>
        </is>
      </c>
    </row>
    <row r="31">
      <c r="A31" s="6" t="inlineStr">
        <is>
          <t>CVE</t>
        </is>
      </c>
      <c r="B31" t="inlineStr">
        <is>
          <t>Cape Verde Escudo</t>
        </is>
      </c>
    </row>
    <row r="32">
      <c r="A32" s="6" t="inlineStr">
        <is>
          <t>CLP</t>
        </is>
      </c>
      <c r="B32" t="inlineStr">
        <is>
          <t>Chilean Peso</t>
        </is>
      </c>
    </row>
    <row r="33">
      <c r="A33" s="6" t="inlineStr">
        <is>
          <t>CLF</t>
        </is>
      </c>
      <c r="B33" t="inlineStr">
        <is>
          <t xml:space="preserve">Unidades de fomento </t>
        </is>
      </c>
    </row>
    <row r="34">
      <c r="A34" s="6" t="inlineStr">
        <is>
          <t>CNY</t>
        </is>
      </c>
      <c r="B34" t="inlineStr">
        <is>
          <t>Yuan Renminbi</t>
        </is>
      </c>
    </row>
    <row r="35">
      <c r="A35" s="6" t="inlineStr">
        <is>
          <t>COP</t>
        </is>
      </c>
      <c r="B35" t="inlineStr">
        <is>
          <t>Colombian Peso</t>
        </is>
      </c>
    </row>
    <row r="36">
      <c r="A36" s="6" t="inlineStr">
        <is>
          <t>COU</t>
        </is>
      </c>
      <c r="B36" t="inlineStr">
        <is>
          <t>Unidad de Valor Real</t>
        </is>
      </c>
    </row>
    <row r="37">
      <c r="A37" s="6" t="inlineStr">
        <is>
          <t>CDF</t>
        </is>
      </c>
      <c r="B37" t="inlineStr">
        <is>
          <t>Congolese Franc</t>
        </is>
      </c>
    </row>
    <row r="38">
      <c r="A38" s="6" t="inlineStr">
        <is>
          <t>CRC</t>
        </is>
      </c>
      <c r="B38" t="inlineStr">
        <is>
          <t>Costa Rican Colon</t>
        </is>
      </c>
    </row>
    <row r="39">
      <c r="A39" s="6" t="inlineStr">
        <is>
          <t>HRK</t>
        </is>
      </c>
      <c r="B39" t="inlineStr">
        <is>
          <t>Croatian Kuna</t>
        </is>
      </c>
    </row>
    <row r="40">
      <c r="A40" s="6" t="inlineStr">
        <is>
          <t>CUP</t>
        </is>
      </c>
      <c r="B40" t="inlineStr">
        <is>
          <t>Cuban Peso</t>
        </is>
      </c>
    </row>
    <row r="41">
      <c r="A41" s="6" t="inlineStr">
        <is>
          <t>CUC</t>
        </is>
      </c>
      <c r="B41" t="inlineStr">
        <is>
          <t>Peso Convertible</t>
        </is>
      </c>
    </row>
    <row r="42">
      <c r="A42" s="6" t="inlineStr">
        <is>
          <t>CZK</t>
        </is>
      </c>
      <c r="B42" t="inlineStr">
        <is>
          <t>Czech Koruna</t>
        </is>
      </c>
    </row>
    <row r="43">
      <c r="A43" s="6" t="inlineStr">
        <is>
          <t>DKK</t>
        </is>
      </c>
      <c r="B43" t="inlineStr">
        <is>
          <t>Danish Krone</t>
        </is>
      </c>
    </row>
    <row r="44">
      <c r="A44" s="6" t="inlineStr">
        <is>
          <t>DJF</t>
        </is>
      </c>
      <c r="B44" t="inlineStr">
        <is>
          <t>Djibouti Franc</t>
        </is>
      </c>
    </row>
    <row r="45">
      <c r="A45" s="6" t="inlineStr">
        <is>
          <t>DOP</t>
        </is>
      </c>
      <c r="B45" t="inlineStr">
        <is>
          <t>Dominican Peso</t>
        </is>
      </c>
    </row>
    <row r="46">
      <c r="A46" s="6" t="inlineStr">
        <is>
          <t>EGP</t>
        </is>
      </c>
      <c r="B46" t="inlineStr">
        <is>
          <t>Egyptian Pound</t>
        </is>
      </c>
    </row>
    <row r="47">
      <c r="A47" s="6" t="inlineStr">
        <is>
          <t>ERN</t>
        </is>
      </c>
      <c r="B47" t="inlineStr">
        <is>
          <t>Nakfa</t>
        </is>
      </c>
    </row>
    <row r="48">
      <c r="A48" s="6" t="inlineStr">
        <is>
          <t>ETB</t>
        </is>
      </c>
      <c r="B48" t="inlineStr">
        <is>
          <t>Ethiopian Birr</t>
        </is>
      </c>
    </row>
    <row r="49">
      <c r="A49" s="6" t="inlineStr">
        <is>
          <t>FKP</t>
        </is>
      </c>
      <c r="B49" t="inlineStr">
        <is>
          <t>Falkland Islands Pound</t>
        </is>
      </c>
    </row>
    <row r="50">
      <c r="A50" s="6" t="inlineStr">
        <is>
          <t>FJD</t>
        </is>
      </c>
      <c r="B50" t="inlineStr">
        <is>
          <t>Fiji Dollar</t>
        </is>
      </c>
    </row>
    <row r="51">
      <c r="A51" s="6" t="inlineStr">
        <is>
          <t>GMD</t>
        </is>
      </c>
      <c r="B51" t="inlineStr">
        <is>
          <t>Dalasi</t>
        </is>
      </c>
    </row>
    <row r="52">
      <c r="A52" s="6" t="inlineStr">
        <is>
          <t>GEL</t>
        </is>
      </c>
      <c r="B52" t="inlineStr">
        <is>
          <t>Lari</t>
        </is>
      </c>
    </row>
    <row r="53">
      <c r="A53" s="6" t="inlineStr">
        <is>
          <t>GHS</t>
        </is>
      </c>
      <c r="B53" t="inlineStr">
        <is>
          <t>Cedi</t>
        </is>
      </c>
    </row>
    <row r="54">
      <c r="A54" s="6" t="inlineStr">
        <is>
          <t>GIP</t>
        </is>
      </c>
      <c r="B54" t="inlineStr">
        <is>
          <t>Gibraltar Pound</t>
        </is>
      </c>
    </row>
    <row r="55">
      <c r="A55" s="6" t="inlineStr">
        <is>
          <t>GTQ</t>
        </is>
      </c>
      <c r="B55" t="inlineStr">
        <is>
          <t>Quetzal</t>
        </is>
      </c>
    </row>
    <row r="56">
      <c r="A56" s="6" t="inlineStr">
        <is>
          <t>GBP</t>
        </is>
      </c>
      <c r="B56" t="inlineStr">
        <is>
          <t>Pound Sterling</t>
        </is>
      </c>
    </row>
    <row r="57">
      <c r="A57" s="6" t="inlineStr">
        <is>
          <t>GNF</t>
        </is>
      </c>
      <c r="B57" t="inlineStr">
        <is>
          <t>Guinea Franc</t>
        </is>
      </c>
    </row>
    <row r="58">
      <c r="A58" s="6" t="inlineStr">
        <is>
          <t>GYD</t>
        </is>
      </c>
      <c r="B58" t="inlineStr">
        <is>
          <t>Guyana Dollar</t>
        </is>
      </c>
    </row>
    <row r="59">
      <c r="A59" s="6" t="inlineStr">
        <is>
          <t>HTG</t>
        </is>
      </c>
      <c r="B59" t="inlineStr">
        <is>
          <t>Gourde</t>
        </is>
      </c>
    </row>
    <row r="60">
      <c r="A60" s="6" t="inlineStr">
        <is>
          <t>HNL</t>
        </is>
      </c>
      <c r="B60" t="inlineStr">
        <is>
          <t>Lempira</t>
        </is>
      </c>
    </row>
    <row r="61">
      <c r="A61" s="6" t="inlineStr">
        <is>
          <t>HKD</t>
        </is>
      </c>
      <c r="B61" t="inlineStr">
        <is>
          <t>Hong Kong Dollar</t>
        </is>
      </c>
    </row>
    <row r="62">
      <c r="A62" s="6" t="inlineStr">
        <is>
          <t>CHF</t>
        </is>
      </c>
      <c r="B62" t="inlineStr">
        <is>
          <t>Swiss Franc</t>
        </is>
      </c>
    </row>
    <row r="63">
      <c r="A63" s="6" t="inlineStr">
        <is>
          <t>CHE</t>
        </is>
      </c>
      <c r="B63" t="inlineStr">
        <is>
          <t>WIR Euro</t>
        </is>
      </c>
    </row>
    <row r="64">
      <c r="A64" s="6" t="inlineStr">
        <is>
          <t>CHW</t>
        </is>
      </c>
      <c r="B64" t="inlineStr">
        <is>
          <t>WIR Franc</t>
        </is>
      </c>
    </row>
    <row r="65">
      <c r="A65" s="6" t="inlineStr">
        <is>
          <t>HUF</t>
        </is>
      </c>
      <c r="B65" t="inlineStr">
        <is>
          <t>Forint</t>
        </is>
      </c>
    </row>
    <row r="66">
      <c r="A66" s="6" t="inlineStr">
        <is>
          <t>BYN</t>
        </is>
      </c>
      <c r="B66" t="inlineStr">
        <is>
          <t>Rublo bielorruso</t>
        </is>
      </c>
    </row>
    <row r="67">
      <c r="A67" s="6" t="inlineStr">
        <is>
          <t>CNH</t>
        </is>
      </c>
      <c r="B67" t="inlineStr">
        <is>
          <t>Yuan chino Offshore</t>
        </is>
      </c>
    </row>
    <row r="68">
      <c r="A68" s="6" t="inlineStr">
        <is>
          <t>INR</t>
        </is>
      </c>
      <c r="B68" t="inlineStr">
        <is>
          <t>Indian Rupee</t>
        </is>
      </c>
    </row>
    <row r="69">
      <c r="A69" s="6" t="inlineStr">
        <is>
          <t>NOK</t>
        </is>
      </c>
      <c r="B69" t="inlineStr">
        <is>
          <t>Norwegian Krone</t>
        </is>
      </c>
    </row>
    <row r="70">
      <c r="A70" s="6" t="inlineStr">
        <is>
          <t>KHR</t>
        </is>
      </c>
      <c r="B70" t="inlineStr">
        <is>
          <t>Riel</t>
        </is>
      </c>
    </row>
    <row r="71">
      <c r="A71" s="6" t="inlineStr">
        <is>
          <t>KYD</t>
        </is>
      </c>
      <c r="B71" t="inlineStr">
        <is>
          <t>Cayman Islands Dollar</t>
        </is>
      </c>
    </row>
    <row r="72">
      <c r="A72" s="6" t="inlineStr">
        <is>
          <t>KMF</t>
        </is>
      </c>
      <c r="B72" t="inlineStr">
        <is>
          <t>Comoro Franc</t>
        </is>
      </c>
    </row>
    <row r="73">
      <c r="A73" s="6" t="inlineStr">
        <is>
          <t>NZD</t>
        </is>
      </c>
      <c r="B73" t="inlineStr">
        <is>
          <t>New Zealand Dollar</t>
        </is>
      </c>
    </row>
    <row r="74">
      <c r="A74" s="6" t="inlineStr">
        <is>
          <t>ISK</t>
        </is>
      </c>
      <c r="B74" t="inlineStr">
        <is>
          <t>Iceland Krona</t>
        </is>
      </c>
    </row>
    <row r="75">
      <c r="A75" s="6" t="inlineStr">
        <is>
          <t>IDR</t>
        </is>
      </c>
      <c r="B75" t="inlineStr">
        <is>
          <t>Rupiah</t>
        </is>
      </c>
    </row>
    <row r="76">
      <c r="A76" s="6" t="inlineStr">
        <is>
          <t>IRR</t>
        </is>
      </c>
      <c r="B76" t="inlineStr">
        <is>
          <t>Iranian Rial</t>
        </is>
      </c>
    </row>
    <row r="77">
      <c r="A77" s="6" t="inlineStr">
        <is>
          <t>IQD</t>
        </is>
      </c>
      <c r="B77" t="inlineStr">
        <is>
          <t>Iraqi Dinar</t>
        </is>
      </c>
    </row>
    <row r="78">
      <c r="A78" s="6" t="inlineStr">
        <is>
          <t>ILS</t>
        </is>
      </c>
      <c r="B78" t="inlineStr">
        <is>
          <t>New Israeli Sheqel</t>
        </is>
      </c>
    </row>
    <row r="79">
      <c r="A79" s="6" t="inlineStr">
        <is>
          <t>JMD</t>
        </is>
      </c>
      <c r="B79" t="inlineStr">
        <is>
          <t>Jamaican Dollar</t>
        </is>
      </c>
    </row>
    <row r="80">
      <c r="A80" s="6" t="inlineStr">
        <is>
          <t>JPY</t>
        </is>
      </c>
      <c r="B80" t="inlineStr">
        <is>
          <t>Yen</t>
        </is>
      </c>
    </row>
    <row r="81">
      <c r="A81" s="6" t="inlineStr">
        <is>
          <t>JOD</t>
        </is>
      </c>
      <c r="B81" t="inlineStr">
        <is>
          <t>Jordanian Dinar</t>
        </is>
      </c>
    </row>
    <row r="82">
      <c r="A82" s="6" t="inlineStr">
        <is>
          <t>KZT</t>
        </is>
      </c>
      <c r="B82" t="inlineStr">
        <is>
          <t>Tenge</t>
        </is>
      </c>
    </row>
    <row r="83">
      <c r="A83" s="6" t="inlineStr">
        <is>
          <t>KES</t>
        </is>
      </c>
      <c r="B83" t="inlineStr">
        <is>
          <t>Kenyan Shilling</t>
        </is>
      </c>
    </row>
    <row r="84">
      <c r="A84" s="6" t="inlineStr">
        <is>
          <t>KPW</t>
        </is>
      </c>
      <c r="B84" t="inlineStr">
        <is>
          <t>North Korean Won</t>
        </is>
      </c>
    </row>
    <row r="85">
      <c r="A85" s="6" t="inlineStr">
        <is>
          <t>KRW</t>
        </is>
      </c>
      <c r="B85" t="inlineStr">
        <is>
          <t>Won</t>
        </is>
      </c>
    </row>
    <row r="86">
      <c r="A86" s="6" t="inlineStr">
        <is>
          <t>KWD</t>
        </is>
      </c>
      <c r="B86" t="inlineStr">
        <is>
          <t>Kuwaiti Dinar</t>
        </is>
      </c>
    </row>
    <row r="87">
      <c r="A87" s="6" t="inlineStr">
        <is>
          <t>KGS</t>
        </is>
      </c>
      <c r="B87" t="inlineStr">
        <is>
          <t>Som</t>
        </is>
      </c>
    </row>
    <row r="88">
      <c r="A88" s="6" t="inlineStr">
        <is>
          <t>LAK</t>
        </is>
      </c>
      <c r="B88" t="inlineStr">
        <is>
          <t>Kip</t>
        </is>
      </c>
    </row>
    <row r="89">
      <c r="A89" s="6" t="inlineStr">
        <is>
          <t>LVL</t>
        </is>
      </c>
      <c r="B89" t="inlineStr">
        <is>
          <t>Latvian Lats</t>
        </is>
      </c>
    </row>
    <row r="90">
      <c r="A90" s="6" t="inlineStr">
        <is>
          <t>LBP</t>
        </is>
      </c>
      <c r="B90" t="inlineStr">
        <is>
          <t>Lebanese Pound</t>
        </is>
      </c>
    </row>
    <row r="91">
      <c r="A91" s="6" t="inlineStr">
        <is>
          <t>LSL</t>
        </is>
      </c>
      <c r="B91" t="inlineStr">
        <is>
          <t>Loti</t>
        </is>
      </c>
    </row>
    <row r="92">
      <c r="A92" s="6" t="inlineStr">
        <is>
          <t>LRD</t>
        </is>
      </c>
      <c r="B92" t="inlineStr">
        <is>
          <t>Liberian Dollar</t>
        </is>
      </c>
    </row>
    <row r="93">
      <c r="A93" s="6" t="inlineStr">
        <is>
          <t>LYD</t>
        </is>
      </c>
      <c r="B93" t="inlineStr">
        <is>
          <t>Libyan Dinar</t>
        </is>
      </c>
    </row>
    <row r="94">
      <c r="A94" s="6" t="inlineStr">
        <is>
          <t>LTL</t>
        </is>
      </c>
      <c r="B94" t="inlineStr">
        <is>
          <t>Lithuanian Litas</t>
        </is>
      </c>
    </row>
    <row r="95">
      <c r="A95" s="6" t="inlineStr">
        <is>
          <t>MOP</t>
        </is>
      </c>
      <c r="B95" t="inlineStr">
        <is>
          <t>Pataca</t>
        </is>
      </c>
    </row>
    <row r="96">
      <c r="A96" s="6" t="inlineStr">
        <is>
          <t>MKD</t>
        </is>
      </c>
      <c r="B96" t="inlineStr">
        <is>
          <t>Denar</t>
        </is>
      </c>
    </row>
    <row r="97">
      <c r="A97" s="6" t="inlineStr">
        <is>
          <t>MGA</t>
        </is>
      </c>
      <c r="B97" t="inlineStr">
        <is>
          <t>Malagasy Ariary</t>
        </is>
      </c>
    </row>
    <row r="98">
      <c r="A98" s="6" t="inlineStr">
        <is>
          <t>MWK</t>
        </is>
      </c>
      <c r="B98" t="inlineStr">
        <is>
          <t>Kwacha</t>
        </is>
      </c>
    </row>
    <row r="99">
      <c r="A99" s="6" t="inlineStr">
        <is>
          <t>MYR</t>
        </is>
      </c>
      <c r="B99" t="inlineStr">
        <is>
          <t>Malaysian Ringgit</t>
        </is>
      </c>
    </row>
    <row r="100">
      <c r="A100" s="6" t="inlineStr">
        <is>
          <t>MVR</t>
        </is>
      </c>
      <c r="B100" t="inlineStr">
        <is>
          <t>Rufiyaa</t>
        </is>
      </c>
    </row>
    <row r="101">
      <c r="A101" s="6" t="inlineStr">
        <is>
          <t>MRO</t>
        </is>
      </c>
      <c r="B101" t="inlineStr">
        <is>
          <t>Ouguiya</t>
        </is>
      </c>
    </row>
    <row r="102">
      <c r="A102" s="6" t="inlineStr">
        <is>
          <t>MUR</t>
        </is>
      </c>
      <c r="B102" t="inlineStr">
        <is>
          <t>Mauritius Rupee</t>
        </is>
      </c>
    </row>
    <row r="103">
      <c r="A103" s="6" t="inlineStr">
        <is>
          <t>MXN</t>
        </is>
      </c>
      <c r="B103" t="inlineStr">
        <is>
          <t>Mexican Peso</t>
        </is>
      </c>
    </row>
    <row r="104">
      <c r="A104" s="6" t="inlineStr">
        <is>
          <t>MXV</t>
        </is>
      </c>
      <c r="B104" t="inlineStr">
        <is>
          <t>Mexican Unidad de Inversion (UDI)</t>
        </is>
      </c>
    </row>
    <row r="105">
      <c r="A105" s="6" t="inlineStr">
        <is>
          <t>MDL</t>
        </is>
      </c>
      <c r="B105" t="inlineStr">
        <is>
          <t>Moldovan Leu</t>
        </is>
      </c>
    </row>
    <row r="106">
      <c r="A106" s="6" t="inlineStr">
        <is>
          <t>MNT</t>
        </is>
      </c>
      <c r="B106" t="inlineStr">
        <is>
          <t>Tugrik</t>
        </is>
      </c>
    </row>
    <row r="107">
      <c r="A107" s="6" t="inlineStr">
        <is>
          <t>MAD</t>
        </is>
      </c>
      <c r="B107" t="inlineStr">
        <is>
          <t>Moroccan Dirham</t>
        </is>
      </c>
    </row>
    <row r="108">
      <c r="A108" s="6" t="inlineStr">
        <is>
          <t>MZN</t>
        </is>
      </c>
      <c r="B108" t="inlineStr">
        <is>
          <t>Metical</t>
        </is>
      </c>
    </row>
    <row r="109">
      <c r="A109" s="6" t="inlineStr">
        <is>
          <t>MMK</t>
        </is>
      </c>
      <c r="B109" t="inlineStr">
        <is>
          <t>Kyat</t>
        </is>
      </c>
    </row>
    <row r="110">
      <c r="A110" s="6" t="inlineStr">
        <is>
          <t>NAD</t>
        </is>
      </c>
      <c r="B110" t="inlineStr">
        <is>
          <t>Namibia Dollar</t>
        </is>
      </c>
    </row>
    <row r="111">
      <c r="A111" s="6" t="inlineStr">
        <is>
          <t>NPR</t>
        </is>
      </c>
      <c r="B111" t="inlineStr">
        <is>
          <t>Nepalese Rupee</t>
        </is>
      </c>
    </row>
    <row r="112">
      <c r="A112" s="6" t="inlineStr">
        <is>
          <t>NIO</t>
        </is>
      </c>
      <c r="B112" t="inlineStr">
        <is>
          <t>Cordoba Oro</t>
        </is>
      </c>
    </row>
    <row r="113">
      <c r="A113" s="6" t="inlineStr">
        <is>
          <t>NGN</t>
        </is>
      </c>
      <c r="B113" t="inlineStr">
        <is>
          <t>Naira</t>
        </is>
      </c>
    </row>
    <row r="114">
      <c r="A114" s="6" t="inlineStr">
        <is>
          <t>OMR</t>
        </is>
      </c>
      <c r="B114" t="inlineStr">
        <is>
          <t>Rial Omani</t>
        </is>
      </c>
    </row>
    <row r="115">
      <c r="A115" s="6" t="inlineStr">
        <is>
          <t>PKR</t>
        </is>
      </c>
      <c r="B115" t="inlineStr">
        <is>
          <t>Pakistan Rupee</t>
        </is>
      </c>
    </row>
    <row r="116">
      <c r="A116" s="6" t="inlineStr">
        <is>
          <t>PAB</t>
        </is>
      </c>
      <c r="B116" t="inlineStr">
        <is>
          <t>Balboa</t>
        </is>
      </c>
    </row>
    <row r="117">
      <c r="A117" s="6" t="inlineStr">
        <is>
          <t>PGK</t>
        </is>
      </c>
      <c r="B117" t="inlineStr">
        <is>
          <t>Kina</t>
        </is>
      </c>
    </row>
    <row r="118">
      <c r="A118" s="6" t="inlineStr">
        <is>
          <t>PYG</t>
        </is>
      </c>
      <c r="B118" t="inlineStr">
        <is>
          <t>Guarani</t>
        </is>
      </c>
    </row>
    <row r="119">
      <c r="A119" s="6" t="inlineStr">
        <is>
          <t>PEN</t>
        </is>
      </c>
      <c r="B119" t="inlineStr">
        <is>
          <t>Nuevo Sol</t>
        </is>
      </c>
    </row>
    <row r="120">
      <c r="A120" s="6" t="inlineStr">
        <is>
          <t>PHP</t>
        </is>
      </c>
      <c r="B120" t="inlineStr">
        <is>
          <t>Philippine Peso</t>
        </is>
      </c>
    </row>
    <row r="121">
      <c r="A121" s="6" t="inlineStr">
        <is>
          <t>PLN</t>
        </is>
      </c>
      <c r="B121" t="inlineStr">
        <is>
          <t>Zloty</t>
        </is>
      </c>
    </row>
    <row r="122">
      <c r="A122" s="6" t="inlineStr">
        <is>
          <t>QAR</t>
        </is>
      </c>
      <c r="B122" t="inlineStr">
        <is>
          <t>Qatari Rial</t>
        </is>
      </c>
    </row>
    <row r="123">
      <c r="A123" s="6" t="inlineStr">
        <is>
          <t>RON</t>
        </is>
      </c>
      <c r="B123" t="inlineStr">
        <is>
          <t>Leu</t>
        </is>
      </c>
    </row>
    <row r="124">
      <c r="A124" s="6" t="inlineStr">
        <is>
          <t>RUB</t>
        </is>
      </c>
      <c r="B124" t="inlineStr">
        <is>
          <t>Russian Ruble</t>
        </is>
      </c>
    </row>
    <row r="125">
      <c r="A125" s="6" t="inlineStr">
        <is>
          <t>RWF</t>
        </is>
      </c>
      <c r="B125" t="inlineStr">
        <is>
          <t>Rwanda Franc</t>
        </is>
      </c>
    </row>
    <row r="126">
      <c r="A126" s="6" t="inlineStr">
        <is>
          <t>SHP</t>
        </is>
      </c>
      <c r="B126" t="inlineStr">
        <is>
          <t>Saint Helena Pound</t>
        </is>
      </c>
    </row>
    <row r="127">
      <c r="A127" s="6" t="inlineStr">
        <is>
          <t>STD</t>
        </is>
      </c>
      <c r="B127" t="inlineStr">
        <is>
          <t>Dobra</t>
        </is>
      </c>
    </row>
    <row r="128">
      <c r="A128" s="6" t="inlineStr">
        <is>
          <t>SAR</t>
        </is>
      </c>
      <c r="B128" t="inlineStr">
        <is>
          <t>Saudi Riyal</t>
        </is>
      </c>
    </row>
    <row r="129">
      <c r="A129" s="6" t="inlineStr">
        <is>
          <t>RSD</t>
        </is>
      </c>
      <c r="B129" t="inlineStr">
        <is>
          <t>Serbian Dinar</t>
        </is>
      </c>
    </row>
    <row r="130">
      <c r="A130" s="6" t="inlineStr">
        <is>
          <t>SCR</t>
        </is>
      </c>
      <c r="B130" t="inlineStr">
        <is>
          <t>Seychelles Rupee</t>
        </is>
      </c>
    </row>
    <row r="131">
      <c r="A131" s="6" t="inlineStr">
        <is>
          <t>SLL</t>
        </is>
      </c>
      <c r="B131" t="inlineStr">
        <is>
          <t>Leone</t>
        </is>
      </c>
    </row>
    <row r="132">
      <c r="A132" s="6" t="inlineStr">
        <is>
          <t>SGD</t>
        </is>
      </c>
      <c r="B132" t="inlineStr">
        <is>
          <t>Singapore Dollar</t>
        </is>
      </c>
    </row>
    <row r="133">
      <c r="A133" s="6" t="inlineStr">
        <is>
          <t>SBD</t>
        </is>
      </c>
      <c r="B133" t="inlineStr">
        <is>
          <t>Solomon Islands Dollar</t>
        </is>
      </c>
    </row>
    <row r="134">
      <c r="A134" s="6" t="inlineStr">
        <is>
          <t>SOS</t>
        </is>
      </c>
      <c r="B134" t="inlineStr">
        <is>
          <t>Somali Shilling</t>
        </is>
      </c>
    </row>
    <row r="135">
      <c r="A135" s="6" t="inlineStr">
        <is>
          <t>LKR</t>
        </is>
      </c>
      <c r="B135" t="inlineStr">
        <is>
          <t>Sri Lanka Rupee</t>
        </is>
      </c>
    </row>
    <row r="136">
      <c r="A136" s="6" t="inlineStr">
        <is>
          <t>SDG</t>
        </is>
      </c>
      <c r="B136" t="inlineStr">
        <is>
          <t>Sudanese Pound</t>
        </is>
      </c>
    </row>
    <row r="137">
      <c r="A137" s="6" t="inlineStr">
        <is>
          <t>SRD</t>
        </is>
      </c>
      <c r="B137" t="inlineStr">
        <is>
          <t>Surinam Dollar</t>
        </is>
      </c>
    </row>
    <row r="138">
      <c r="A138" s="6" t="inlineStr">
        <is>
          <t>SEK</t>
        </is>
      </c>
      <c r="B138" t="inlineStr">
        <is>
          <t>Swedish Krona</t>
        </is>
      </c>
    </row>
    <row r="139">
      <c r="A139" s="6" t="inlineStr">
        <is>
          <t>SVC</t>
        </is>
      </c>
      <c r="B139" t="inlineStr">
        <is>
          <t>El Salvador Colon</t>
        </is>
      </c>
    </row>
    <row r="140">
      <c r="A140" s="6" t="inlineStr">
        <is>
          <t>SZL</t>
        </is>
      </c>
      <c r="B140" t="inlineStr">
        <is>
          <t>Lilangeni</t>
        </is>
      </c>
    </row>
    <row r="141">
      <c r="A141" s="6" t="inlineStr">
        <is>
          <t>SYP</t>
        </is>
      </c>
      <c r="B141" t="inlineStr">
        <is>
          <t>Syrian Pound</t>
        </is>
      </c>
    </row>
    <row r="142">
      <c r="A142" s="6" t="inlineStr">
        <is>
          <t>TWD</t>
        </is>
      </c>
      <c r="B142" t="inlineStr">
        <is>
          <t>New Taiwan Dollar</t>
        </is>
      </c>
    </row>
    <row r="143">
      <c r="A143" s="6" t="inlineStr">
        <is>
          <t>TJS</t>
        </is>
      </c>
      <c r="B143" t="inlineStr">
        <is>
          <t>Somoni</t>
        </is>
      </c>
    </row>
    <row r="144">
      <c r="A144" s="6" t="inlineStr">
        <is>
          <t>TZS</t>
        </is>
      </c>
      <c r="B144" t="inlineStr">
        <is>
          <t>Tanzanian Shilling</t>
        </is>
      </c>
    </row>
    <row r="145">
      <c r="A145" s="6" t="inlineStr">
        <is>
          <t>THB</t>
        </is>
      </c>
      <c r="B145" t="inlineStr">
        <is>
          <t>Baht</t>
        </is>
      </c>
    </row>
    <row r="146">
      <c r="A146" s="6" t="inlineStr">
        <is>
          <t>TOP</t>
        </is>
      </c>
      <c r="B146" t="inlineStr">
        <is>
          <t>Pa’anga</t>
        </is>
      </c>
    </row>
    <row r="147">
      <c r="A147" s="6" t="inlineStr">
        <is>
          <t>TTD</t>
        </is>
      </c>
      <c r="B147" t="inlineStr">
        <is>
          <t>Trinidad and Tobago Dollar</t>
        </is>
      </c>
    </row>
    <row r="148">
      <c r="A148" s="6" t="inlineStr">
        <is>
          <t>TND</t>
        </is>
      </c>
      <c r="B148" t="inlineStr">
        <is>
          <t>Tunisian Dinar</t>
        </is>
      </c>
    </row>
    <row r="149">
      <c r="A149" s="6" t="inlineStr">
        <is>
          <t>TRY</t>
        </is>
      </c>
      <c r="B149" t="inlineStr">
        <is>
          <t>Turkish Lira</t>
        </is>
      </c>
    </row>
    <row r="150">
      <c r="A150" s="6" t="inlineStr">
        <is>
          <t>TMT</t>
        </is>
      </c>
      <c r="B150" t="inlineStr">
        <is>
          <t>New Manat</t>
        </is>
      </c>
    </row>
    <row r="151">
      <c r="A151" s="6" t="inlineStr">
        <is>
          <t>UAH</t>
        </is>
      </c>
      <c r="B151" t="inlineStr">
        <is>
          <t>Hryvnia</t>
        </is>
      </c>
    </row>
    <row r="152">
      <c r="A152" s="6" t="inlineStr">
        <is>
          <t>MRU</t>
        </is>
      </c>
      <c r="B152" t="inlineStr">
        <is>
          <t>Uguiya</t>
        </is>
      </c>
    </row>
    <row r="153">
      <c r="A153" s="6" t="inlineStr">
        <is>
          <t>SMA</t>
        </is>
      </c>
      <c r="B153" t="inlineStr">
        <is>
          <t>VSMG (Veces Salario Minimo General)</t>
        </is>
      </c>
    </row>
    <row r="154">
      <c r="A154" s="6" t="inlineStr">
        <is>
          <t>SSP</t>
        </is>
      </c>
      <c r="B154" t="inlineStr">
        <is>
          <t>Libra sursudanesa</t>
        </is>
      </c>
    </row>
    <row r="155">
      <c r="A155" s="6" t="inlineStr">
        <is>
          <t>STN</t>
        </is>
      </c>
      <c r="B155" t="inlineStr">
        <is>
          <t>Dobra</t>
        </is>
      </c>
    </row>
    <row r="156">
      <c r="A156" s="6" t="inlineStr">
        <is>
          <t>USD</t>
        </is>
      </c>
      <c r="B156" t="inlineStr">
        <is>
          <t>US Dollar</t>
        </is>
      </c>
    </row>
    <row r="157">
      <c r="A157" s="6" t="inlineStr">
        <is>
          <t>XCD</t>
        </is>
      </c>
      <c r="B157" t="inlineStr">
        <is>
          <t>East Caribbean Dollar</t>
        </is>
      </c>
    </row>
    <row r="158">
      <c r="A158" s="6" t="inlineStr">
        <is>
          <t>XOF</t>
        </is>
      </c>
      <c r="B158" t="inlineStr">
        <is>
          <t xml:space="preserve">CFA Franc BCEAO </t>
        </is>
      </c>
    </row>
    <row r="159">
      <c r="A159" s="6" t="inlineStr">
        <is>
          <t>XAF</t>
        </is>
      </c>
      <c r="B159" t="inlineStr">
        <is>
          <t xml:space="preserve">CFA Franc BEAC </t>
        </is>
      </c>
    </row>
    <row r="160">
      <c r="A160" s="6" t="inlineStr">
        <is>
          <t>XPF</t>
        </is>
      </c>
      <c r="B160" t="inlineStr">
        <is>
          <t>CFP Franc</t>
        </is>
      </c>
    </row>
    <row r="161">
      <c r="A161" s="6" t="inlineStr">
        <is>
          <t>XDR</t>
        </is>
      </c>
      <c r="B161" t="inlineStr">
        <is>
          <t>SDR (Special Drawing Right)</t>
        </is>
      </c>
    </row>
    <row r="162">
      <c r="A162" s="6" t="inlineStr">
        <is>
          <t>ZAR</t>
        </is>
      </c>
      <c r="B162" t="inlineStr">
        <is>
          <t>Rand</t>
        </is>
      </c>
    </row>
    <row r="163">
      <c r="A163" s="6" t="inlineStr">
        <is>
          <t>XUA</t>
        </is>
      </c>
      <c r="B163" t="inlineStr">
        <is>
          <t>ADB Unit of Account</t>
        </is>
      </c>
    </row>
    <row r="164">
      <c r="A164" s="6" t="inlineStr">
        <is>
          <t>WST</t>
        </is>
      </c>
      <c r="B164" t="inlineStr">
        <is>
          <t>Tala</t>
        </is>
      </c>
    </row>
    <row r="165">
      <c r="A165" s="6" t="inlineStr">
        <is>
          <t>XSU</t>
        </is>
      </c>
      <c r="B165" t="inlineStr">
        <is>
          <t>Sucre</t>
        </is>
      </c>
    </row>
    <row r="166">
      <c r="A166" s="6" t="inlineStr">
        <is>
          <t>UGX</t>
        </is>
      </c>
      <c r="B166" t="inlineStr">
        <is>
          <t>Uganda Shilling</t>
        </is>
      </c>
    </row>
    <row r="167">
      <c r="A167" s="6" t="inlineStr">
        <is>
          <t>USN</t>
        </is>
      </c>
      <c r="B167" t="inlineStr">
        <is>
          <t xml:space="preserve">US Dollar (Next day) </t>
        </is>
      </c>
    </row>
    <row r="168">
      <c r="A168" s="6" t="inlineStr">
        <is>
          <t>USS</t>
        </is>
      </c>
      <c r="B168" t="inlineStr">
        <is>
          <t xml:space="preserve">US Dollar (Same day) </t>
        </is>
      </c>
    </row>
    <row r="169">
      <c r="A169" s="6" t="inlineStr">
        <is>
          <t>UYU</t>
        </is>
      </c>
      <c r="B169" t="inlineStr">
        <is>
          <t>Peso Uruguayo</t>
        </is>
      </c>
    </row>
    <row r="170">
      <c r="A170" s="6" t="inlineStr">
        <is>
          <t>UYI</t>
        </is>
      </c>
      <c r="B170" t="inlineStr">
        <is>
          <t>Uruguay Peso en Unidades Indexadas</t>
        </is>
      </c>
    </row>
    <row r="171">
      <c r="A171" s="6" t="inlineStr">
        <is>
          <t>UZS</t>
        </is>
      </c>
      <c r="B171" t="inlineStr">
        <is>
          <t>Uzbekistan Sum</t>
        </is>
      </c>
    </row>
    <row r="172">
      <c r="A172" s="6" t="inlineStr">
        <is>
          <t>VUV</t>
        </is>
      </c>
      <c r="B172" t="inlineStr">
        <is>
          <t>Vatu</t>
        </is>
      </c>
    </row>
    <row r="173">
      <c r="A173" s="6" t="inlineStr">
        <is>
          <t>VEF</t>
        </is>
      </c>
      <c r="B173" t="inlineStr">
        <is>
          <t>Bolivar Fuerte</t>
        </is>
      </c>
    </row>
    <row r="174">
      <c r="A174" s="6" t="inlineStr">
        <is>
          <t>VND</t>
        </is>
      </c>
      <c r="B174" t="inlineStr">
        <is>
          <t>Dong</t>
        </is>
      </c>
    </row>
    <row r="175">
      <c r="A175" s="6" t="inlineStr">
        <is>
          <t>YER</t>
        </is>
      </c>
      <c r="B175" t="inlineStr">
        <is>
          <t>Yemeni Rial</t>
        </is>
      </c>
    </row>
    <row r="176">
      <c r="A176" s="6" t="inlineStr">
        <is>
          <t>ZMK</t>
        </is>
      </c>
      <c r="B176" t="inlineStr">
        <is>
          <t>Zambian Kwacha</t>
        </is>
      </c>
    </row>
    <row r="177">
      <c r="A177" s="6" t="inlineStr">
        <is>
          <t>ZWL</t>
        </is>
      </c>
      <c r="B177" t="inlineStr">
        <is>
          <t>Zimbabwe Dollar</t>
        </is>
      </c>
    </row>
    <row r="178">
      <c r="A178" s="6" t="inlineStr">
        <is>
          <t>UYW</t>
        </is>
      </c>
      <c r="B178" t="inlineStr">
        <is>
          <t>Unidad Previsional</t>
        </is>
      </c>
    </row>
    <row r="179">
      <c r="A179" s="6" t="inlineStr">
        <is>
          <t>VES</t>
        </is>
      </c>
      <c r="B179" t="inlineStr">
        <is>
          <t>Bolívar soberano</t>
        </is>
      </c>
    </row>
    <row r="180">
      <c r="A180" s="6" t="inlineStr">
        <is>
          <t>XAG</t>
        </is>
      </c>
      <c r="B180" t="inlineStr">
        <is>
          <t>Plata (una onza troy)</t>
        </is>
      </c>
    </row>
    <row r="181">
      <c r="A181" s="6" t="inlineStr">
        <is>
          <t>XAU</t>
        </is>
      </c>
      <c r="B181" t="inlineStr">
        <is>
          <t>Onza de Oro</t>
        </is>
      </c>
    </row>
    <row r="182">
      <c r="A182" s="6" t="inlineStr">
        <is>
          <t>XBA</t>
        </is>
      </c>
      <c r="B182" t="inlineStr">
        <is>
          <t>Unidad compuesta europea (EURCO) (Unidad del mercados de bonos)</t>
        </is>
      </c>
    </row>
    <row r="183">
      <c r="A183" s="6" t="inlineStr">
        <is>
          <t>XBB</t>
        </is>
      </c>
      <c r="B183" t="inlineStr">
        <is>
          <t>Unidad Monetaria europea (E.M.U.-6) (Unidad del mercado de bonos)</t>
        </is>
      </c>
    </row>
    <row r="184">
      <c r="A184" s="6" t="inlineStr">
        <is>
          <t>XBC</t>
        </is>
      </c>
      <c r="B184" t="inlineStr">
        <is>
          <t>Unidad europea de cuenta 9 (E.U.A.-9) (Unidad del mercado de bonos)</t>
        </is>
      </c>
    </row>
    <row r="185">
      <c r="A185" s="6" t="inlineStr">
        <is>
          <t>XBD</t>
        </is>
      </c>
      <c r="B185" t="inlineStr">
        <is>
          <t>Unidad europea de cuenta 17 (E.U.A.-17) (Unidad del mercado de bonos)</t>
        </is>
      </c>
    </row>
    <row r="186">
      <c r="A186" s="6" t="inlineStr">
        <is>
          <t>XPD</t>
        </is>
      </c>
      <c r="B186" t="inlineStr">
        <is>
          <t>Paladio (una onza troy)</t>
        </is>
      </c>
    </row>
    <row r="187">
      <c r="A187" s="6" t="inlineStr">
        <is>
          <t>XPT</t>
        </is>
      </c>
      <c r="B187" t="inlineStr">
        <is>
          <t>Platino (una onza troy)</t>
        </is>
      </c>
    </row>
    <row r="188">
      <c r="A188" s="6" t="inlineStr">
        <is>
          <t>XTS</t>
        </is>
      </c>
      <c r="B188" t="inlineStr">
        <is>
          <t>Reservado para pruebas</t>
        </is>
      </c>
    </row>
    <row r="189">
      <c r="A189" s="6" t="inlineStr">
        <is>
          <t>XXX</t>
        </is>
      </c>
      <c r="B189" t="inlineStr">
        <is>
          <t>Sin divisa</t>
        </is>
      </c>
    </row>
    <row r="190">
      <c r="A190" s="6" t="inlineStr">
        <is>
          <t>ZMW</t>
        </is>
      </c>
      <c r="B190" t="inlineStr">
        <is>
          <t>Kwacha zambiano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201"/>
  <sheetViews>
    <sheetView workbookViewId="0">
      <selection activeCell="A1" sqref="A1"/>
    </sheetView>
  </sheetViews>
  <sheetFormatPr baseColWidth="8" defaultRowHeight="15"/>
  <sheetData>
    <row r="2">
      <c r="A2">
        <f>IF(AND('OFF_CONVAL'!A2&lt;&gt;"",NOT(ISNUMBER('OFF_CONVAL'!A2))),1,0)</f>
        <v/>
      </c>
      <c r="B2">
        <f>IF(AND('OFF_CONVAL'!B2&lt;&gt;"",LEN('OFF_CONVAL'!B2)&gt;20),1,0)</f>
        <v/>
      </c>
      <c r="C2">
        <f>IF(AND('OFF_CONVAL'!C2&lt;&gt;"",OR(LEN('OFF_CONVAL'!C2)&gt;1,COUNTIF(CL_POSICIONOPERACION_V4,'OFF_CONVAL'!C2)=0)),1,0)</f>
        <v/>
      </c>
      <c r="D2">
        <f>IF(AND('OFF_CONVAL'!D2&lt;&gt;"",OR(LEN('OFF_CONVAL'!D2)&gt;2,COUNTIF(CL_OBJ_OPE_V1,'OFF_CONVAL'!D2)=0)),1,0)</f>
        <v/>
      </c>
      <c r="E2">
        <f>IF(AND('OFF_CONVAL'!E2&lt;&gt;"",COUNTIF(CL_PAQ_EST_DER_V1,'OFF_CONVAL'!E2)=0),1,0)</f>
        <v/>
      </c>
      <c r="F2">
        <f>IF(AND('OFF_CONVAL'!F2&lt;&gt;"",LEN('OFF_CONVAL'!F2)&gt;20),1,0)</f>
        <v/>
      </c>
      <c r="G2">
        <f>IF(AND('OFF_CONVAL'!G2&lt;&gt;"",IF(ISNUMBER('OFF_CONVAL'!G2),OR('OFF_CONVAL'!G2&lt;&gt;INT('OFF_CONVAL'!G2),LEN(TEXT(ABS('OFF_CONVAL'!G2),"0"))&gt;3),TRUE)),1,0)</f>
        <v/>
      </c>
      <c r="H2">
        <f>IF(AND('OFF_CONVAL'!H2&lt;&gt;"",IF(ISNUMBER('OFF_CONVAL'!H2),OR('OFF_CONVAL'!H2&lt;&gt;INT('OFF_CONVAL'!H2),LEN(TEXT(ABS('OFF_CONVAL'!H2),"0"))&gt;15),TRUE)),1,0)</f>
        <v/>
      </c>
      <c r="I2">
        <f>IF(AND('OFF_CONVAL'!I2&lt;&gt;"",OR(LEN('OFF_CONVAL'!I2)&gt;3,COUNTIF(CL_MONEDAISO,'OFF_CONVAL'!I2)=0)),1,0)</f>
        <v/>
      </c>
      <c r="J2">
        <f>IF(AND('OFF_CONVAL'!J2&lt;&gt;"",IF(ISNUMBER('OFF_CONVAL'!J2),OR('OFF_CONVAL'!J2&lt;&gt;INT('OFF_CONVAL'!J2),LEN(TEXT(ABS('OFF_CONVAL'!J2),"0"))&gt;15),TRUE)),1,0)</f>
        <v/>
      </c>
      <c r="K2">
        <f>IF(AND('OFF_CONVAL'!K2&lt;&gt;"",OR(LEN('OFF_CONVAL'!K2)&gt;3,COUNTIF(CL_MONEDAISO,'OFF_CONVAL'!K2)=0)),1,0)</f>
        <v/>
      </c>
      <c r="L2">
        <f>IF(AND('OFF_CONVAL'!L2&lt;&gt;"",IF(ISNUMBER('OFF_CONVAL'!L2),OR('OFF_CONVAL'!L2&lt;&gt;INT('OFF_CONVAL'!L2),LEN(TEXT(ABS('OFF_CONVAL'!L2),"0"))&gt;5),TRUE)),1,0)</f>
        <v/>
      </c>
      <c r="M2">
        <f>IF(AND('OFF_CONVAL'!M2&lt;&gt;"",IF(ISNUMBER('OFF_CONVAL'!M2),OR('OFF_CONVAL'!M2&lt;&gt;INT('OFF_CONVAL'!M2),LEN(TEXT(ABS('OFF_CONVAL'!M2),"0"))&gt;5),TRUE)),1,0)</f>
        <v/>
      </c>
      <c r="N2">
        <f>IF(AND('OFF_CONVAL'!N2&lt;&gt;"",LEN('OFF_CONVAL'!N2)&gt;20),1,0)</f>
        <v/>
      </c>
      <c r="O2">
        <f>IF(AND('OFF_CONVAL'!O2&lt;&gt;"",IF(ISNUMBER('OFF_CONVAL'!O2),OR('OFF_CONVAL'!O2&lt;&gt;INT('OFF_CONVAL'!O2),LEN(TEXT(ABS('OFF_CONVAL'!O2),"0"))&gt;15),TRUE)),1,0)</f>
        <v/>
      </c>
      <c r="P2">
        <f>IF(AND('OFF_CONVAL'!P2&lt;&gt;"",OR(LEN('OFF_CONVAL'!P2)&gt;3,COUNTIF(CL_MONEDAISO,'OFF_CONVAL'!P2)=0)),1,0)</f>
        <v/>
      </c>
      <c r="Q2">
        <f>IF(AND('OFF_CONVAL'!Q2&lt;&gt;"",NOT(ISNUMBER('OFF_CONVAL'!Q2))),1,0)</f>
        <v/>
      </c>
    </row>
    <row r="3">
      <c r="A3">
        <f>IF(AND('OFF_CONVAL'!A3&lt;&gt;"",NOT(ISNUMBER('OFF_CONVAL'!A3))),1,0)</f>
        <v/>
      </c>
      <c r="B3">
        <f>IF(AND('OFF_CONVAL'!B3&lt;&gt;"",LEN('OFF_CONVAL'!B3)&gt;20),1,0)</f>
        <v/>
      </c>
      <c r="C3">
        <f>IF(AND('OFF_CONVAL'!C3&lt;&gt;"",OR(LEN('OFF_CONVAL'!C3)&gt;1,COUNTIF(CL_POSICIONOPERACION_V4,'OFF_CONVAL'!C3)=0)),1,0)</f>
        <v/>
      </c>
      <c r="D3">
        <f>IF(AND('OFF_CONVAL'!D3&lt;&gt;"",OR(LEN('OFF_CONVAL'!D3)&gt;2,COUNTIF(CL_OBJ_OPE_V1,'OFF_CONVAL'!D3)=0)),1,0)</f>
        <v/>
      </c>
      <c r="E3">
        <f>IF(AND('OFF_CONVAL'!E3&lt;&gt;"",COUNTIF(CL_PAQ_EST_DER_V1,'OFF_CONVAL'!E3)=0),1,0)</f>
        <v/>
      </c>
      <c r="F3">
        <f>IF(AND('OFF_CONVAL'!F3&lt;&gt;"",LEN('OFF_CONVAL'!F3)&gt;20),1,0)</f>
        <v/>
      </c>
      <c r="G3">
        <f>IF(AND('OFF_CONVAL'!G3&lt;&gt;"",IF(ISNUMBER('OFF_CONVAL'!G3),OR('OFF_CONVAL'!G3&lt;&gt;INT('OFF_CONVAL'!G3),LEN(TEXT(ABS('OFF_CONVAL'!G3),"0"))&gt;3),TRUE)),1,0)</f>
        <v/>
      </c>
      <c r="H3">
        <f>IF(AND('OFF_CONVAL'!H3&lt;&gt;"",IF(ISNUMBER('OFF_CONVAL'!H3),OR('OFF_CONVAL'!H3&lt;&gt;INT('OFF_CONVAL'!H3),LEN(TEXT(ABS('OFF_CONVAL'!H3),"0"))&gt;15),TRUE)),1,0)</f>
        <v/>
      </c>
      <c r="I3">
        <f>IF(AND('OFF_CONVAL'!I3&lt;&gt;"",OR(LEN('OFF_CONVAL'!I3)&gt;3,COUNTIF(CL_MONEDAISO,'OFF_CONVAL'!I3)=0)),1,0)</f>
        <v/>
      </c>
      <c r="J3">
        <f>IF(AND('OFF_CONVAL'!J3&lt;&gt;"",IF(ISNUMBER('OFF_CONVAL'!J3),OR('OFF_CONVAL'!J3&lt;&gt;INT('OFF_CONVAL'!J3),LEN(TEXT(ABS('OFF_CONVAL'!J3),"0"))&gt;15),TRUE)),1,0)</f>
        <v/>
      </c>
      <c r="K3">
        <f>IF(AND('OFF_CONVAL'!K3&lt;&gt;"",OR(LEN('OFF_CONVAL'!K3)&gt;3,COUNTIF(CL_MONEDAISO,'OFF_CONVAL'!K3)=0)),1,0)</f>
        <v/>
      </c>
      <c r="L3">
        <f>IF(AND('OFF_CONVAL'!L3&lt;&gt;"",IF(ISNUMBER('OFF_CONVAL'!L3),OR('OFF_CONVAL'!L3&lt;&gt;INT('OFF_CONVAL'!L3),LEN(TEXT(ABS('OFF_CONVAL'!L3),"0"))&gt;5),TRUE)),1,0)</f>
        <v/>
      </c>
      <c r="M3">
        <f>IF(AND('OFF_CONVAL'!M3&lt;&gt;"",IF(ISNUMBER('OFF_CONVAL'!M3),OR('OFF_CONVAL'!M3&lt;&gt;INT('OFF_CONVAL'!M3),LEN(TEXT(ABS('OFF_CONVAL'!M3),"0"))&gt;5),TRUE)),1,0)</f>
        <v/>
      </c>
      <c r="N3">
        <f>IF(AND('OFF_CONVAL'!N3&lt;&gt;"",LEN('OFF_CONVAL'!N3)&gt;20),1,0)</f>
        <v/>
      </c>
      <c r="O3">
        <f>IF(AND('OFF_CONVAL'!O3&lt;&gt;"",IF(ISNUMBER('OFF_CONVAL'!O3),OR('OFF_CONVAL'!O3&lt;&gt;INT('OFF_CONVAL'!O3),LEN(TEXT(ABS('OFF_CONVAL'!O3),"0"))&gt;15),TRUE)),1,0)</f>
        <v/>
      </c>
      <c r="P3">
        <f>IF(AND('OFF_CONVAL'!P3&lt;&gt;"",OR(LEN('OFF_CONVAL'!P3)&gt;3,COUNTIF(CL_MONEDAISO,'OFF_CONVAL'!P3)=0)),1,0)</f>
        <v/>
      </c>
      <c r="Q3">
        <f>IF(AND('OFF_CONVAL'!Q3&lt;&gt;"",NOT(ISNUMBER('OFF_CONVAL'!Q3))),1,0)</f>
        <v/>
      </c>
    </row>
    <row r="4">
      <c r="A4">
        <f>IF(AND('OFF_CONVAL'!A4&lt;&gt;"",NOT(ISNUMBER('OFF_CONVAL'!A4))),1,0)</f>
        <v/>
      </c>
      <c r="B4">
        <f>IF(AND('OFF_CONVAL'!B4&lt;&gt;"",LEN('OFF_CONVAL'!B4)&gt;20),1,0)</f>
        <v/>
      </c>
      <c r="C4">
        <f>IF(AND('OFF_CONVAL'!C4&lt;&gt;"",OR(LEN('OFF_CONVAL'!C4)&gt;1,COUNTIF(CL_POSICIONOPERACION_V4,'OFF_CONVAL'!C4)=0)),1,0)</f>
        <v/>
      </c>
      <c r="D4">
        <f>IF(AND('OFF_CONVAL'!D4&lt;&gt;"",OR(LEN('OFF_CONVAL'!D4)&gt;2,COUNTIF(CL_OBJ_OPE_V1,'OFF_CONVAL'!D4)=0)),1,0)</f>
        <v/>
      </c>
      <c r="E4">
        <f>IF(AND('OFF_CONVAL'!E4&lt;&gt;"",COUNTIF(CL_PAQ_EST_DER_V1,'OFF_CONVAL'!E4)=0),1,0)</f>
        <v/>
      </c>
      <c r="F4">
        <f>IF(AND('OFF_CONVAL'!F4&lt;&gt;"",LEN('OFF_CONVAL'!F4)&gt;20),1,0)</f>
        <v/>
      </c>
      <c r="G4">
        <f>IF(AND('OFF_CONVAL'!G4&lt;&gt;"",IF(ISNUMBER('OFF_CONVAL'!G4),OR('OFF_CONVAL'!G4&lt;&gt;INT('OFF_CONVAL'!G4),LEN(TEXT(ABS('OFF_CONVAL'!G4),"0"))&gt;3),TRUE)),1,0)</f>
        <v/>
      </c>
      <c r="H4">
        <f>IF(AND('OFF_CONVAL'!H4&lt;&gt;"",IF(ISNUMBER('OFF_CONVAL'!H4),OR('OFF_CONVAL'!H4&lt;&gt;INT('OFF_CONVAL'!H4),LEN(TEXT(ABS('OFF_CONVAL'!H4),"0"))&gt;15),TRUE)),1,0)</f>
        <v/>
      </c>
      <c r="I4">
        <f>IF(AND('OFF_CONVAL'!I4&lt;&gt;"",OR(LEN('OFF_CONVAL'!I4)&gt;3,COUNTIF(CL_MONEDAISO,'OFF_CONVAL'!I4)=0)),1,0)</f>
        <v/>
      </c>
      <c r="J4">
        <f>IF(AND('OFF_CONVAL'!J4&lt;&gt;"",IF(ISNUMBER('OFF_CONVAL'!J4),OR('OFF_CONVAL'!J4&lt;&gt;INT('OFF_CONVAL'!J4),LEN(TEXT(ABS('OFF_CONVAL'!J4),"0"))&gt;15),TRUE)),1,0)</f>
        <v/>
      </c>
      <c r="K4">
        <f>IF(AND('OFF_CONVAL'!K4&lt;&gt;"",OR(LEN('OFF_CONVAL'!K4)&gt;3,COUNTIF(CL_MONEDAISO,'OFF_CONVAL'!K4)=0)),1,0)</f>
        <v/>
      </c>
      <c r="L4">
        <f>IF(AND('OFF_CONVAL'!L4&lt;&gt;"",IF(ISNUMBER('OFF_CONVAL'!L4),OR('OFF_CONVAL'!L4&lt;&gt;INT('OFF_CONVAL'!L4),LEN(TEXT(ABS('OFF_CONVAL'!L4),"0"))&gt;5),TRUE)),1,0)</f>
        <v/>
      </c>
      <c r="M4">
        <f>IF(AND('OFF_CONVAL'!M4&lt;&gt;"",IF(ISNUMBER('OFF_CONVAL'!M4),OR('OFF_CONVAL'!M4&lt;&gt;INT('OFF_CONVAL'!M4),LEN(TEXT(ABS('OFF_CONVAL'!M4),"0"))&gt;5),TRUE)),1,0)</f>
        <v/>
      </c>
      <c r="N4">
        <f>IF(AND('OFF_CONVAL'!N4&lt;&gt;"",LEN('OFF_CONVAL'!N4)&gt;20),1,0)</f>
        <v/>
      </c>
      <c r="O4">
        <f>IF(AND('OFF_CONVAL'!O4&lt;&gt;"",IF(ISNUMBER('OFF_CONVAL'!O4),OR('OFF_CONVAL'!O4&lt;&gt;INT('OFF_CONVAL'!O4),LEN(TEXT(ABS('OFF_CONVAL'!O4),"0"))&gt;15),TRUE)),1,0)</f>
        <v/>
      </c>
      <c r="P4">
        <f>IF(AND('OFF_CONVAL'!P4&lt;&gt;"",OR(LEN('OFF_CONVAL'!P4)&gt;3,COUNTIF(CL_MONEDAISO,'OFF_CONVAL'!P4)=0)),1,0)</f>
        <v/>
      </c>
      <c r="Q4">
        <f>IF(AND('OFF_CONVAL'!Q4&lt;&gt;"",NOT(ISNUMBER('OFF_CONVAL'!Q4))),1,0)</f>
        <v/>
      </c>
    </row>
    <row r="5">
      <c r="A5">
        <f>IF(AND('OFF_CONVAL'!A5&lt;&gt;"",NOT(ISNUMBER('OFF_CONVAL'!A5))),1,0)</f>
        <v/>
      </c>
      <c r="B5">
        <f>IF(AND('OFF_CONVAL'!B5&lt;&gt;"",LEN('OFF_CONVAL'!B5)&gt;20),1,0)</f>
        <v/>
      </c>
      <c r="C5">
        <f>IF(AND('OFF_CONVAL'!C5&lt;&gt;"",OR(LEN('OFF_CONVAL'!C5)&gt;1,COUNTIF(CL_POSICIONOPERACION_V4,'OFF_CONVAL'!C5)=0)),1,0)</f>
        <v/>
      </c>
      <c r="D5">
        <f>IF(AND('OFF_CONVAL'!D5&lt;&gt;"",OR(LEN('OFF_CONVAL'!D5)&gt;2,COUNTIF(CL_OBJ_OPE_V1,'OFF_CONVAL'!D5)=0)),1,0)</f>
        <v/>
      </c>
      <c r="E5">
        <f>IF(AND('OFF_CONVAL'!E5&lt;&gt;"",COUNTIF(CL_PAQ_EST_DER_V1,'OFF_CONVAL'!E5)=0),1,0)</f>
        <v/>
      </c>
      <c r="F5">
        <f>IF(AND('OFF_CONVAL'!F5&lt;&gt;"",LEN('OFF_CONVAL'!F5)&gt;20),1,0)</f>
        <v/>
      </c>
      <c r="G5">
        <f>IF(AND('OFF_CONVAL'!G5&lt;&gt;"",IF(ISNUMBER('OFF_CONVAL'!G5),OR('OFF_CONVAL'!G5&lt;&gt;INT('OFF_CONVAL'!G5),LEN(TEXT(ABS('OFF_CONVAL'!G5),"0"))&gt;3),TRUE)),1,0)</f>
        <v/>
      </c>
      <c r="H5">
        <f>IF(AND('OFF_CONVAL'!H5&lt;&gt;"",IF(ISNUMBER('OFF_CONVAL'!H5),OR('OFF_CONVAL'!H5&lt;&gt;INT('OFF_CONVAL'!H5),LEN(TEXT(ABS('OFF_CONVAL'!H5),"0"))&gt;15),TRUE)),1,0)</f>
        <v/>
      </c>
      <c r="I5">
        <f>IF(AND('OFF_CONVAL'!I5&lt;&gt;"",OR(LEN('OFF_CONVAL'!I5)&gt;3,COUNTIF(CL_MONEDAISO,'OFF_CONVAL'!I5)=0)),1,0)</f>
        <v/>
      </c>
      <c r="J5">
        <f>IF(AND('OFF_CONVAL'!J5&lt;&gt;"",IF(ISNUMBER('OFF_CONVAL'!J5),OR('OFF_CONVAL'!J5&lt;&gt;INT('OFF_CONVAL'!J5),LEN(TEXT(ABS('OFF_CONVAL'!J5),"0"))&gt;15),TRUE)),1,0)</f>
        <v/>
      </c>
      <c r="K5">
        <f>IF(AND('OFF_CONVAL'!K5&lt;&gt;"",OR(LEN('OFF_CONVAL'!K5)&gt;3,COUNTIF(CL_MONEDAISO,'OFF_CONVAL'!K5)=0)),1,0)</f>
        <v/>
      </c>
      <c r="L5">
        <f>IF(AND('OFF_CONVAL'!L5&lt;&gt;"",IF(ISNUMBER('OFF_CONVAL'!L5),OR('OFF_CONVAL'!L5&lt;&gt;INT('OFF_CONVAL'!L5),LEN(TEXT(ABS('OFF_CONVAL'!L5),"0"))&gt;5),TRUE)),1,0)</f>
        <v/>
      </c>
      <c r="M5">
        <f>IF(AND('OFF_CONVAL'!M5&lt;&gt;"",IF(ISNUMBER('OFF_CONVAL'!M5),OR('OFF_CONVAL'!M5&lt;&gt;INT('OFF_CONVAL'!M5),LEN(TEXT(ABS('OFF_CONVAL'!M5),"0"))&gt;5),TRUE)),1,0)</f>
        <v/>
      </c>
      <c r="N5">
        <f>IF(AND('OFF_CONVAL'!N5&lt;&gt;"",LEN('OFF_CONVAL'!N5)&gt;20),1,0)</f>
        <v/>
      </c>
      <c r="O5">
        <f>IF(AND('OFF_CONVAL'!O5&lt;&gt;"",IF(ISNUMBER('OFF_CONVAL'!O5),OR('OFF_CONVAL'!O5&lt;&gt;INT('OFF_CONVAL'!O5),LEN(TEXT(ABS('OFF_CONVAL'!O5),"0"))&gt;15),TRUE)),1,0)</f>
        <v/>
      </c>
      <c r="P5">
        <f>IF(AND('OFF_CONVAL'!P5&lt;&gt;"",OR(LEN('OFF_CONVAL'!P5)&gt;3,COUNTIF(CL_MONEDAISO,'OFF_CONVAL'!P5)=0)),1,0)</f>
        <v/>
      </c>
      <c r="Q5">
        <f>IF(AND('OFF_CONVAL'!Q5&lt;&gt;"",NOT(ISNUMBER('OFF_CONVAL'!Q5))),1,0)</f>
        <v/>
      </c>
    </row>
    <row r="6">
      <c r="A6">
        <f>IF(AND('OFF_CONVAL'!A6&lt;&gt;"",NOT(ISNUMBER('OFF_CONVAL'!A6))),1,0)</f>
        <v/>
      </c>
      <c r="B6">
        <f>IF(AND('OFF_CONVAL'!B6&lt;&gt;"",LEN('OFF_CONVAL'!B6)&gt;20),1,0)</f>
        <v/>
      </c>
      <c r="C6">
        <f>IF(AND('OFF_CONVAL'!C6&lt;&gt;"",OR(LEN('OFF_CONVAL'!C6)&gt;1,COUNTIF(CL_POSICIONOPERACION_V4,'OFF_CONVAL'!C6)=0)),1,0)</f>
        <v/>
      </c>
      <c r="D6">
        <f>IF(AND('OFF_CONVAL'!D6&lt;&gt;"",OR(LEN('OFF_CONVAL'!D6)&gt;2,COUNTIF(CL_OBJ_OPE_V1,'OFF_CONVAL'!D6)=0)),1,0)</f>
        <v/>
      </c>
      <c r="E6">
        <f>IF(AND('OFF_CONVAL'!E6&lt;&gt;"",COUNTIF(CL_PAQ_EST_DER_V1,'OFF_CONVAL'!E6)=0),1,0)</f>
        <v/>
      </c>
      <c r="F6">
        <f>IF(AND('OFF_CONVAL'!F6&lt;&gt;"",LEN('OFF_CONVAL'!F6)&gt;20),1,0)</f>
        <v/>
      </c>
      <c r="G6">
        <f>IF(AND('OFF_CONVAL'!G6&lt;&gt;"",IF(ISNUMBER('OFF_CONVAL'!G6),OR('OFF_CONVAL'!G6&lt;&gt;INT('OFF_CONVAL'!G6),LEN(TEXT(ABS('OFF_CONVAL'!G6),"0"))&gt;3),TRUE)),1,0)</f>
        <v/>
      </c>
      <c r="H6">
        <f>IF(AND('OFF_CONVAL'!H6&lt;&gt;"",IF(ISNUMBER('OFF_CONVAL'!H6),OR('OFF_CONVAL'!H6&lt;&gt;INT('OFF_CONVAL'!H6),LEN(TEXT(ABS('OFF_CONVAL'!H6),"0"))&gt;15),TRUE)),1,0)</f>
        <v/>
      </c>
      <c r="I6">
        <f>IF(AND('OFF_CONVAL'!I6&lt;&gt;"",OR(LEN('OFF_CONVAL'!I6)&gt;3,COUNTIF(CL_MONEDAISO,'OFF_CONVAL'!I6)=0)),1,0)</f>
        <v/>
      </c>
      <c r="J6">
        <f>IF(AND('OFF_CONVAL'!J6&lt;&gt;"",IF(ISNUMBER('OFF_CONVAL'!J6),OR('OFF_CONVAL'!J6&lt;&gt;INT('OFF_CONVAL'!J6),LEN(TEXT(ABS('OFF_CONVAL'!J6),"0"))&gt;15),TRUE)),1,0)</f>
        <v/>
      </c>
      <c r="K6">
        <f>IF(AND('OFF_CONVAL'!K6&lt;&gt;"",OR(LEN('OFF_CONVAL'!K6)&gt;3,COUNTIF(CL_MONEDAISO,'OFF_CONVAL'!K6)=0)),1,0)</f>
        <v/>
      </c>
      <c r="L6">
        <f>IF(AND('OFF_CONVAL'!L6&lt;&gt;"",IF(ISNUMBER('OFF_CONVAL'!L6),OR('OFF_CONVAL'!L6&lt;&gt;INT('OFF_CONVAL'!L6),LEN(TEXT(ABS('OFF_CONVAL'!L6),"0"))&gt;5),TRUE)),1,0)</f>
        <v/>
      </c>
      <c r="M6">
        <f>IF(AND('OFF_CONVAL'!M6&lt;&gt;"",IF(ISNUMBER('OFF_CONVAL'!M6),OR('OFF_CONVAL'!M6&lt;&gt;INT('OFF_CONVAL'!M6),LEN(TEXT(ABS('OFF_CONVAL'!M6),"0"))&gt;5),TRUE)),1,0)</f>
        <v/>
      </c>
      <c r="N6">
        <f>IF(AND('OFF_CONVAL'!N6&lt;&gt;"",LEN('OFF_CONVAL'!N6)&gt;20),1,0)</f>
        <v/>
      </c>
      <c r="O6">
        <f>IF(AND('OFF_CONVAL'!O6&lt;&gt;"",IF(ISNUMBER('OFF_CONVAL'!O6),OR('OFF_CONVAL'!O6&lt;&gt;INT('OFF_CONVAL'!O6),LEN(TEXT(ABS('OFF_CONVAL'!O6),"0"))&gt;15),TRUE)),1,0)</f>
        <v/>
      </c>
      <c r="P6">
        <f>IF(AND('OFF_CONVAL'!P6&lt;&gt;"",OR(LEN('OFF_CONVAL'!P6)&gt;3,COUNTIF(CL_MONEDAISO,'OFF_CONVAL'!P6)=0)),1,0)</f>
        <v/>
      </c>
      <c r="Q6">
        <f>IF(AND('OFF_CONVAL'!Q6&lt;&gt;"",NOT(ISNUMBER('OFF_CONVAL'!Q6))),1,0)</f>
        <v/>
      </c>
    </row>
    <row r="7">
      <c r="A7">
        <f>IF(AND('OFF_CONVAL'!A7&lt;&gt;"",NOT(ISNUMBER('OFF_CONVAL'!A7))),1,0)</f>
        <v/>
      </c>
      <c r="B7">
        <f>IF(AND('OFF_CONVAL'!B7&lt;&gt;"",LEN('OFF_CONVAL'!B7)&gt;20),1,0)</f>
        <v/>
      </c>
      <c r="C7">
        <f>IF(AND('OFF_CONVAL'!C7&lt;&gt;"",OR(LEN('OFF_CONVAL'!C7)&gt;1,COUNTIF(CL_POSICIONOPERACION_V4,'OFF_CONVAL'!C7)=0)),1,0)</f>
        <v/>
      </c>
      <c r="D7">
        <f>IF(AND('OFF_CONVAL'!D7&lt;&gt;"",OR(LEN('OFF_CONVAL'!D7)&gt;2,COUNTIF(CL_OBJ_OPE_V1,'OFF_CONVAL'!D7)=0)),1,0)</f>
        <v/>
      </c>
      <c r="E7">
        <f>IF(AND('OFF_CONVAL'!E7&lt;&gt;"",COUNTIF(CL_PAQ_EST_DER_V1,'OFF_CONVAL'!E7)=0),1,0)</f>
        <v/>
      </c>
      <c r="F7">
        <f>IF(AND('OFF_CONVAL'!F7&lt;&gt;"",LEN('OFF_CONVAL'!F7)&gt;20),1,0)</f>
        <v/>
      </c>
      <c r="G7">
        <f>IF(AND('OFF_CONVAL'!G7&lt;&gt;"",IF(ISNUMBER('OFF_CONVAL'!G7),OR('OFF_CONVAL'!G7&lt;&gt;INT('OFF_CONVAL'!G7),LEN(TEXT(ABS('OFF_CONVAL'!G7),"0"))&gt;3),TRUE)),1,0)</f>
        <v/>
      </c>
      <c r="H7">
        <f>IF(AND('OFF_CONVAL'!H7&lt;&gt;"",IF(ISNUMBER('OFF_CONVAL'!H7),OR('OFF_CONVAL'!H7&lt;&gt;INT('OFF_CONVAL'!H7),LEN(TEXT(ABS('OFF_CONVAL'!H7),"0"))&gt;15),TRUE)),1,0)</f>
        <v/>
      </c>
      <c r="I7">
        <f>IF(AND('OFF_CONVAL'!I7&lt;&gt;"",OR(LEN('OFF_CONVAL'!I7)&gt;3,COUNTIF(CL_MONEDAISO,'OFF_CONVAL'!I7)=0)),1,0)</f>
        <v/>
      </c>
      <c r="J7">
        <f>IF(AND('OFF_CONVAL'!J7&lt;&gt;"",IF(ISNUMBER('OFF_CONVAL'!J7),OR('OFF_CONVAL'!J7&lt;&gt;INT('OFF_CONVAL'!J7),LEN(TEXT(ABS('OFF_CONVAL'!J7),"0"))&gt;15),TRUE)),1,0)</f>
        <v/>
      </c>
      <c r="K7">
        <f>IF(AND('OFF_CONVAL'!K7&lt;&gt;"",OR(LEN('OFF_CONVAL'!K7)&gt;3,COUNTIF(CL_MONEDAISO,'OFF_CONVAL'!K7)=0)),1,0)</f>
        <v/>
      </c>
      <c r="L7">
        <f>IF(AND('OFF_CONVAL'!L7&lt;&gt;"",IF(ISNUMBER('OFF_CONVAL'!L7),OR('OFF_CONVAL'!L7&lt;&gt;INT('OFF_CONVAL'!L7),LEN(TEXT(ABS('OFF_CONVAL'!L7),"0"))&gt;5),TRUE)),1,0)</f>
        <v/>
      </c>
      <c r="M7">
        <f>IF(AND('OFF_CONVAL'!M7&lt;&gt;"",IF(ISNUMBER('OFF_CONVAL'!M7),OR('OFF_CONVAL'!M7&lt;&gt;INT('OFF_CONVAL'!M7),LEN(TEXT(ABS('OFF_CONVAL'!M7),"0"))&gt;5),TRUE)),1,0)</f>
        <v/>
      </c>
      <c r="N7">
        <f>IF(AND('OFF_CONVAL'!N7&lt;&gt;"",LEN('OFF_CONVAL'!N7)&gt;20),1,0)</f>
        <v/>
      </c>
      <c r="O7">
        <f>IF(AND('OFF_CONVAL'!O7&lt;&gt;"",IF(ISNUMBER('OFF_CONVAL'!O7),OR('OFF_CONVAL'!O7&lt;&gt;INT('OFF_CONVAL'!O7),LEN(TEXT(ABS('OFF_CONVAL'!O7),"0"))&gt;15),TRUE)),1,0)</f>
        <v/>
      </c>
      <c r="P7">
        <f>IF(AND('OFF_CONVAL'!P7&lt;&gt;"",OR(LEN('OFF_CONVAL'!P7)&gt;3,COUNTIF(CL_MONEDAISO,'OFF_CONVAL'!P7)=0)),1,0)</f>
        <v/>
      </c>
      <c r="Q7">
        <f>IF(AND('OFF_CONVAL'!Q7&lt;&gt;"",NOT(ISNUMBER('OFF_CONVAL'!Q7))),1,0)</f>
        <v/>
      </c>
    </row>
    <row r="8">
      <c r="A8">
        <f>IF(AND('OFF_CONVAL'!A8&lt;&gt;"",NOT(ISNUMBER('OFF_CONVAL'!A8))),1,0)</f>
        <v/>
      </c>
      <c r="B8">
        <f>IF(AND('OFF_CONVAL'!B8&lt;&gt;"",LEN('OFF_CONVAL'!B8)&gt;20),1,0)</f>
        <v/>
      </c>
      <c r="C8">
        <f>IF(AND('OFF_CONVAL'!C8&lt;&gt;"",OR(LEN('OFF_CONVAL'!C8)&gt;1,COUNTIF(CL_POSICIONOPERACION_V4,'OFF_CONVAL'!C8)=0)),1,0)</f>
        <v/>
      </c>
      <c r="D8">
        <f>IF(AND('OFF_CONVAL'!D8&lt;&gt;"",OR(LEN('OFF_CONVAL'!D8)&gt;2,COUNTIF(CL_OBJ_OPE_V1,'OFF_CONVAL'!D8)=0)),1,0)</f>
        <v/>
      </c>
      <c r="E8">
        <f>IF(AND('OFF_CONVAL'!E8&lt;&gt;"",COUNTIF(CL_PAQ_EST_DER_V1,'OFF_CONVAL'!E8)=0),1,0)</f>
        <v/>
      </c>
      <c r="F8">
        <f>IF(AND('OFF_CONVAL'!F8&lt;&gt;"",LEN('OFF_CONVAL'!F8)&gt;20),1,0)</f>
        <v/>
      </c>
      <c r="G8">
        <f>IF(AND('OFF_CONVAL'!G8&lt;&gt;"",IF(ISNUMBER('OFF_CONVAL'!G8),OR('OFF_CONVAL'!G8&lt;&gt;INT('OFF_CONVAL'!G8),LEN(TEXT(ABS('OFF_CONVAL'!G8),"0"))&gt;3),TRUE)),1,0)</f>
        <v/>
      </c>
      <c r="H8">
        <f>IF(AND('OFF_CONVAL'!H8&lt;&gt;"",IF(ISNUMBER('OFF_CONVAL'!H8),OR('OFF_CONVAL'!H8&lt;&gt;INT('OFF_CONVAL'!H8),LEN(TEXT(ABS('OFF_CONVAL'!H8),"0"))&gt;15),TRUE)),1,0)</f>
        <v/>
      </c>
      <c r="I8">
        <f>IF(AND('OFF_CONVAL'!I8&lt;&gt;"",OR(LEN('OFF_CONVAL'!I8)&gt;3,COUNTIF(CL_MONEDAISO,'OFF_CONVAL'!I8)=0)),1,0)</f>
        <v/>
      </c>
      <c r="J8">
        <f>IF(AND('OFF_CONVAL'!J8&lt;&gt;"",IF(ISNUMBER('OFF_CONVAL'!J8),OR('OFF_CONVAL'!J8&lt;&gt;INT('OFF_CONVAL'!J8),LEN(TEXT(ABS('OFF_CONVAL'!J8),"0"))&gt;15),TRUE)),1,0)</f>
        <v/>
      </c>
      <c r="K8">
        <f>IF(AND('OFF_CONVAL'!K8&lt;&gt;"",OR(LEN('OFF_CONVAL'!K8)&gt;3,COUNTIF(CL_MONEDAISO,'OFF_CONVAL'!K8)=0)),1,0)</f>
        <v/>
      </c>
      <c r="L8">
        <f>IF(AND('OFF_CONVAL'!L8&lt;&gt;"",IF(ISNUMBER('OFF_CONVAL'!L8),OR('OFF_CONVAL'!L8&lt;&gt;INT('OFF_CONVAL'!L8),LEN(TEXT(ABS('OFF_CONVAL'!L8),"0"))&gt;5),TRUE)),1,0)</f>
        <v/>
      </c>
      <c r="M8">
        <f>IF(AND('OFF_CONVAL'!M8&lt;&gt;"",IF(ISNUMBER('OFF_CONVAL'!M8),OR('OFF_CONVAL'!M8&lt;&gt;INT('OFF_CONVAL'!M8),LEN(TEXT(ABS('OFF_CONVAL'!M8),"0"))&gt;5),TRUE)),1,0)</f>
        <v/>
      </c>
      <c r="N8">
        <f>IF(AND('OFF_CONVAL'!N8&lt;&gt;"",LEN('OFF_CONVAL'!N8)&gt;20),1,0)</f>
        <v/>
      </c>
      <c r="O8">
        <f>IF(AND('OFF_CONVAL'!O8&lt;&gt;"",IF(ISNUMBER('OFF_CONVAL'!O8),OR('OFF_CONVAL'!O8&lt;&gt;INT('OFF_CONVAL'!O8),LEN(TEXT(ABS('OFF_CONVAL'!O8),"0"))&gt;15),TRUE)),1,0)</f>
        <v/>
      </c>
      <c r="P8">
        <f>IF(AND('OFF_CONVAL'!P8&lt;&gt;"",OR(LEN('OFF_CONVAL'!P8)&gt;3,COUNTIF(CL_MONEDAISO,'OFF_CONVAL'!P8)=0)),1,0)</f>
        <v/>
      </c>
      <c r="Q8">
        <f>IF(AND('OFF_CONVAL'!Q8&lt;&gt;"",NOT(ISNUMBER('OFF_CONVAL'!Q8))),1,0)</f>
        <v/>
      </c>
    </row>
    <row r="9">
      <c r="A9">
        <f>IF(AND('OFF_CONVAL'!A9&lt;&gt;"",NOT(ISNUMBER('OFF_CONVAL'!A9))),1,0)</f>
        <v/>
      </c>
      <c r="B9">
        <f>IF(AND('OFF_CONVAL'!B9&lt;&gt;"",LEN('OFF_CONVAL'!B9)&gt;20),1,0)</f>
        <v/>
      </c>
      <c r="C9">
        <f>IF(AND('OFF_CONVAL'!C9&lt;&gt;"",OR(LEN('OFF_CONVAL'!C9)&gt;1,COUNTIF(CL_POSICIONOPERACION_V4,'OFF_CONVAL'!C9)=0)),1,0)</f>
        <v/>
      </c>
      <c r="D9">
        <f>IF(AND('OFF_CONVAL'!D9&lt;&gt;"",OR(LEN('OFF_CONVAL'!D9)&gt;2,COUNTIF(CL_OBJ_OPE_V1,'OFF_CONVAL'!D9)=0)),1,0)</f>
        <v/>
      </c>
      <c r="E9">
        <f>IF(AND('OFF_CONVAL'!E9&lt;&gt;"",COUNTIF(CL_PAQ_EST_DER_V1,'OFF_CONVAL'!E9)=0),1,0)</f>
        <v/>
      </c>
      <c r="F9">
        <f>IF(AND('OFF_CONVAL'!F9&lt;&gt;"",LEN('OFF_CONVAL'!F9)&gt;20),1,0)</f>
        <v/>
      </c>
      <c r="G9">
        <f>IF(AND('OFF_CONVAL'!G9&lt;&gt;"",IF(ISNUMBER('OFF_CONVAL'!G9),OR('OFF_CONVAL'!G9&lt;&gt;INT('OFF_CONVAL'!G9),LEN(TEXT(ABS('OFF_CONVAL'!G9),"0"))&gt;3),TRUE)),1,0)</f>
        <v/>
      </c>
      <c r="H9">
        <f>IF(AND('OFF_CONVAL'!H9&lt;&gt;"",IF(ISNUMBER('OFF_CONVAL'!H9),OR('OFF_CONVAL'!H9&lt;&gt;INT('OFF_CONVAL'!H9),LEN(TEXT(ABS('OFF_CONVAL'!H9),"0"))&gt;15),TRUE)),1,0)</f>
        <v/>
      </c>
      <c r="I9">
        <f>IF(AND('OFF_CONVAL'!I9&lt;&gt;"",OR(LEN('OFF_CONVAL'!I9)&gt;3,COUNTIF(CL_MONEDAISO,'OFF_CONVAL'!I9)=0)),1,0)</f>
        <v/>
      </c>
      <c r="J9">
        <f>IF(AND('OFF_CONVAL'!J9&lt;&gt;"",IF(ISNUMBER('OFF_CONVAL'!J9),OR('OFF_CONVAL'!J9&lt;&gt;INT('OFF_CONVAL'!J9),LEN(TEXT(ABS('OFF_CONVAL'!J9),"0"))&gt;15),TRUE)),1,0)</f>
        <v/>
      </c>
      <c r="K9">
        <f>IF(AND('OFF_CONVAL'!K9&lt;&gt;"",OR(LEN('OFF_CONVAL'!K9)&gt;3,COUNTIF(CL_MONEDAISO,'OFF_CONVAL'!K9)=0)),1,0)</f>
        <v/>
      </c>
      <c r="L9">
        <f>IF(AND('OFF_CONVAL'!L9&lt;&gt;"",IF(ISNUMBER('OFF_CONVAL'!L9),OR('OFF_CONVAL'!L9&lt;&gt;INT('OFF_CONVAL'!L9),LEN(TEXT(ABS('OFF_CONVAL'!L9),"0"))&gt;5),TRUE)),1,0)</f>
        <v/>
      </c>
      <c r="M9">
        <f>IF(AND('OFF_CONVAL'!M9&lt;&gt;"",IF(ISNUMBER('OFF_CONVAL'!M9),OR('OFF_CONVAL'!M9&lt;&gt;INT('OFF_CONVAL'!M9),LEN(TEXT(ABS('OFF_CONVAL'!M9),"0"))&gt;5),TRUE)),1,0)</f>
        <v/>
      </c>
      <c r="N9">
        <f>IF(AND('OFF_CONVAL'!N9&lt;&gt;"",LEN('OFF_CONVAL'!N9)&gt;20),1,0)</f>
        <v/>
      </c>
      <c r="O9">
        <f>IF(AND('OFF_CONVAL'!O9&lt;&gt;"",IF(ISNUMBER('OFF_CONVAL'!O9),OR('OFF_CONVAL'!O9&lt;&gt;INT('OFF_CONVAL'!O9),LEN(TEXT(ABS('OFF_CONVAL'!O9),"0"))&gt;15),TRUE)),1,0)</f>
        <v/>
      </c>
      <c r="P9">
        <f>IF(AND('OFF_CONVAL'!P9&lt;&gt;"",OR(LEN('OFF_CONVAL'!P9)&gt;3,COUNTIF(CL_MONEDAISO,'OFF_CONVAL'!P9)=0)),1,0)</f>
        <v/>
      </c>
      <c r="Q9">
        <f>IF(AND('OFF_CONVAL'!Q9&lt;&gt;"",NOT(ISNUMBER('OFF_CONVAL'!Q9))),1,0)</f>
        <v/>
      </c>
    </row>
    <row r="10">
      <c r="A10">
        <f>IF(AND('OFF_CONVAL'!A10&lt;&gt;"",NOT(ISNUMBER('OFF_CONVAL'!A10))),1,0)</f>
        <v/>
      </c>
      <c r="B10">
        <f>IF(AND('OFF_CONVAL'!B10&lt;&gt;"",LEN('OFF_CONVAL'!B10)&gt;20),1,0)</f>
        <v/>
      </c>
      <c r="C10">
        <f>IF(AND('OFF_CONVAL'!C10&lt;&gt;"",OR(LEN('OFF_CONVAL'!C10)&gt;1,COUNTIF(CL_POSICIONOPERACION_V4,'OFF_CONVAL'!C10)=0)),1,0)</f>
        <v/>
      </c>
      <c r="D10">
        <f>IF(AND('OFF_CONVAL'!D10&lt;&gt;"",OR(LEN('OFF_CONVAL'!D10)&gt;2,COUNTIF(CL_OBJ_OPE_V1,'OFF_CONVAL'!D10)=0)),1,0)</f>
        <v/>
      </c>
      <c r="E10">
        <f>IF(AND('OFF_CONVAL'!E10&lt;&gt;"",COUNTIF(CL_PAQ_EST_DER_V1,'OFF_CONVAL'!E10)=0),1,0)</f>
        <v/>
      </c>
      <c r="F10">
        <f>IF(AND('OFF_CONVAL'!F10&lt;&gt;"",LEN('OFF_CONVAL'!F10)&gt;20),1,0)</f>
        <v/>
      </c>
      <c r="G10">
        <f>IF(AND('OFF_CONVAL'!G10&lt;&gt;"",IF(ISNUMBER('OFF_CONVAL'!G10),OR('OFF_CONVAL'!G10&lt;&gt;INT('OFF_CONVAL'!G10),LEN(TEXT(ABS('OFF_CONVAL'!G10),"0"))&gt;3),TRUE)),1,0)</f>
        <v/>
      </c>
      <c r="H10">
        <f>IF(AND('OFF_CONVAL'!H10&lt;&gt;"",IF(ISNUMBER('OFF_CONVAL'!H10),OR('OFF_CONVAL'!H10&lt;&gt;INT('OFF_CONVAL'!H10),LEN(TEXT(ABS('OFF_CONVAL'!H10),"0"))&gt;15),TRUE)),1,0)</f>
        <v/>
      </c>
      <c r="I10">
        <f>IF(AND('OFF_CONVAL'!I10&lt;&gt;"",OR(LEN('OFF_CONVAL'!I10)&gt;3,COUNTIF(CL_MONEDAISO,'OFF_CONVAL'!I10)=0)),1,0)</f>
        <v/>
      </c>
      <c r="J10">
        <f>IF(AND('OFF_CONVAL'!J10&lt;&gt;"",IF(ISNUMBER('OFF_CONVAL'!J10),OR('OFF_CONVAL'!J10&lt;&gt;INT('OFF_CONVAL'!J10),LEN(TEXT(ABS('OFF_CONVAL'!J10),"0"))&gt;15),TRUE)),1,0)</f>
        <v/>
      </c>
      <c r="K10">
        <f>IF(AND('OFF_CONVAL'!K10&lt;&gt;"",OR(LEN('OFF_CONVAL'!K10)&gt;3,COUNTIF(CL_MONEDAISO,'OFF_CONVAL'!K10)=0)),1,0)</f>
        <v/>
      </c>
      <c r="L10">
        <f>IF(AND('OFF_CONVAL'!L10&lt;&gt;"",IF(ISNUMBER('OFF_CONVAL'!L10),OR('OFF_CONVAL'!L10&lt;&gt;INT('OFF_CONVAL'!L10),LEN(TEXT(ABS('OFF_CONVAL'!L10),"0"))&gt;5),TRUE)),1,0)</f>
        <v/>
      </c>
      <c r="M10">
        <f>IF(AND('OFF_CONVAL'!M10&lt;&gt;"",IF(ISNUMBER('OFF_CONVAL'!M10),OR('OFF_CONVAL'!M10&lt;&gt;INT('OFF_CONVAL'!M10),LEN(TEXT(ABS('OFF_CONVAL'!M10),"0"))&gt;5),TRUE)),1,0)</f>
        <v/>
      </c>
      <c r="N10">
        <f>IF(AND('OFF_CONVAL'!N10&lt;&gt;"",LEN('OFF_CONVAL'!N10)&gt;20),1,0)</f>
        <v/>
      </c>
      <c r="O10">
        <f>IF(AND('OFF_CONVAL'!O10&lt;&gt;"",IF(ISNUMBER('OFF_CONVAL'!O10),OR('OFF_CONVAL'!O10&lt;&gt;INT('OFF_CONVAL'!O10),LEN(TEXT(ABS('OFF_CONVAL'!O10),"0"))&gt;15),TRUE)),1,0)</f>
        <v/>
      </c>
      <c r="P10">
        <f>IF(AND('OFF_CONVAL'!P10&lt;&gt;"",OR(LEN('OFF_CONVAL'!P10)&gt;3,COUNTIF(CL_MONEDAISO,'OFF_CONVAL'!P10)=0)),1,0)</f>
        <v/>
      </c>
      <c r="Q10">
        <f>IF(AND('OFF_CONVAL'!Q10&lt;&gt;"",NOT(ISNUMBER('OFF_CONVAL'!Q10))),1,0)</f>
        <v/>
      </c>
    </row>
    <row r="11">
      <c r="A11">
        <f>IF(AND('OFF_CONVAL'!A11&lt;&gt;"",NOT(ISNUMBER('OFF_CONVAL'!A11))),1,0)</f>
        <v/>
      </c>
      <c r="B11">
        <f>IF(AND('OFF_CONVAL'!B11&lt;&gt;"",LEN('OFF_CONVAL'!B11)&gt;20),1,0)</f>
        <v/>
      </c>
      <c r="C11">
        <f>IF(AND('OFF_CONVAL'!C11&lt;&gt;"",OR(LEN('OFF_CONVAL'!C11)&gt;1,COUNTIF(CL_POSICIONOPERACION_V4,'OFF_CONVAL'!C11)=0)),1,0)</f>
        <v/>
      </c>
      <c r="D11">
        <f>IF(AND('OFF_CONVAL'!D11&lt;&gt;"",OR(LEN('OFF_CONVAL'!D11)&gt;2,COUNTIF(CL_OBJ_OPE_V1,'OFF_CONVAL'!D11)=0)),1,0)</f>
        <v/>
      </c>
      <c r="E11">
        <f>IF(AND('OFF_CONVAL'!E11&lt;&gt;"",COUNTIF(CL_PAQ_EST_DER_V1,'OFF_CONVAL'!E11)=0),1,0)</f>
        <v/>
      </c>
      <c r="F11">
        <f>IF(AND('OFF_CONVAL'!F11&lt;&gt;"",LEN('OFF_CONVAL'!F11)&gt;20),1,0)</f>
        <v/>
      </c>
      <c r="G11">
        <f>IF(AND('OFF_CONVAL'!G11&lt;&gt;"",IF(ISNUMBER('OFF_CONVAL'!G11),OR('OFF_CONVAL'!G11&lt;&gt;INT('OFF_CONVAL'!G11),LEN(TEXT(ABS('OFF_CONVAL'!G11),"0"))&gt;3),TRUE)),1,0)</f>
        <v/>
      </c>
      <c r="H11">
        <f>IF(AND('OFF_CONVAL'!H11&lt;&gt;"",IF(ISNUMBER('OFF_CONVAL'!H11),OR('OFF_CONVAL'!H11&lt;&gt;INT('OFF_CONVAL'!H11),LEN(TEXT(ABS('OFF_CONVAL'!H11),"0"))&gt;15),TRUE)),1,0)</f>
        <v/>
      </c>
      <c r="I11">
        <f>IF(AND('OFF_CONVAL'!I11&lt;&gt;"",OR(LEN('OFF_CONVAL'!I11)&gt;3,COUNTIF(CL_MONEDAISO,'OFF_CONVAL'!I11)=0)),1,0)</f>
        <v/>
      </c>
      <c r="J11">
        <f>IF(AND('OFF_CONVAL'!J11&lt;&gt;"",IF(ISNUMBER('OFF_CONVAL'!J11),OR('OFF_CONVAL'!J11&lt;&gt;INT('OFF_CONVAL'!J11),LEN(TEXT(ABS('OFF_CONVAL'!J11),"0"))&gt;15),TRUE)),1,0)</f>
        <v/>
      </c>
      <c r="K11">
        <f>IF(AND('OFF_CONVAL'!K11&lt;&gt;"",OR(LEN('OFF_CONVAL'!K11)&gt;3,COUNTIF(CL_MONEDAISO,'OFF_CONVAL'!K11)=0)),1,0)</f>
        <v/>
      </c>
      <c r="L11">
        <f>IF(AND('OFF_CONVAL'!L11&lt;&gt;"",IF(ISNUMBER('OFF_CONVAL'!L11),OR('OFF_CONVAL'!L11&lt;&gt;INT('OFF_CONVAL'!L11),LEN(TEXT(ABS('OFF_CONVAL'!L11),"0"))&gt;5),TRUE)),1,0)</f>
        <v/>
      </c>
      <c r="M11">
        <f>IF(AND('OFF_CONVAL'!M11&lt;&gt;"",IF(ISNUMBER('OFF_CONVAL'!M11),OR('OFF_CONVAL'!M11&lt;&gt;INT('OFF_CONVAL'!M11),LEN(TEXT(ABS('OFF_CONVAL'!M11),"0"))&gt;5),TRUE)),1,0)</f>
        <v/>
      </c>
      <c r="N11">
        <f>IF(AND('OFF_CONVAL'!N11&lt;&gt;"",LEN('OFF_CONVAL'!N11)&gt;20),1,0)</f>
        <v/>
      </c>
      <c r="O11">
        <f>IF(AND('OFF_CONVAL'!O11&lt;&gt;"",IF(ISNUMBER('OFF_CONVAL'!O11),OR('OFF_CONVAL'!O11&lt;&gt;INT('OFF_CONVAL'!O11),LEN(TEXT(ABS('OFF_CONVAL'!O11),"0"))&gt;15),TRUE)),1,0)</f>
        <v/>
      </c>
      <c r="P11">
        <f>IF(AND('OFF_CONVAL'!P11&lt;&gt;"",OR(LEN('OFF_CONVAL'!P11)&gt;3,COUNTIF(CL_MONEDAISO,'OFF_CONVAL'!P11)=0)),1,0)</f>
        <v/>
      </c>
      <c r="Q11">
        <f>IF(AND('OFF_CONVAL'!Q11&lt;&gt;"",NOT(ISNUMBER('OFF_CONVAL'!Q11))),1,0)</f>
        <v/>
      </c>
    </row>
    <row r="12">
      <c r="A12">
        <f>IF(AND('OFF_CONVAL'!A12&lt;&gt;"",NOT(ISNUMBER('OFF_CONVAL'!A12))),1,0)</f>
        <v/>
      </c>
      <c r="B12">
        <f>IF(AND('OFF_CONVAL'!B12&lt;&gt;"",LEN('OFF_CONVAL'!B12)&gt;20),1,0)</f>
        <v/>
      </c>
      <c r="C12">
        <f>IF(AND('OFF_CONVAL'!C12&lt;&gt;"",OR(LEN('OFF_CONVAL'!C12)&gt;1,COUNTIF(CL_POSICIONOPERACION_V4,'OFF_CONVAL'!C12)=0)),1,0)</f>
        <v/>
      </c>
      <c r="D12">
        <f>IF(AND('OFF_CONVAL'!D12&lt;&gt;"",OR(LEN('OFF_CONVAL'!D12)&gt;2,COUNTIF(CL_OBJ_OPE_V1,'OFF_CONVAL'!D12)=0)),1,0)</f>
        <v/>
      </c>
      <c r="E12">
        <f>IF(AND('OFF_CONVAL'!E12&lt;&gt;"",COUNTIF(CL_PAQ_EST_DER_V1,'OFF_CONVAL'!E12)=0),1,0)</f>
        <v/>
      </c>
      <c r="F12">
        <f>IF(AND('OFF_CONVAL'!F12&lt;&gt;"",LEN('OFF_CONVAL'!F12)&gt;20),1,0)</f>
        <v/>
      </c>
      <c r="G12">
        <f>IF(AND('OFF_CONVAL'!G12&lt;&gt;"",IF(ISNUMBER('OFF_CONVAL'!G12),OR('OFF_CONVAL'!G12&lt;&gt;INT('OFF_CONVAL'!G12),LEN(TEXT(ABS('OFF_CONVAL'!G12),"0"))&gt;3),TRUE)),1,0)</f>
        <v/>
      </c>
      <c r="H12">
        <f>IF(AND('OFF_CONVAL'!H12&lt;&gt;"",IF(ISNUMBER('OFF_CONVAL'!H12),OR('OFF_CONVAL'!H12&lt;&gt;INT('OFF_CONVAL'!H12),LEN(TEXT(ABS('OFF_CONVAL'!H12),"0"))&gt;15),TRUE)),1,0)</f>
        <v/>
      </c>
      <c r="I12">
        <f>IF(AND('OFF_CONVAL'!I12&lt;&gt;"",OR(LEN('OFF_CONVAL'!I12)&gt;3,COUNTIF(CL_MONEDAISO,'OFF_CONVAL'!I12)=0)),1,0)</f>
        <v/>
      </c>
      <c r="J12">
        <f>IF(AND('OFF_CONVAL'!J12&lt;&gt;"",IF(ISNUMBER('OFF_CONVAL'!J12),OR('OFF_CONVAL'!J12&lt;&gt;INT('OFF_CONVAL'!J12),LEN(TEXT(ABS('OFF_CONVAL'!J12),"0"))&gt;15),TRUE)),1,0)</f>
        <v/>
      </c>
      <c r="K12">
        <f>IF(AND('OFF_CONVAL'!K12&lt;&gt;"",OR(LEN('OFF_CONVAL'!K12)&gt;3,COUNTIF(CL_MONEDAISO,'OFF_CONVAL'!K12)=0)),1,0)</f>
        <v/>
      </c>
      <c r="L12">
        <f>IF(AND('OFF_CONVAL'!L12&lt;&gt;"",IF(ISNUMBER('OFF_CONVAL'!L12),OR('OFF_CONVAL'!L12&lt;&gt;INT('OFF_CONVAL'!L12),LEN(TEXT(ABS('OFF_CONVAL'!L12),"0"))&gt;5),TRUE)),1,0)</f>
        <v/>
      </c>
      <c r="M12">
        <f>IF(AND('OFF_CONVAL'!M12&lt;&gt;"",IF(ISNUMBER('OFF_CONVAL'!M12),OR('OFF_CONVAL'!M12&lt;&gt;INT('OFF_CONVAL'!M12),LEN(TEXT(ABS('OFF_CONVAL'!M12),"0"))&gt;5),TRUE)),1,0)</f>
        <v/>
      </c>
      <c r="N12">
        <f>IF(AND('OFF_CONVAL'!N12&lt;&gt;"",LEN('OFF_CONVAL'!N12)&gt;20),1,0)</f>
        <v/>
      </c>
      <c r="O12">
        <f>IF(AND('OFF_CONVAL'!O12&lt;&gt;"",IF(ISNUMBER('OFF_CONVAL'!O12),OR('OFF_CONVAL'!O12&lt;&gt;INT('OFF_CONVAL'!O12),LEN(TEXT(ABS('OFF_CONVAL'!O12),"0"))&gt;15),TRUE)),1,0)</f>
        <v/>
      </c>
      <c r="P12">
        <f>IF(AND('OFF_CONVAL'!P12&lt;&gt;"",OR(LEN('OFF_CONVAL'!P12)&gt;3,COUNTIF(CL_MONEDAISO,'OFF_CONVAL'!P12)=0)),1,0)</f>
        <v/>
      </c>
      <c r="Q12">
        <f>IF(AND('OFF_CONVAL'!Q12&lt;&gt;"",NOT(ISNUMBER('OFF_CONVAL'!Q12))),1,0)</f>
        <v/>
      </c>
    </row>
    <row r="13">
      <c r="A13">
        <f>IF(AND('OFF_CONVAL'!A13&lt;&gt;"",NOT(ISNUMBER('OFF_CONVAL'!A13))),1,0)</f>
        <v/>
      </c>
      <c r="B13">
        <f>IF(AND('OFF_CONVAL'!B13&lt;&gt;"",LEN('OFF_CONVAL'!B13)&gt;20),1,0)</f>
        <v/>
      </c>
      <c r="C13">
        <f>IF(AND('OFF_CONVAL'!C13&lt;&gt;"",OR(LEN('OFF_CONVAL'!C13)&gt;1,COUNTIF(CL_POSICIONOPERACION_V4,'OFF_CONVAL'!C13)=0)),1,0)</f>
        <v/>
      </c>
      <c r="D13">
        <f>IF(AND('OFF_CONVAL'!D13&lt;&gt;"",OR(LEN('OFF_CONVAL'!D13)&gt;2,COUNTIF(CL_OBJ_OPE_V1,'OFF_CONVAL'!D13)=0)),1,0)</f>
        <v/>
      </c>
      <c r="E13">
        <f>IF(AND('OFF_CONVAL'!E13&lt;&gt;"",COUNTIF(CL_PAQ_EST_DER_V1,'OFF_CONVAL'!E13)=0),1,0)</f>
        <v/>
      </c>
      <c r="F13">
        <f>IF(AND('OFF_CONVAL'!F13&lt;&gt;"",LEN('OFF_CONVAL'!F13)&gt;20),1,0)</f>
        <v/>
      </c>
      <c r="G13">
        <f>IF(AND('OFF_CONVAL'!G13&lt;&gt;"",IF(ISNUMBER('OFF_CONVAL'!G13),OR('OFF_CONVAL'!G13&lt;&gt;INT('OFF_CONVAL'!G13),LEN(TEXT(ABS('OFF_CONVAL'!G13),"0"))&gt;3),TRUE)),1,0)</f>
        <v/>
      </c>
      <c r="H13">
        <f>IF(AND('OFF_CONVAL'!H13&lt;&gt;"",IF(ISNUMBER('OFF_CONVAL'!H13),OR('OFF_CONVAL'!H13&lt;&gt;INT('OFF_CONVAL'!H13),LEN(TEXT(ABS('OFF_CONVAL'!H13),"0"))&gt;15),TRUE)),1,0)</f>
        <v/>
      </c>
      <c r="I13">
        <f>IF(AND('OFF_CONVAL'!I13&lt;&gt;"",OR(LEN('OFF_CONVAL'!I13)&gt;3,COUNTIF(CL_MONEDAISO,'OFF_CONVAL'!I13)=0)),1,0)</f>
        <v/>
      </c>
      <c r="J13">
        <f>IF(AND('OFF_CONVAL'!J13&lt;&gt;"",IF(ISNUMBER('OFF_CONVAL'!J13),OR('OFF_CONVAL'!J13&lt;&gt;INT('OFF_CONVAL'!J13),LEN(TEXT(ABS('OFF_CONVAL'!J13),"0"))&gt;15),TRUE)),1,0)</f>
        <v/>
      </c>
      <c r="K13">
        <f>IF(AND('OFF_CONVAL'!K13&lt;&gt;"",OR(LEN('OFF_CONVAL'!K13)&gt;3,COUNTIF(CL_MONEDAISO,'OFF_CONVAL'!K13)=0)),1,0)</f>
        <v/>
      </c>
      <c r="L13">
        <f>IF(AND('OFF_CONVAL'!L13&lt;&gt;"",IF(ISNUMBER('OFF_CONVAL'!L13),OR('OFF_CONVAL'!L13&lt;&gt;INT('OFF_CONVAL'!L13),LEN(TEXT(ABS('OFF_CONVAL'!L13),"0"))&gt;5),TRUE)),1,0)</f>
        <v/>
      </c>
      <c r="M13">
        <f>IF(AND('OFF_CONVAL'!M13&lt;&gt;"",IF(ISNUMBER('OFF_CONVAL'!M13),OR('OFF_CONVAL'!M13&lt;&gt;INT('OFF_CONVAL'!M13),LEN(TEXT(ABS('OFF_CONVAL'!M13),"0"))&gt;5),TRUE)),1,0)</f>
        <v/>
      </c>
      <c r="N13">
        <f>IF(AND('OFF_CONVAL'!N13&lt;&gt;"",LEN('OFF_CONVAL'!N13)&gt;20),1,0)</f>
        <v/>
      </c>
      <c r="O13">
        <f>IF(AND('OFF_CONVAL'!O13&lt;&gt;"",IF(ISNUMBER('OFF_CONVAL'!O13),OR('OFF_CONVAL'!O13&lt;&gt;INT('OFF_CONVAL'!O13),LEN(TEXT(ABS('OFF_CONVAL'!O13),"0"))&gt;15),TRUE)),1,0)</f>
        <v/>
      </c>
      <c r="P13">
        <f>IF(AND('OFF_CONVAL'!P13&lt;&gt;"",OR(LEN('OFF_CONVAL'!P13)&gt;3,COUNTIF(CL_MONEDAISO,'OFF_CONVAL'!P13)=0)),1,0)</f>
        <v/>
      </c>
      <c r="Q13">
        <f>IF(AND('OFF_CONVAL'!Q13&lt;&gt;"",NOT(ISNUMBER('OFF_CONVAL'!Q13))),1,0)</f>
        <v/>
      </c>
    </row>
    <row r="14">
      <c r="A14">
        <f>IF(AND('OFF_CONVAL'!A14&lt;&gt;"",NOT(ISNUMBER('OFF_CONVAL'!A14))),1,0)</f>
        <v/>
      </c>
      <c r="B14">
        <f>IF(AND('OFF_CONVAL'!B14&lt;&gt;"",LEN('OFF_CONVAL'!B14)&gt;20),1,0)</f>
        <v/>
      </c>
      <c r="C14">
        <f>IF(AND('OFF_CONVAL'!C14&lt;&gt;"",OR(LEN('OFF_CONVAL'!C14)&gt;1,COUNTIF(CL_POSICIONOPERACION_V4,'OFF_CONVAL'!C14)=0)),1,0)</f>
        <v/>
      </c>
      <c r="D14">
        <f>IF(AND('OFF_CONVAL'!D14&lt;&gt;"",OR(LEN('OFF_CONVAL'!D14)&gt;2,COUNTIF(CL_OBJ_OPE_V1,'OFF_CONVAL'!D14)=0)),1,0)</f>
        <v/>
      </c>
      <c r="E14">
        <f>IF(AND('OFF_CONVAL'!E14&lt;&gt;"",COUNTIF(CL_PAQ_EST_DER_V1,'OFF_CONVAL'!E14)=0),1,0)</f>
        <v/>
      </c>
      <c r="F14">
        <f>IF(AND('OFF_CONVAL'!F14&lt;&gt;"",LEN('OFF_CONVAL'!F14)&gt;20),1,0)</f>
        <v/>
      </c>
      <c r="G14">
        <f>IF(AND('OFF_CONVAL'!G14&lt;&gt;"",IF(ISNUMBER('OFF_CONVAL'!G14),OR('OFF_CONVAL'!G14&lt;&gt;INT('OFF_CONVAL'!G14),LEN(TEXT(ABS('OFF_CONVAL'!G14),"0"))&gt;3),TRUE)),1,0)</f>
        <v/>
      </c>
      <c r="H14">
        <f>IF(AND('OFF_CONVAL'!H14&lt;&gt;"",IF(ISNUMBER('OFF_CONVAL'!H14),OR('OFF_CONVAL'!H14&lt;&gt;INT('OFF_CONVAL'!H14),LEN(TEXT(ABS('OFF_CONVAL'!H14),"0"))&gt;15),TRUE)),1,0)</f>
        <v/>
      </c>
      <c r="I14">
        <f>IF(AND('OFF_CONVAL'!I14&lt;&gt;"",OR(LEN('OFF_CONVAL'!I14)&gt;3,COUNTIF(CL_MONEDAISO,'OFF_CONVAL'!I14)=0)),1,0)</f>
        <v/>
      </c>
      <c r="J14">
        <f>IF(AND('OFF_CONVAL'!J14&lt;&gt;"",IF(ISNUMBER('OFF_CONVAL'!J14),OR('OFF_CONVAL'!J14&lt;&gt;INT('OFF_CONVAL'!J14),LEN(TEXT(ABS('OFF_CONVAL'!J14),"0"))&gt;15),TRUE)),1,0)</f>
        <v/>
      </c>
      <c r="K14">
        <f>IF(AND('OFF_CONVAL'!K14&lt;&gt;"",OR(LEN('OFF_CONVAL'!K14)&gt;3,COUNTIF(CL_MONEDAISO,'OFF_CONVAL'!K14)=0)),1,0)</f>
        <v/>
      </c>
      <c r="L14">
        <f>IF(AND('OFF_CONVAL'!L14&lt;&gt;"",IF(ISNUMBER('OFF_CONVAL'!L14),OR('OFF_CONVAL'!L14&lt;&gt;INT('OFF_CONVAL'!L14),LEN(TEXT(ABS('OFF_CONVAL'!L14),"0"))&gt;5),TRUE)),1,0)</f>
        <v/>
      </c>
      <c r="M14">
        <f>IF(AND('OFF_CONVAL'!M14&lt;&gt;"",IF(ISNUMBER('OFF_CONVAL'!M14),OR('OFF_CONVAL'!M14&lt;&gt;INT('OFF_CONVAL'!M14),LEN(TEXT(ABS('OFF_CONVAL'!M14),"0"))&gt;5),TRUE)),1,0)</f>
        <v/>
      </c>
      <c r="N14">
        <f>IF(AND('OFF_CONVAL'!N14&lt;&gt;"",LEN('OFF_CONVAL'!N14)&gt;20),1,0)</f>
        <v/>
      </c>
      <c r="O14">
        <f>IF(AND('OFF_CONVAL'!O14&lt;&gt;"",IF(ISNUMBER('OFF_CONVAL'!O14),OR('OFF_CONVAL'!O14&lt;&gt;INT('OFF_CONVAL'!O14),LEN(TEXT(ABS('OFF_CONVAL'!O14),"0"))&gt;15),TRUE)),1,0)</f>
        <v/>
      </c>
      <c r="P14">
        <f>IF(AND('OFF_CONVAL'!P14&lt;&gt;"",OR(LEN('OFF_CONVAL'!P14)&gt;3,COUNTIF(CL_MONEDAISO,'OFF_CONVAL'!P14)=0)),1,0)</f>
        <v/>
      </c>
      <c r="Q14">
        <f>IF(AND('OFF_CONVAL'!Q14&lt;&gt;"",NOT(ISNUMBER('OFF_CONVAL'!Q14))),1,0)</f>
        <v/>
      </c>
    </row>
    <row r="15">
      <c r="A15">
        <f>IF(AND('OFF_CONVAL'!A15&lt;&gt;"",NOT(ISNUMBER('OFF_CONVAL'!A15))),1,0)</f>
        <v/>
      </c>
      <c r="B15">
        <f>IF(AND('OFF_CONVAL'!B15&lt;&gt;"",LEN('OFF_CONVAL'!B15)&gt;20),1,0)</f>
        <v/>
      </c>
      <c r="C15">
        <f>IF(AND('OFF_CONVAL'!C15&lt;&gt;"",OR(LEN('OFF_CONVAL'!C15)&gt;1,COUNTIF(CL_POSICIONOPERACION_V4,'OFF_CONVAL'!C15)=0)),1,0)</f>
        <v/>
      </c>
      <c r="D15">
        <f>IF(AND('OFF_CONVAL'!D15&lt;&gt;"",OR(LEN('OFF_CONVAL'!D15)&gt;2,COUNTIF(CL_OBJ_OPE_V1,'OFF_CONVAL'!D15)=0)),1,0)</f>
        <v/>
      </c>
      <c r="E15">
        <f>IF(AND('OFF_CONVAL'!E15&lt;&gt;"",COUNTIF(CL_PAQ_EST_DER_V1,'OFF_CONVAL'!E15)=0),1,0)</f>
        <v/>
      </c>
      <c r="F15">
        <f>IF(AND('OFF_CONVAL'!F15&lt;&gt;"",LEN('OFF_CONVAL'!F15)&gt;20),1,0)</f>
        <v/>
      </c>
      <c r="G15">
        <f>IF(AND('OFF_CONVAL'!G15&lt;&gt;"",IF(ISNUMBER('OFF_CONVAL'!G15),OR('OFF_CONVAL'!G15&lt;&gt;INT('OFF_CONVAL'!G15),LEN(TEXT(ABS('OFF_CONVAL'!G15),"0"))&gt;3),TRUE)),1,0)</f>
        <v/>
      </c>
      <c r="H15">
        <f>IF(AND('OFF_CONVAL'!H15&lt;&gt;"",IF(ISNUMBER('OFF_CONVAL'!H15),OR('OFF_CONVAL'!H15&lt;&gt;INT('OFF_CONVAL'!H15),LEN(TEXT(ABS('OFF_CONVAL'!H15),"0"))&gt;15),TRUE)),1,0)</f>
        <v/>
      </c>
      <c r="I15">
        <f>IF(AND('OFF_CONVAL'!I15&lt;&gt;"",OR(LEN('OFF_CONVAL'!I15)&gt;3,COUNTIF(CL_MONEDAISO,'OFF_CONVAL'!I15)=0)),1,0)</f>
        <v/>
      </c>
      <c r="J15">
        <f>IF(AND('OFF_CONVAL'!J15&lt;&gt;"",IF(ISNUMBER('OFF_CONVAL'!J15),OR('OFF_CONVAL'!J15&lt;&gt;INT('OFF_CONVAL'!J15),LEN(TEXT(ABS('OFF_CONVAL'!J15),"0"))&gt;15),TRUE)),1,0)</f>
        <v/>
      </c>
      <c r="K15">
        <f>IF(AND('OFF_CONVAL'!K15&lt;&gt;"",OR(LEN('OFF_CONVAL'!K15)&gt;3,COUNTIF(CL_MONEDAISO,'OFF_CONVAL'!K15)=0)),1,0)</f>
        <v/>
      </c>
      <c r="L15">
        <f>IF(AND('OFF_CONVAL'!L15&lt;&gt;"",IF(ISNUMBER('OFF_CONVAL'!L15),OR('OFF_CONVAL'!L15&lt;&gt;INT('OFF_CONVAL'!L15),LEN(TEXT(ABS('OFF_CONVAL'!L15),"0"))&gt;5),TRUE)),1,0)</f>
        <v/>
      </c>
      <c r="M15">
        <f>IF(AND('OFF_CONVAL'!M15&lt;&gt;"",IF(ISNUMBER('OFF_CONVAL'!M15),OR('OFF_CONVAL'!M15&lt;&gt;INT('OFF_CONVAL'!M15),LEN(TEXT(ABS('OFF_CONVAL'!M15),"0"))&gt;5),TRUE)),1,0)</f>
        <v/>
      </c>
      <c r="N15">
        <f>IF(AND('OFF_CONVAL'!N15&lt;&gt;"",LEN('OFF_CONVAL'!N15)&gt;20),1,0)</f>
        <v/>
      </c>
      <c r="O15">
        <f>IF(AND('OFF_CONVAL'!O15&lt;&gt;"",IF(ISNUMBER('OFF_CONVAL'!O15),OR('OFF_CONVAL'!O15&lt;&gt;INT('OFF_CONVAL'!O15),LEN(TEXT(ABS('OFF_CONVAL'!O15),"0"))&gt;15),TRUE)),1,0)</f>
        <v/>
      </c>
      <c r="P15">
        <f>IF(AND('OFF_CONVAL'!P15&lt;&gt;"",OR(LEN('OFF_CONVAL'!P15)&gt;3,COUNTIF(CL_MONEDAISO,'OFF_CONVAL'!P15)=0)),1,0)</f>
        <v/>
      </c>
      <c r="Q15">
        <f>IF(AND('OFF_CONVAL'!Q15&lt;&gt;"",NOT(ISNUMBER('OFF_CONVAL'!Q15))),1,0)</f>
        <v/>
      </c>
    </row>
    <row r="16">
      <c r="A16">
        <f>IF(AND('OFF_CONVAL'!A16&lt;&gt;"",NOT(ISNUMBER('OFF_CONVAL'!A16))),1,0)</f>
        <v/>
      </c>
      <c r="B16">
        <f>IF(AND('OFF_CONVAL'!B16&lt;&gt;"",LEN('OFF_CONVAL'!B16)&gt;20),1,0)</f>
        <v/>
      </c>
      <c r="C16">
        <f>IF(AND('OFF_CONVAL'!C16&lt;&gt;"",OR(LEN('OFF_CONVAL'!C16)&gt;1,COUNTIF(CL_POSICIONOPERACION_V4,'OFF_CONVAL'!C16)=0)),1,0)</f>
        <v/>
      </c>
      <c r="D16">
        <f>IF(AND('OFF_CONVAL'!D16&lt;&gt;"",OR(LEN('OFF_CONVAL'!D16)&gt;2,COUNTIF(CL_OBJ_OPE_V1,'OFF_CONVAL'!D16)=0)),1,0)</f>
        <v/>
      </c>
      <c r="E16">
        <f>IF(AND('OFF_CONVAL'!E16&lt;&gt;"",COUNTIF(CL_PAQ_EST_DER_V1,'OFF_CONVAL'!E16)=0),1,0)</f>
        <v/>
      </c>
      <c r="F16">
        <f>IF(AND('OFF_CONVAL'!F16&lt;&gt;"",LEN('OFF_CONVAL'!F16)&gt;20),1,0)</f>
        <v/>
      </c>
      <c r="G16">
        <f>IF(AND('OFF_CONVAL'!G16&lt;&gt;"",IF(ISNUMBER('OFF_CONVAL'!G16),OR('OFF_CONVAL'!G16&lt;&gt;INT('OFF_CONVAL'!G16),LEN(TEXT(ABS('OFF_CONVAL'!G16),"0"))&gt;3),TRUE)),1,0)</f>
        <v/>
      </c>
      <c r="H16">
        <f>IF(AND('OFF_CONVAL'!H16&lt;&gt;"",IF(ISNUMBER('OFF_CONVAL'!H16),OR('OFF_CONVAL'!H16&lt;&gt;INT('OFF_CONVAL'!H16),LEN(TEXT(ABS('OFF_CONVAL'!H16),"0"))&gt;15),TRUE)),1,0)</f>
        <v/>
      </c>
      <c r="I16">
        <f>IF(AND('OFF_CONVAL'!I16&lt;&gt;"",OR(LEN('OFF_CONVAL'!I16)&gt;3,COUNTIF(CL_MONEDAISO,'OFF_CONVAL'!I16)=0)),1,0)</f>
        <v/>
      </c>
      <c r="J16">
        <f>IF(AND('OFF_CONVAL'!J16&lt;&gt;"",IF(ISNUMBER('OFF_CONVAL'!J16),OR('OFF_CONVAL'!J16&lt;&gt;INT('OFF_CONVAL'!J16),LEN(TEXT(ABS('OFF_CONVAL'!J16),"0"))&gt;15),TRUE)),1,0)</f>
        <v/>
      </c>
      <c r="K16">
        <f>IF(AND('OFF_CONVAL'!K16&lt;&gt;"",OR(LEN('OFF_CONVAL'!K16)&gt;3,COUNTIF(CL_MONEDAISO,'OFF_CONVAL'!K16)=0)),1,0)</f>
        <v/>
      </c>
      <c r="L16">
        <f>IF(AND('OFF_CONVAL'!L16&lt;&gt;"",IF(ISNUMBER('OFF_CONVAL'!L16),OR('OFF_CONVAL'!L16&lt;&gt;INT('OFF_CONVAL'!L16),LEN(TEXT(ABS('OFF_CONVAL'!L16),"0"))&gt;5),TRUE)),1,0)</f>
        <v/>
      </c>
      <c r="M16">
        <f>IF(AND('OFF_CONVAL'!M16&lt;&gt;"",IF(ISNUMBER('OFF_CONVAL'!M16),OR('OFF_CONVAL'!M16&lt;&gt;INT('OFF_CONVAL'!M16),LEN(TEXT(ABS('OFF_CONVAL'!M16),"0"))&gt;5),TRUE)),1,0)</f>
        <v/>
      </c>
      <c r="N16">
        <f>IF(AND('OFF_CONVAL'!N16&lt;&gt;"",LEN('OFF_CONVAL'!N16)&gt;20),1,0)</f>
        <v/>
      </c>
      <c r="O16">
        <f>IF(AND('OFF_CONVAL'!O16&lt;&gt;"",IF(ISNUMBER('OFF_CONVAL'!O16),OR('OFF_CONVAL'!O16&lt;&gt;INT('OFF_CONVAL'!O16),LEN(TEXT(ABS('OFF_CONVAL'!O16),"0"))&gt;15),TRUE)),1,0)</f>
        <v/>
      </c>
      <c r="P16">
        <f>IF(AND('OFF_CONVAL'!P16&lt;&gt;"",OR(LEN('OFF_CONVAL'!P16)&gt;3,COUNTIF(CL_MONEDAISO,'OFF_CONVAL'!P16)=0)),1,0)</f>
        <v/>
      </c>
      <c r="Q16">
        <f>IF(AND('OFF_CONVAL'!Q16&lt;&gt;"",NOT(ISNUMBER('OFF_CONVAL'!Q16))),1,0)</f>
        <v/>
      </c>
    </row>
    <row r="17">
      <c r="A17">
        <f>IF(AND('OFF_CONVAL'!A17&lt;&gt;"",NOT(ISNUMBER('OFF_CONVAL'!A17))),1,0)</f>
        <v/>
      </c>
      <c r="B17">
        <f>IF(AND('OFF_CONVAL'!B17&lt;&gt;"",LEN('OFF_CONVAL'!B17)&gt;20),1,0)</f>
        <v/>
      </c>
      <c r="C17">
        <f>IF(AND('OFF_CONVAL'!C17&lt;&gt;"",OR(LEN('OFF_CONVAL'!C17)&gt;1,COUNTIF(CL_POSICIONOPERACION_V4,'OFF_CONVAL'!C17)=0)),1,0)</f>
        <v/>
      </c>
      <c r="D17">
        <f>IF(AND('OFF_CONVAL'!D17&lt;&gt;"",OR(LEN('OFF_CONVAL'!D17)&gt;2,COUNTIF(CL_OBJ_OPE_V1,'OFF_CONVAL'!D17)=0)),1,0)</f>
        <v/>
      </c>
      <c r="E17">
        <f>IF(AND('OFF_CONVAL'!E17&lt;&gt;"",COUNTIF(CL_PAQ_EST_DER_V1,'OFF_CONVAL'!E17)=0),1,0)</f>
        <v/>
      </c>
      <c r="F17">
        <f>IF(AND('OFF_CONVAL'!F17&lt;&gt;"",LEN('OFF_CONVAL'!F17)&gt;20),1,0)</f>
        <v/>
      </c>
      <c r="G17">
        <f>IF(AND('OFF_CONVAL'!G17&lt;&gt;"",IF(ISNUMBER('OFF_CONVAL'!G17),OR('OFF_CONVAL'!G17&lt;&gt;INT('OFF_CONVAL'!G17),LEN(TEXT(ABS('OFF_CONVAL'!G17),"0"))&gt;3),TRUE)),1,0)</f>
        <v/>
      </c>
      <c r="H17">
        <f>IF(AND('OFF_CONVAL'!H17&lt;&gt;"",IF(ISNUMBER('OFF_CONVAL'!H17),OR('OFF_CONVAL'!H17&lt;&gt;INT('OFF_CONVAL'!H17),LEN(TEXT(ABS('OFF_CONVAL'!H17),"0"))&gt;15),TRUE)),1,0)</f>
        <v/>
      </c>
      <c r="I17">
        <f>IF(AND('OFF_CONVAL'!I17&lt;&gt;"",OR(LEN('OFF_CONVAL'!I17)&gt;3,COUNTIF(CL_MONEDAISO,'OFF_CONVAL'!I17)=0)),1,0)</f>
        <v/>
      </c>
      <c r="J17">
        <f>IF(AND('OFF_CONVAL'!J17&lt;&gt;"",IF(ISNUMBER('OFF_CONVAL'!J17),OR('OFF_CONVAL'!J17&lt;&gt;INT('OFF_CONVAL'!J17),LEN(TEXT(ABS('OFF_CONVAL'!J17),"0"))&gt;15),TRUE)),1,0)</f>
        <v/>
      </c>
      <c r="K17">
        <f>IF(AND('OFF_CONVAL'!K17&lt;&gt;"",OR(LEN('OFF_CONVAL'!K17)&gt;3,COUNTIF(CL_MONEDAISO,'OFF_CONVAL'!K17)=0)),1,0)</f>
        <v/>
      </c>
      <c r="L17">
        <f>IF(AND('OFF_CONVAL'!L17&lt;&gt;"",IF(ISNUMBER('OFF_CONVAL'!L17),OR('OFF_CONVAL'!L17&lt;&gt;INT('OFF_CONVAL'!L17),LEN(TEXT(ABS('OFF_CONVAL'!L17),"0"))&gt;5),TRUE)),1,0)</f>
        <v/>
      </c>
      <c r="M17">
        <f>IF(AND('OFF_CONVAL'!M17&lt;&gt;"",IF(ISNUMBER('OFF_CONVAL'!M17),OR('OFF_CONVAL'!M17&lt;&gt;INT('OFF_CONVAL'!M17),LEN(TEXT(ABS('OFF_CONVAL'!M17),"0"))&gt;5),TRUE)),1,0)</f>
        <v/>
      </c>
      <c r="N17">
        <f>IF(AND('OFF_CONVAL'!N17&lt;&gt;"",LEN('OFF_CONVAL'!N17)&gt;20),1,0)</f>
        <v/>
      </c>
      <c r="O17">
        <f>IF(AND('OFF_CONVAL'!O17&lt;&gt;"",IF(ISNUMBER('OFF_CONVAL'!O17),OR('OFF_CONVAL'!O17&lt;&gt;INT('OFF_CONVAL'!O17),LEN(TEXT(ABS('OFF_CONVAL'!O17),"0"))&gt;15),TRUE)),1,0)</f>
        <v/>
      </c>
      <c r="P17">
        <f>IF(AND('OFF_CONVAL'!P17&lt;&gt;"",OR(LEN('OFF_CONVAL'!P17)&gt;3,COUNTIF(CL_MONEDAISO,'OFF_CONVAL'!P17)=0)),1,0)</f>
        <v/>
      </c>
      <c r="Q17">
        <f>IF(AND('OFF_CONVAL'!Q17&lt;&gt;"",NOT(ISNUMBER('OFF_CONVAL'!Q17))),1,0)</f>
        <v/>
      </c>
    </row>
    <row r="18">
      <c r="A18">
        <f>IF(AND('OFF_CONVAL'!A18&lt;&gt;"",NOT(ISNUMBER('OFF_CONVAL'!A18))),1,0)</f>
        <v/>
      </c>
      <c r="B18">
        <f>IF(AND('OFF_CONVAL'!B18&lt;&gt;"",LEN('OFF_CONVAL'!B18)&gt;20),1,0)</f>
        <v/>
      </c>
      <c r="C18">
        <f>IF(AND('OFF_CONVAL'!C18&lt;&gt;"",OR(LEN('OFF_CONVAL'!C18)&gt;1,COUNTIF(CL_POSICIONOPERACION_V4,'OFF_CONVAL'!C18)=0)),1,0)</f>
        <v/>
      </c>
      <c r="D18">
        <f>IF(AND('OFF_CONVAL'!D18&lt;&gt;"",OR(LEN('OFF_CONVAL'!D18)&gt;2,COUNTIF(CL_OBJ_OPE_V1,'OFF_CONVAL'!D18)=0)),1,0)</f>
        <v/>
      </c>
      <c r="E18">
        <f>IF(AND('OFF_CONVAL'!E18&lt;&gt;"",COUNTIF(CL_PAQ_EST_DER_V1,'OFF_CONVAL'!E18)=0),1,0)</f>
        <v/>
      </c>
      <c r="F18">
        <f>IF(AND('OFF_CONVAL'!F18&lt;&gt;"",LEN('OFF_CONVAL'!F18)&gt;20),1,0)</f>
        <v/>
      </c>
      <c r="G18">
        <f>IF(AND('OFF_CONVAL'!G18&lt;&gt;"",IF(ISNUMBER('OFF_CONVAL'!G18),OR('OFF_CONVAL'!G18&lt;&gt;INT('OFF_CONVAL'!G18),LEN(TEXT(ABS('OFF_CONVAL'!G18),"0"))&gt;3),TRUE)),1,0)</f>
        <v/>
      </c>
      <c r="H18">
        <f>IF(AND('OFF_CONVAL'!H18&lt;&gt;"",IF(ISNUMBER('OFF_CONVAL'!H18),OR('OFF_CONVAL'!H18&lt;&gt;INT('OFF_CONVAL'!H18),LEN(TEXT(ABS('OFF_CONVAL'!H18),"0"))&gt;15),TRUE)),1,0)</f>
        <v/>
      </c>
      <c r="I18">
        <f>IF(AND('OFF_CONVAL'!I18&lt;&gt;"",OR(LEN('OFF_CONVAL'!I18)&gt;3,COUNTIF(CL_MONEDAISO,'OFF_CONVAL'!I18)=0)),1,0)</f>
        <v/>
      </c>
      <c r="J18">
        <f>IF(AND('OFF_CONVAL'!J18&lt;&gt;"",IF(ISNUMBER('OFF_CONVAL'!J18),OR('OFF_CONVAL'!J18&lt;&gt;INT('OFF_CONVAL'!J18),LEN(TEXT(ABS('OFF_CONVAL'!J18),"0"))&gt;15),TRUE)),1,0)</f>
        <v/>
      </c>
      <c r="K18">
        <f>IF(AND('OFF_CONVAL'!K18&lt;&gt;"",OR(LEN('OFF_CONVAL'!K18)&gt;3,COUNTIF(CL_MONEDAISO,'OFF_CONVAL'!K18)=0)),1,0)</f>
        <v/>
      </c>
      <c r="L18">
        <f>IF(AND('OFF_CONVAL'!L18&lt;&gt;"",IF(ISNUMBER('OFF_CONVAL'!L18),OR('OFF_CONVAL'!L18&lt;&gt;INT('OFF_CONVAL'!L18),LEN(TEXT(ABS('OFF_CONVAL'!L18),"0"))&gt;5),TRUE)),1,0)</f>
        <v/>
      </c>
      <c r="M18">
        <f>IF(AND('OFF_CONVAL'!M18&lt;&gt;"",IF(ISNUMBER('OFF_CONVAL'!M18),OR('OFF_CONVAL'!M18&lt;&gt;INT('OFF_CONVAL'!M18),LEN(TEXT(ABS('OFF_CONVAL'!M18),"0"))&gt;5),TRUE)),1,0)</f>
        <v/>
      </c>
      <c r="N18">
        <f>IF(AND('OFF_CONVAL'!N18&lt;&gt;"",LEN('OFF_CONVAL'!N18)&gt;20),1,0)</f>
        <v/>
      </c>
      <c r="O18">
        <f>IF(AND('OFF_CONVAL'!O18&lt;&gt;"",IF(ISNUMBER('OFF_CONVAL'!O18),OR('OFF_CONVAL'!O18&lt;&gt;INT('OFF_CONVAL'!O18),LEN(TEXT(ABS('OFF_CONVAL'!O18),"0"))&gt;15),TRUE)),1,0)</f>
        <v/>
      </c>
      <c r="P18">
        <f>IF(AND('OFF_CONVAL'!P18&lt;&gt;"",OR(LEN('OFF_CONVAL'!P18)&gt;3,COUNTIF(CL_MONEDAISO,'OFF_CONVAL'!P18)=0)),1,0)</f>
        <v/>
      </c>
      <c r="Q18">
        <f>IF(AND('OFF_CONVAL'!Q18&lt;&gt;"",NOT(ISNUMBER('OFF_CONVAL'!Q18))),1,0)</f>
        <v/>
      </c>
    </row>
    <row r="19">
      <c r="A19">
        <f>IF(AND('OFF_CONVAL'!A19&lt;&gt;"",NOT(ISNUMBER('OFF_CONVAL'!A19))),1,0)</f>
        <v/>
      </c>
      <c r="B19">
        <f>IF(AND('OFF_CONVAL'!B19&lt;&gt;"",LEN('OFF_CONVAL'!B19)&gt;20),1,0)</f>
        <v/>
      </c>
      <c r="C19">
        <f>IF(AND('OFF_CONVAL'!C19&lt;&gt;"",OR(LEN('OFF_CONVAL'!C19)&gt;1,COUNTIF(CL_POSICIONOPERACION_V4,'OFF_CONVAL'!C19)=0)),1,0)</f>
        <v/>
      </c>
      <c r="D19">
        <f>IF(AND('OFF_CONVAL'!D19&lt;&gt;"",OR(LEN('OFF_CONVAL'!D19)&gt;2,COUNTIF(CL_OBJ_OPE_V1,'OFF_CONVAL'!D19)=0)),1,0)</f>
        <v/>
      </c>
      <c r="E19">
        <f>IF(AND('OFF_CONVAL'!E19&lt;&gt;"",COUNTIF(CL_PAQ_EST_DER_V1,'OFF_CONVAL'!E19)=0),1,0)</f>
        <v/>
      </c>
      <c r="F19">
        <f>IF(AND('OFF_CONVAL'!F19&lt;&gt;"",LEN('OFF_CONVAL'!F19)&gt;20),1,0)</f>
        <v/>
      </c>
      <c r="G19">
        <f>IF(AND('OFF_CONVAL'!G19&lt;&gt;"",IF(ISNUMBER('OFF_CONVAL'!G19),OR('OFF_CONVAL'!G19&lt;&gt;INT('OFF_CONVAL'!G19),LEN(TEXT(ABS('OFF_CONVAL'!G19),"0"))&gt;3),TRUE)),1,0)</f>
        <v/>
      </c>
      <c r="H19">
        <f>IF(AND('OFF_CONVAL'!H19&lt;&gt;"",IF(ISNUMBER('OFF_CONVAL'!H19),OR('OFF_CONVAL'!H19&lt;&gt;INT('OFF_CONVAL'!H19),LEN(TEXT(ABS('OFF_CONVAL'!H19),"0"))&gt;15),TRUE)),1,0)</f>
        <v/>
      </c>
      <c r="I19">
        <f>IF(AND('OFF_CONVAL'!I19&lt;&gt;"",OR(LEN('OFF_CONVAL'!I19)&gt;3,COUNTIF(CL_MONEDAISO,'OFF_CONVAL'!I19)=0)),1,0)</f>
        <v/>
      </c>
      <c r="J19">
        <f>IF(AND('OFF_CONVAL'!J19&lt;&gt;"",IF(ISNUMBER('OFF_CONVAL'!J19),OR('OFF_CONVAL'!J19&lt;&gt;INT('OFF_CONVAL'!J19),LEN(TEXT(ABS('OFF_CONVAL'!J19),"0"))&gt;15),TRUE)),1,0)</f>
        <v/>
      </c>
      <c r="K19">
        <f>IF(AND('OFF_CONVAL'!K19&lt;&gt;"",OR(LEN('OFF_CONVAL'!K19)&gt;3,COUNTIF(CL_MONEDAISO,'OFF_CONVAL'!K19)=0)),1,0)</f>
        <v/>
      </c>
      <c r="L19">
        <f>IF(AND('OFF_CONVAL'!L19&lt;&gt;"",IF(ISNUMBER('OFF_CONVAL'!L19),OR('OFF_CONVAL'!L19&lt;&gt;INT('OFF_CONVAL'!L19),LEN(TEXT(ABS('OFF_CONVAL'!L19),"0"))&gt;5),TRUE)),1,0)</f>
        <v/>
      </c>
      <c r="M19">
        <f>IF(AND('OFF_CONVAL'!M19&lt;&gt;"",IF(ISNUMBER('OFF_CONVAL'!M19),OR('OFF_CONVAL'!M19&lt;&gt;INT('OFF_CONVAL'!M19),LEN(TEXT(ABS('OFF_CONVAL'!M19),"0"))&gt;5),TRUE)),1,0)</f>
        <v/>
      </c>
      <c r="N19">
        <f>IF(AND('OFF_CONVAL'!N19&lt;&gt;"",LEN('OFF_CONVAL'!N19)&gt;20),1,0)</f>
        <v/>
      </c>
      <c r="O19">
        <f>IF(AND('OFF_CONVAL'!O19&lt;&gt;"",IF(ISNUMBER('OFF_CONVAL'!O19),OR('OFF_CONVAL'!O19&lt;&gt;INT('OFF_CONVAL'!O19),LEN(TEXT(ABS('OFF_CONVAL'!O19),"0"))&gt;15),TRUE)),1,0)</f>
        <v/>
      </c>
      <c r="P19">
        <f>IF(AND('OFF_CONVAL'!P19&lt;&gt;"",OR(LEN('OFF_CONVAL'!P19)&gt;3,COUNTIF(CL_MONEDAISO,'OFF_CONVAL'!P19)=0)),1,0)</f>
        <v/>
      </c>
      <c r="Q19">
        <f>IF(AND('OFF_CONVAL'!Q19&lt;&gt;"",NOT(ISNUMBER('OFF_CONVAL'!Q19))),1,0)</f>
        <v/>
      </c>
    </row>
    <row r="20">
      <c r="A20">
        <f>IF(AND('OFF_CONVAL'!A20&lt;&gt;"",NOT(ISNUMBER('OFF_CONVAL'!A20))),1,0)</f>
        <v/>
      </c>
      <c r="B20">
        <f>IF(AND('OFF_CONVAL'!B20&lt;&gt;"",LEN('OFF_CONVAL'!B20)&gt;20),1,0)</f>
        <v/>
      </c>
      <c r="C20">
        <f>IF(AND('OFF_CONVAL'!C20&lt;&gt;"",OR(LEN('OFF_CONVAL'!C20)&gt;1,COUNTIF(CL_POSICIONOPERACION_V4,'OFF_CONVAL'!C20)=0)),1,0)</f>
        <v/>
      </c>
      <c r="D20">
        <f>IF(AND('OFF_CONVAL'!D20&lt;&gt;"",OR(LEN('OFF_CONVAL'!D20)&gt;2,COUNTIF(CL_OBJ_OPE_V1,'OFF_CONVAL'!D20)=0)),1,0)</f>
        <v/>
      </c>
      <c r="E20">
        <f>IF(AND('OFF_CONVAL'!E20&lt;&gt;"",COUNTIF(CL_PAQ_EST_DER_V1,'OFF_CONVAL'!E20)=0),1,0)</f>
        <v/>
      </c>
      <c r="F20">
        <f>IF(AND('OFF_CONVAL'!F20&lt;&gt;"",LEN('OFF_CONVAL'!F20)&gt;20),1,0)</f>
        <v/>
      </c>
      <c r="G20">
        <f>IF(AND('OFF_CONVAL'!G20&lt;&gt;"",IF(ISNUMBER('OFF_CONVAL'!G20),OR('OFF_CONVAL'!G20&lt;&gt;INT('OFF_CONVAL'!G20),LEN(TEXT(ABS('OFF_CONVAL'!G20),"0"))&gt;3),TRUE)),1,0)</f>
        <v/>
      </c>
      <c r="H20">
        <f>IF(AND('OFF_CONVAL'!H20&lt;&gt;"",IF(ISNUMBER('OFF_CONVAL'!H20),OR('OFF_CONVAL'!H20&lt;&gt;INT('OFF_CONVAL'!H20),LEN(TEXT(ABS('OFF_CONVAL'!H20),"0"))&gt;15),TRUE)),1,0)</f>
        <v/>
      </c>
      <c r="I20">
        <f>IF(AND('OFF_CONVAL'!I20&lt;&gt;"",OR(LEN('OFF_CONVAL'!I20)&gt;3,COUNTIF(CL_MONEDAISO,'OFF_CONVAL'!I20)=0)),1,0)</f>
        <v/>
      </c>
      <c r="J20">
        <f>IF(AND('OFF_CONVAL'!J20&lt;&gt;"",IF(ISNUMBER('OFF_CONVAL'!J20),OR('OFF_CONVAL'!J20&lt;&gt;INT('OFF_CONVAL'!J20),LEN(TEXT(ABS('OFF_CONVAL'!J20),"0"))&gt;15),TRUE)),1,0)</f>
        <v/>
      </c>
      <c r="K20">
        <f>IF(AND('OFF_CONVAL'!K20&lt;&gt;"",OR(LEN('OFF_CONVAL'!K20)&gt;3,COUNTIF(CL_MONEDAISO,'OFF_CONVAL'!K20)=0)),1,0)</f>
        <v/>
      </c>
      <c r="L20">
        <f>IF(AND('OFF_CONVAL'!L20&lt;&gt;"",IF(ISNUMBER('OFF_CONVAL'!L20),OR('OFF_CONVAL'!L20&lt;&gt;INT('OFF_CONVAL'!L20),LEN(TEXT(ABS('OFF_CONVAL'!L20),"0"))&gt;5),TRUE)),1,0)</f>
        <v/>
      </c>
      <c r="M20">
        <f>IF(AND('OFF_CONVAL'!M20&lt;&gt;"",IF(ISNUMBER('OFF_CONVAL'!M20),OR('OFF_CONVAL'!M20&lt;&gt;INT('OFF_CONVAL'!M20),LEN(TEXT(ABS('OFF_CONVAL'!M20),"0"))&gt;5),TRUE)),1,0)</f>
        <v/>
      </c>
      <c r="N20">
        <f>IF(AND('OFF_CONVAL'!N20&lt;&gt;"",LEN('OFF_CONVAL'!N20)&gt;20),1,0)</f>
        <v/>
      </c>
      <c r="O20">
        <f>IF(AND('OFF_CONVAL'!O20&lt;&gt;"",IF(ISNUMBER('OFF_CONVAL'!O20),OR('OFF_CONVAL'!O20&lt;&gt;INT('OFF_CONVAL'!O20),LEN(TEXT(ABS('OFF_CONVAL'!O20),"0"))&gt;15),TRUE)),1,0)</f>
        <v/>
      </c>
      <c r="P20">
        <f>IF(AND('OFF_CONVAL'!P20&lt;&gt;"",OR(LEN('OFF_CONVAL'!P20)&gt;3,COUNTIF(CL_MONEDAISO,'OFF_CONVAL'!P20)=0)),1,0)</f>
        <v/>
      </c>
      <c r="Q20">
        <f>IF(AND('OFF_CONVAL'!Q20&lt;&gt;"",NOT(ISNUMBER('OFF_CONVAL'!Q20))),1,0)</f>
        <v/>
      </c>
    </row>
    <row r="21">
      <c r="A21">
        <f>IF(AND('OFF_CONVAL'!A21&lt;&gt;"",NOT(ISNUMBER('OFF_CONVAL'!A21))),1,0)</f>
        <v/>
      </c>
      <c r="B21">
        <f>IF(AND('OFF_CONVAL'!B21&lt;&gt;"",LEN('OFF_CONVAL'!B21)&gt;20),1,0)</f>
        <v/>
      </c>
      <c r="C21">
        <f>IF(AND('OFF_CONVAL'!C21&lt;&gt;"",OR(LEN('OFF_CONVAL'!C21)&gt;1,COUNTIF(CL_POSICIONOPERACION_V4,'OFF_CONVAL'!C21)=0)),1,0)</f>
        <v/>
      </c>
      <c r="D21">
        <f>IF(AND('OFF_CONVAL'!D21&lt;&gt;"",OR(LEN('OFF_CONVAL'!D21)&gt;2,COUNTIF(CL_OBJ_OPE_V1,'OFF_CONVAL'!D21)=0)),1,0)</f>
        <v/>
      </c>
      <c r="E21">
        <f>IF(AND('OFF_CONVAL'!E21&lt;&gt;"",COUNTIF(CL_PAQ_EST_DER_V1,'OFF_CONVAL'!E21)=0),1,0)</f>
        <v/>
      </c>
      <c r="F21">
        <f>IF(AND('OFF_CONVAL'!F21&lt;&gt;"",LEN('OFF_CONVAL'!F21)&gt;20),1,0)</f>
        <v/>
      </c>
      <c r="G21">
        <f>IF(AND('OFF_CONVAL'!G21&lt;&gt;"",IF(ISNUMBER('OFF_CONVAL'!G21),OR('OFF_CONVAL'!G21&lt;&gt;INT('OFF_CONVAL'!G21),LEN(TEXT(ABS('OFF_CONVAL'!G21),"0"))&gt;3),TRUE)),1,0)</f>
        <v/>
      </c>
      <c r="H21">
        <f>IF(AND('OFF_CONVAL'!H21&lt;&gt;"",IF(ISNUMBER('OFF_CONVAL'!H21),OR('OFF_CONVAL'!H21&lt;&gt;INT('OFF_CONVAL'!H21),LEN(TEXT(ABS('OFF_CONVAL'!H21),"0"))&gt;15),TRUE)),1,0)</f>
        <v/>
      </c>
      <c r="I21">
        <f>IF(AND('OFF_CONVAL'!I21&lt;&gt;"",OR(LEN('OFF_CONVAL'!I21)&gt;3,COUNTIF(CL_MONEDAISO,'OFF_CONVAL'!I21)=0)),1,0)</f>
        <v/>
      </c>
      <c r="J21">
        <f>IF(AND('OFF_CONVAL'!J21&lt;&gt;"",IF(ISNUMBER('OFF_CONVAL'!J21),OR('OFF_CONVAL'!J21&lt;&gt;INT('OFF_CONVAL'!J21),LEN(TEXT(ABS('OFF_CONVAL'!J21),"0"))&gt;15),TRUE)),1,0)</f>
        <v/>
      </c>
      <c r="K21">
        <f>IF(AND('OFF_CONVAL'!K21&lt;&gt;"",OR(LEN('OFF_CONVAL'!K21)&gt;3,COUNTIF(CL_MONEDAISO,'OFF_CONVAL'!K21)=0)),1,0)</f>
        <v/>
      </c>
      <c r="L21">
        <f>IF(AND('OFF_CONVAL'!L21&lt;&gt;"",IF(ISNUMBER('OFF_CONVAL'!L21),OR('OFF_CONVAL'!L21&lt;&gt;INT('OFF_CONVAL'!L21),LEN(TEXT(ABS('OFF_CONVAL'!L21),"0"))&gt;5),TRUE)),1,0)</f>
        <v/>
      </c>
      <c r="M21">
        <f>IF(AND('OFF_CONVAL'!M21&lt;&gt;"",IF(ISNUMBER('OFF_CONVAL'!M21),OR('OFF_CONVAL'!M21&lt;&gt;INT('OFF_CONVAL'!M21),LEN(TEXT(ABS('OFF_CONVAL'!M21),"0"))&gt;5),TRUE)),1,0)</f>
        <v/>
      </c>
      <c r="N21">
        <f>IF(AND('OFF_CONVAL'!N21&lt;&gt;"",LEN('OFF_CONVAL'!N21)&gt;20),1,0)</f>
        <v/>
      </c>
      <c r="O21">
        <f>IF(AND('OFF_CONVAL'!O21&lt;&gt;"",IF(ISNUMBER('OFF_CONVAL'!O21),OR('OFF_CONVAL'!O21&lt;&gt;INT('OFF_CONVAL'!O21),LEN(TEXT(ABS('OFF_CONVAL'!O21),"0"))&gt;15),TRUE)),1,0)</f>
        <v/>
      </c>
      <c r="P21">
        <f>IF(AND('OFF_CONVAL'!P21&lt;&gt;"",OR(LEN('OFF_CONVAL'!P21)&gt;3,COUNTIF(CL_MONEDAISO,'OFF_CONVAL'!P21)=0)),1,0)</f>
        <v/>
      </c>
      <c r="Q21">
        <f>IF(AND('OFF_CONVAL'!Q21&lt;&gt;"",NOT(ISNUMBER('OFF_CONVAL'!Q21))),1,0)</f>
        <v/>
      </c>
    </row>
    <row r="22">
      <c r="A22">
        <f>IF(AND('OFF_CONVAL'!A22&lt;&gt;"",NOT(ISNUMBER('OFF_CONVAL'!A22))),1,0)</f>
        <v/>
      </c>
      <c r="B22">
        <f>IF(AND('OFF_CONVAL'!B22&lt;&gt;"",LEN('OFF_CONVAL'!B22)&gt;20),1,0)</f>
        <v/>
      </c>
      <c r="C22">
        <f>IF(AND('OFF_CONVAL'!C22&lt;&gt;"",OR(LEN('OFF_CONVAL'!C22)&gt;1,COUNTIF(CL_POSICIONOPERACION_V4,'OFF_CONVAL'!C22)=0)),1,0)</f>
        <v/>
      </c>
      <c r="D22">
        <f>IF(AND('OFF_CONVAL'!D22&lt;&gt;"",OR(LEN('OFF_CONVAL'!D22)&gt;2,COUNTIF(CL_OBJ_OPE_V1,'OFF_CONVAL'!D22)=0)),1,0)</f>
        <v/>
      </c>
      <c r="E22">
        <f>IF(AND('OFF_CONVAL'!E22&lt;&gt;"",COUNTIF(CL_PAQ_EST_DER_V1,'OFF_CONVAL'!E22)=0),1,0)</f>
        <v/>
      </c>
      <c r="F22">
        <f>IF(AND('OFF_CONVAL'!F22&lt;&gt;"",LEN('OFF_CONVAL'!F22)&gt;20),1,0)</f>
        <v/>
      </c>
      <c r="G22">
        <f>IF(AND('OFF_CONVAL'!G22&lt;&gt;"",IF(ISNUMBER('OFF_CONVAL'!G22),OR('OFF_CONVAL'!G22&lt;&gt;INT('OFF_CONVAL'!G22),LEN(TEXT(ABS('OFF_CONVAL'!G22),"0"))&gt;3),TRUE)),1,0)</f>
        <v/>
      </c>
      <c r="H22">
        <f>IF(AND('OFF_CONVAL'!H22&lt;&gt;"",IF(ISNUMBER('OFF_CONVAL'!H22),OR('OFF_CONVAL'!H22&lt;&gt;INT('OFF_CONVAL'!H22),LEN(TEXT(ABS('OFF_CONVAL'!H22),"0"))&gt;15),TRUE)),1,0)</f>
        <v/>
      </c>
      <c r="I22">
        <f>IF(AND('OFF_CONVAL'!I22&lt;&gt;"",OR(LEN('OFF_CONVAL'!I22)&gt;3,COUNTIF(CL_MONEDAISO,'OFF_CONVAL'!I22)=0)),1,0)</f>
        <v/>
      </c>
      <c r="J22">
        <f>IF(AND('OFF_CONVAL'!J22&lt;&gt;"",IF(ISNUMBER('OFF_CONVAL'!J22),OR('OFF_CONVAL'!J22&lt;&gt;INT('OFF_CONVAL'!J22),LEN(TEXT(ABS('OFF_CONVAL'!J22),"0"))&gt;15),TRUE)),1,0)</f>
        <v/>
      </c>
      <c r="K22">
        <f>IF(AND('OFF_CONVAL'!K22&lt;&gt;"",OR(LEN('OFF_CONVAL'!K22)&gt;3,COUNTIF(CL_MONEDAISO,'OFF_CONVAL'!K22)=0)),1,0)</f>
        <v/>
      </c>
      <c r="L22">
        <f>IF(AND('OFF_CONVAL'!L22&lt;&gt;"",IF(ISNUMBER('OFF_CONVAL'!L22),OR('OFF_CONVAL'!L22&lt;&gt;INT('OFF_CONVAL'!L22),LEN(TEXT(ABS('OFF_CONVAL'!L22),"0"))&gt;5),TRUE)),1,0)</f>
        <v/>
      </c>
      <c r="M22">
        <f>IF(AND('OFF_CONVAL'!M22&lt;&gt;"",IF(ISNUMBER('OFF_CONVAL'!M22),OR('OFF_CONVAL'!M22&lt;&gt;INT('OFF_CONVAL'!M22),LEN(TEXT(ABS('OFF_CONVAL'!M22),"0"))&gt;5),TRUE)),1,0)</f>
        <v/>
      </c>
      <c r="N22">
        <f>IF(AND('OFF_CONVAL'!N22&lt;&gt;"",LEN('OFF_CONVAL'!N22)&gt;20),1,0)</f>
        <v/>
      </c>
      <c r="O22">
        <f>IF(AND('OFF_CONVAL'!O22&lt;&gt;"",IF(ISNUMBER('OFF_CONVAL'!O22),OR('OFF_CONVAL'!O22&lt;&gt;INT('OFF_CONVAL'!O22),LEN(TEXT(ABS('OFF_CONVAL'!O22),"0"))&gt;15),TRUE)),1,0)</f>
        <v/>
      </c>
      <c r="P22">
        <f>IF(AND('OFF_CONVAL'!P22&lt;&gt;"",OR(LEN('OFF_CONVAL'!P22)&gt;3,COUNTIF(CL_MONEDAISO,'OFF_CONVAL'!P22)=0)),1,0)</f>
        <v/>
      </c>
      <c r="Q22">
        <f>IF(AND('OFF_CONVAL'!Q22&lt;&gt;"",NOT(ISNUMBER('OFF_CONVAL'!Q22))),1,0)</f>
        <v/>
      </c>
    </row>
    <row r="23">
      <c r="A23">
        <f>IF(AND('OFF_CONVAL'!A23&lt;&gt;"",NOT(ISNUMBER('OFF_CONVAL'!A23))),1,0)</f>
        <v/>
      </c>
      <c r="B23">
        <f>IF(AND('OFF_CONVAL'!B23&lt;&gt;"",LEN('OFF_CONVAL'!B23)&gt;20),1,0)</f>
        <v/>
      </c>
      <c r="C23">
        <f>IF(AND('OFF_CONVAL'!C23&lt;&gt;"",OR(LEN('OFF_CONVAL'!C23)&gt;1,COUNTIF(CL_POSICIONOPERACION_V4,'OFF_CONVAL'!C23)=0)),1,0)</f>
        <v/>
      </c>
      <c r="D23">
        <f>IF(AND('OFF_CONVAL'!D23&lt;&gt;"",OR(LEN('OFF_CONVAL'!D23)&gt;2,COUNTIF(CL_OBJ_OPE_V1,'OFF_CONVAL'!D23)=0)),1,0)</f>
        <v/>
      </c>
      <c r="E23">
        <f>IF(AND('OFF_CONVAL'!E23&lt;&gt;"",COUNTIF(CL_PAQ_EST_DER_V1,'OFF_CONVAL'!E23)=0),1,0)</f>
        <v/>
      </c>
      <c r="F23">
        <f>IF(AND('OFF_CONVAL'!F23&lt;&gt;"",LEN('OFF_CONVAL'!F23)&gt;20),1,0)</f>
        <v/>
      </c>
      <c r="G23">
        <f>IF(AND('OFF_CONVAL'!G23&lt;&gt;"",IF(ISNUMBER('OFF_CONVAL'!G23),OR('OFF_CONVAL'!G23&lt;&gt;INT('OFF_CONVAL'!G23),LEN(TEXT(ABS('OFF_CONVAL'!G23),"0"))&gt;3),TRUE)),1,0)</f>
        <v/>
      </c>
      <c r="H23">
        <f>IF(AND('OFF_CONVAL'!H23&lt;&gt;"",IF(ISNUMBER('OFF_CONVAL'!H23),OR('OFF_CONVAL'!H23&lt;&gt;INT('OFF_CONVAL'!H23),LEN(TEXT(ABS('OFF_CONVAL'!H23),"0"))&gt;15),TRUE)),1,0)</f>
        <v/>
      </c>
      <c r="I23">
        <f>IF(AND('OFF_CONVAL'!I23&lt;&gt;"",OR(LEN('OFF_CONVAL'!I23)&gt;3,COUNTIF(CL_MONEDAISO,'OFF_CONVAL'!I23)=0)),1,0)</f>
        <v/>
      </c>
      <c r="J23">
        <f>IF(AND('OFF_CONVAL'!J23&lt;&gt;"",IF(ISNUMBER('OFF_CONVAL'!J23),OR('OFF_CONVAL'!J23&lt;&gt;INT('OFF_CONVAL'!J23),LEN(TEXT(ABS('OFF_CONVAL'!J23),"0"))&gt;15),TRUE)),1,0)</f>
        <v/>
      </c>
      <c r="K23">
        <f>IF(AND('OFF_CONVAL'!K23&lt;&gt;"",OR(LEN('OFF_CONVAL'!K23)&gt;3,COUNTIF(CL_MONEDAISO,'OFF_CONVAL'!K23)=0)),1,0)</f>
        <v/>
      </c>
      <c r="L23">
        <f>IF(AND('OFF_CONVAL'!L23&lt;&gt;"",IF(ISNUMBER('OFF_CONVAL'!L23),OR('OFF_CONVAL'!L23&lt;&gt;INT('OFF_CONVAL'!L23),LEN(TEXT(ABS('OFF_CONVAL'!L23),"0"))&gt;5),TRUE)),1,0)</f>
        <v/>
      </c>
      <c r="M23">
        <f>IF(AND('OFF_CONVAL'!M23&lt;&gt;"",IF(ISNUMBER('OFF_CONVAL'!M23),OR('OFF_CONVAL'!M23&lt;&gt;INT('OFF_CONVAL'!M23),LEN(TEXT(ABS('OFF_CONVAL'!M23),"0"))&gt;5),TRUE)),1,0)</f>
        <v/>
      </c>
      <c r="N23">
        <f>IF(AND('OFF_CONVAL'!N23&lt;&gt;"",LEN('OFF_CONVAL'!N23)&gt;20),1,0)</f>
        <v/>
      </c>
      <c r="O23">
        <f>IF(AND('OFF_CONVAL'!O23&lt;&gt;"",IF(ISNUMBER('OFF_CONVAL'!O23),OR('OFF_CONVAL'!O23&lt;&gt;INT('OFF_CONVAL'!O23),LEN(TEXT(ABS('OFF_CONVAL'!O23),"0"))&gt;15),TRUE)),1,0)</f>
        <v/>
      </c>
      <c r="P23">
        <f>IF(AND('OFF_CONVAL'!P23&lt;&gt;"",OR(LEN('OFF_CONVAL'!P23)&gt;3,COUNTIF(CL_MONEDAISO,'OFF_CONVAL'!P23)=0)),1,0)</f>
        <v/>
      </c>
      <c r="Q23">
        <f>IF(AND('OFF_CONVAL'!Q23&lt;&gt;"",NOT(ISNUMBER('OFF_CONVAL'!Q23))),1,0)</f>
        <v/>
      </c>
    </row>
    <row r="24">
      <c r="A24">
        <f>IF(AND('OFF_CONVAL'!A24&lt;&gt;"",NOT(ISNUMBER('OFF_CONVAL'!A24))),1,0)</f>
        <v/>
      </c>
      <c r="B24">
        <f>IF(AND('OFF_CONVAL'!B24&lt;&gt;"",LEN('OFF_CONVAL'!B24)&gt;20),1,0)</f>
        <v/>
      </c>
      <c r="C24">
        <f>IF(AND('OFF_CONVAL'!C24&lt;&gt;"",OR(LEN('OFF_CONVAL'!C24)&gt;1,COUNTIF(CL_POSICIONOPERACION_V4,'OFF_CONVAL'!C24)=0)),1,0)</f>
        <v/>
      </c>
      <c r="D24">
        <f>IF(AND('OFF_CONVAL'!D24&lt;&gt;"",OR(LEN('OFF_CONVAL'!D24)&gt;2,COUNTIF(CL_OBJ_OPE_V1,'OFF_CONVAL'!D24)=0)),1,0)</f>
        <v/>
      </c>
      <c r="E24">
        <f>IF(AND('OFF_CONVAL'!E24&lt;&gt;"",COUNTIF(CL_PAQ_EST_DER_V1,'OFF_CONVAL'!E24)=0),1,0)</f>
        <v/>
      </c>
      <c r="F24">
        <f>IF(AND('OFF_CONVAL'!F24&lt;&gt;"",LEN('OFF_CONVAL'!F24)&gt;20),1,0)</f>
        <v/>
      </c>
      <c r="G24">
        <f>IF(AND('OFF_CONVAL'!G24&lt;&gt;"",IF(ISNUMBER('OFF_CONVAL'!G24),OR('OFF_CONVAL'!G24&lt;&gt;INT('OFF_CONVAL'!G24),LEN(TEXT(ABS('OFF_CONVAL'!G24),"0"))&gt;3),TRUE)),1,0)</f>
        <v/>
      </c>
      <c r="H24">
        <f>IF(AND('OFF_CONVAL'!H24&lt;&gt;"",IF(ISNUMBER('OFF_CONVAL'!H24),OR('OFF_CONVAL'!H24&lt;&gt;INT('OFF_CONVAL'!H24),LEN(TEXT(ABS('OFF_CONVAL'!H24),"0"))&gt;15),TRUE)),1,0)</f>
        <v/>
      </c>
      <c r="I24">
        <f>IF(AND('OFF_CONVAL'!I24&lt;&gt;"",OR(LEN('OFF_CONVAL'!I24)&gt;3,COUNTIF(CL_MONEDAISO,'OFF_CONVAL'!I24)=0)),1,0)</f>
        <v/>
      </c>
      <c r="J24">
        <f>IF(AND('OFF_CONVAL'!J24&lt;&gt;"",IF(ISNUMBER('OFF_CONVAL'!J24),OR('OFF_CONVAL'!J24&lt;&gt;INT('OFF_CONVAL'!J24),LEN(TEXT(ABS('OFF_CONVAL'!J24),"0"))&gt;15),TRUE)),1,0)</f>
        <v/>
      </c>
      <c r="K24">
        <f>IF(AND('OFF_CONVAL'!K24&lt;&gt;"",OR(LEN('OFF_CONVAL'!K24)&gt;3,COUNTIF(CL_MONEDAISO,'OFF_CONVAL'!K24)=0)),1,0)</f>
        <v/>
      </c>
      <c r="L24">
        <f>IF(AND('OFF_CONVAL'!L24&lt;&gt;"",IF(ISNUMBER('OFF_CONVAL'!L24),OR('OFF_CONVAL'!L24&lt;&gt;INT('OFF_CONVAL'!L24),LEN(TEXT(ABS('OFF_CONVAL'!L24),"0"))&gt;5),TRUE)),1,0)</f>
        <v/>
      </c>
      <c r="M24">
        <f>IF(AND('OFF_CONVAL'!M24&lt;&gt;"",IF(ISNUMBER('OFF_CONVAL'!M24),OR('OFF_CONVAL'!M24&lt;&gt;INT('OFF_CONVAL'!M24),LEN(TEXT(ABS('OFF_CONVAL'!M24),"0"))&gt;5),TRUE)),1,0)</f>
        <v/>
      </c>
      <c r="N24">
        <f>IF(AND('OFF_CONVAL'!N24&lt;&gt;"",LEN('OFF_CONVAL'!N24)&gt;20),1,0)</f>
        <v/>
      </c>
      <c r="O24">
        <f>IF(AND('OFF_CONVAL'!O24&lt;&gt;"",IF(ISNUMBER('OFF_CONVAL'!O24),OR('OFF_CONVAL'!O24&lt;&gt;INT('OFF_CONVAL'!O24),LEN(TEXT(ABS('OFF_CONVAL'!O24),"0"))&gt;15),TRUE)),1,0)</f>
        <v/>
      </c>
      <c r="P24">
        <f>IF(AND('OFF_CONVAL'!P24&lt;&gt;"",OR(LEN('OFF_CONVAL'!P24)&gt;3,COUNTIF(CL_MONEDAISO,'OFF_CONVAL'!P24)=0)),1,0)</f>
        <v/>
      </c>
      <c r="Q24">
        <f>IF(AND('OFF_CONVAL'!Q24&lt;&gt;"",NOT(ISNUMBER('OFF_CONVAL'!Q24))),1,0)</f>
        <v/>
      </c>
    </row>
    <row r="25">
      <c r="A25">
        <f>IF(AND('OFF_CONVAL'!A25&lt;&gt;"",NOT(ISNUMBER('OFF_CONVAL'!A25))),1,0)</f>
        <v/>
      </c>
      <c r="B25">
        <f>IF(AND('OFF_CONVAL'!B25&lt;&gt;"",LEN('OFF_CONVAL'!B25)&gt;20),1,0)</f>
        <v/>
      </c>
      <c r="C25">
        <f>IF(AND('OFF_CONVAL'!C25&lt;&gt;"",OR(LEN('OFF_CONVAL'!C25)&gt;1,COUNTIF(CL_POSICIONOPERACION_V4,'OFF_CONVAL'!C25)=0)),1,0)</f>
        <v/>
      </c>
      <c r="D25">
        <f>IF(AND('OFF_CONVAL'!D25&lt;&gt;"",OR(LEN('OFF_CONVAL'!D25)&gt;2,COUNTIF(CL_OBJ_OPE_V1,'OFF_CONVAL'!D25)=0)),1,0)</f>
        <v/>
      </c>
      <c r="E25">
        <f>IF(AND('OFF_CONVAL'!E25&lt;&gt;"",COUNTIF(CL_PAQ_EST_DER_V1,'OFF_CONVAL'!E25)=0),1,0)</f>
        <v/>
      </c>
      <c r="F25">
        <f>IF(AND('OFF_CONVAL'!F25&lt;&gt;"",LEN('OFF_CONVAL'!F25)&gt;20),1,0)</f>
        <v/>
      </c>
      <c r="G25">
        <f>IF(AND('OFF_CONVAL'!G25&lt;&gt;"",IF(ISNUMBER('OFF_CONVAL'!G25),OR('OFF_CONVAL'!G25&lt;&gt;INT('OFF_CONVAL'!G25),LEN(TEXT(ABS('OFF_CONVAL'!G25),"0"))&gt;3),TRUE)),1,0)</f>
        <v/>
      </c>
      <c r="H25">
        <f>IF(AND('OFF_CONVAL'!H25&lt;&gt;"",IF(ISNUMBER('OFF_CONVAL'!H25),OR('OFF_CONVAL'!H25&lt;&gt;INT('OFF_CONVAL'!H25),LEN(TEXT(ABS('OFF_CONVAL'!H25),"0"))&gt;15),TRUE)),1,0)</f>
        <v/>
      </c>
      <c r="I25">
        <f>IF(AND('OFF_CONVAL'!I25&lt;&gt;"",OR(LEN('OFF_CONVAL'!I25)&gt;3,COUNTIF(CL_MONEDAISO,'OFF_CONVAL'!I25)=0)),1,0)</f>
        <v/>
      </c>
      <c r="J25">
        <f>IF(AND('OFF_CONVAL'!J25&lt;&gt;"",IF(ISNUMBER('OFF_CONVAL'!J25),OR('OFF_CONVAL'!J25&lt;&gt;INT('OFF_CONVAL'!J25),LEN(TEXT(ABS('OFF_CONVAL'!J25),"0"))&gt;15),TRUE)),1,0)</f>
        <v/>
      </c>
      <c r="K25">
        <f>IF(AND('OFF_CONVAL'!K25&lt;&gt;"",OR(LEN('OFF_CONVAL'!K25)&gt;3,COUNTIF(CL_MONEDAISO,'OFF_CONVAL'!K25)=0)),1,0)</f>
        <v/>
      </c>
      <c r="L25">
        <f>IF(AND('OFF_CONVAL'!L25&lt;&gt;"",IF(ISNUMBER('OFF_CONVAL'!L25),OR('OFF_CONVAL'!L25&lt;&gt;INT('OFF_CONVAL'!L25),LEN(TEXT(ABS('OFF_CONVAL'!L25),"0"))&gt;5),TRUE)),1,0)</f>
        <v/>
      </c>
      <c r="M25">
        <f>IF(AND('OFF_CONVAL'!M25&lt;&gt;"",IF(ISNUMBER('OFF_CONVAL'!M25),OR('OFF_CONVAL'!M25&lt;&gt;INT('OFF_CONVAL'!M25),LEN(TEXT(ABS('OFF_CONVAL'!M25),"0"))&gt;5),TRUE)),1,0)</f>
        <v/>
      </c>
      <c r="N25">
        <f>IF(AND('OFF_CONVAL'!N25&lt;&gt;"",LEN('OFF_CONVAL'!N25)&gt;20),1,0)</f>
        <v/>
      </c>
      <c r="O25">
        <f>IF(AND('OFF_CONVAL'!O25&lt;&gt;"",IF(ISNUMBER('OFF_CONVAL'!O25),OR('OFF_CONVAL'!O25&lt;&gt;INT('OFF_CONVAL'!O25),LEN(TEXT(ABS('OFF_CONVAL'!O25),"0"))&gt;15),TRUE)),1,0)</f>
        <v/>
      </c>
      <c r="P25">
        <f>IF(AND('OFF_CONVAL'!P25&lt;&gt;"",OR(LEN('OFF_CONVAL'!P25)&gt;3,COUNTIF(CL_MONEDAISO,'OFF_CONVAL'!P25)=0)),1,0)</f>
        <v/>
      </c>
      <c r="Q25">
        <f>IF(AND('OFF_CONVAL'!Q25&lt;&gt;"",NOT(ISNUMBER('OFF_CONVAL'!Q25))),1,0)</f>
        <v/>
      </c>
    </row>
    <row r="26">
      <c r="A26">
        <f>IF(AND('OFF_CONVAL'!A26&lt;&gt;"",NOT(ISNUMBER('OFF_CONVAL'!A26))),1,0)</f>
        <v/>
      </c>
      <c r="B26">
        <f>IF(AND('OFF_CONVAL'!B26&lt;&gt;"",LEN('OFF_CONVAL'!B26)&gt;20),1,0)</f>
        <v/>
      </c>
      <c r="C26">
        <f>IF(AND('OFF_CONVAL'!C26&lt;&gt;"",OR(LEN('OFF_CONVAL'!C26)&gt;1,COUNTIF(CL_POSICIONOPERACION_V4,'OFF_CONVAL'!C26)=0)),1,0)</f>
        <v/>
      </c>
      <c r="D26">
        <f>IF(AND('OFF_CONVAL'!D26&lt;&gt;"",OR(LEN('OFF_CONVAL'!D26)&gt;2,COUNTIF(CL_OBJ_OPE_V1,'OFF_CONVAL'!D26)=0)),1,0)</f>
        <v/>
      </c>
      <c r="E26">
        <f>IF(AND('OFF_CONVAL'!E26&lt;&gt;"",COUNTIF(CL_PAQ_EST_DER_V1,'OFF_CONVAL'!E26)=0),1,0)</f>
        <v/>
      </c>
      <c r="F26">
        <f>IF(AND('OFF_CONVAL'!F26&lt;&gt;"",LEN('OFF_CONVAL'!F26)&gt;20),1,0)</f>
        <v/>
      </c>
      <c r="G26">
        <f>IF(AND('OFF_CONVAL'!G26&lt;&gt;"",IF(ISNUMBER('OFF_CONVAL'!G26),OR('OFF_CONVAL'!G26&lt;&gt;INT('OFF_CONVAL'!G26),LEN(TEXT(ABS('OFF_CONVAL'!G26),"0"))&gt;3),TRUE)),1,0)</f>
        <v/>
      </c>
      <c r="H26">
        <f>IF(AND('OFF_CONVAL'!H26&lt;&gt;"",IF(ISNUMBER('OFF_CONVAL'!H26),OR('OFF_CONVAL'!H26&lt;&gt;INT('OFF_CONVAL'!H26),LEN(TEXT(ABS('OFF_CONVAL'!H26),"0"))&gt;15),TRUE)),1,0)</f>
        <v/>
      </c>
      <c r="I26">
        <f>IF(AND('OFF_CONVAL'!I26&lt;&gt;"",OR(LEN('OFF_CONVAL'!I26)&gt;3,COUNTIF(CL_MONEDAISO,'OFF_CONVAL'!I26)=0)),1,0)</f>
        <v/>
      </c>
      <c r="J26">
        <f>IF(AND('OFF_CONVAL'!J26&lt;&gt;"",IF(ISNUMBER('OFF_CONVAL'!J26),OR('OFF_CONVAL'!J26&lt;&gt;INT('OFF_CONVAL'!J26),LEN(TEXT(ABS('OFF_CONVAL'!J26),"0"))&gt;15),TRUE)),1,0)</f>
        <v/>
      </c>
      <c r="K26">
        <f>IF(AND('OFF_CONVAL'!K26&lt;&gt;"",OR(LEN('OFF_CONVAL'!K26)&gt;3,COUNTIF(CL_MONEDAISO,'OFF_CONVAL'!K26)=0)),1,0)</f>
        <v/>
      </c>
      <c r="L26">
        <f>IF(AND('OFF_CONVAL'!L26&lt;&gt;"",IF(ISNUMBER('OFF_CONVAL'!L26),OR('OFF_CONVAL'!L26&lt;&gt;INT('OFF_CONVAL'!L26),LEN(TEXT(ABS('OFF_CONVAL'!L26),"0"))&gt;5),TRUE)),1,0)</f>
        <v/>
      </c>
      <c r="M26">
        <f>IF(AND('OFF_CONVAL'!M26&lt;&gt;"",IF(ISNUMBER('OFF_CONVAL'!M26),OR('OFF_CONVAL'!M26&lt;&gt;INT('OFF_CONVAL'!M26),LEN(TEXT(ABS('OFF_CONVAL'!M26),"0"))&gt;5),TRUE)),1,0)</f>
        <v/>
      </c>
      <c r="N26">
        <f>IF(AND('OFF_CONVAL'!N26&lt;&gt;"",LEN('OFF_CONVAL'!N26)&gt;20),1,0)</f>
        <v/>
      </c>
      <c r="O26">
        <f>IF(AND('OFF_CONVAL'!O26&lt;&gt;"",IF(ISNUMBER('OFF_CONVAL'!O26),OR('OFF_CONVAL'!O26&lt;&gt;INT('OFF_CONVAL'!O26),LEN(TEXT(ABS('OFF_CONVAL'!O26),"0"))&gt;15),TRUE)),1,0)</f>
        <v/>
      </c>
      <c r="P26">
        <f>IF(AND('OFF_CONVAL'!P26&lt;&gt;"",OR(LEN('OFF_CONVAL'!P26)&gt;3,COUNTIF(CL_MONEDAISO,'OFF_CONVAL'!P26)=0)),1,0)</f>
        <v/>
      </c>
      <c r="Q26">
        <f>IF(AND('OFF_CONVAL'!Q26&lt;&gt;"",NOT(ISNUMBER('OFF_CONVAL'!Q26))),1,0)</f>
        <v/>
      </c>
    </row>
    <row r="27">
      <c r="A27">
        <f>IF(AND('OFF_CONVAL'!A27&lt;&gt;"",NOT(ISNUMBER('OFF_CONVAL'!A27))),1,0)</f>
        <v/>
      </c>
      <c r="B27">
        <f>IF(AND('OFF_CONVAL'!B27&lt;&gt;"",LEN('OFF_CONVAL'!B27)&gt;20),1,0)</f>
        <v/>
      </c>
      <c r="C27">
        <f>IF(AND('OFF_CONVAL'!C27&lt;&gt;"",OR(LEN('OFF_CONVAL'!C27)&gt;1,COUNTIF(CL_POSICIONOPERACION_V4,'OFF_CONVAL'!C27)=0)),1,0)</f>
        <v/>
      </c>
      <c r="D27">
        <f>IF(AND('OFF_CONVAL'!D27&lt;&gt;"",OR(LEN('OFF_CONVAL'!D27)&gt;2,COUNTIF(CL_OBJ_OPE_V1,'OFF_CONVAL'!D27)=0)),1,0)</f>
        <v/>
      </c>
      <c r="E27">
        <f>IF(AND('OFF_CONVAL'!E27&lt;&gt;"",COUNTIF(CL_PAQ_EST_DER_V1,'OFF_CONVAL'!E27)=0),1,0)</f>
        <v/>
      </c>
      <c r="F27">
        <f>IF(AND('OFF_CONVAL'!F27&lt;&gt;"",LEN('OFF_CONVAL'!F27)&gt;20),1,0)</f>
        <v/>
      </c>
      <c r="G27">
        <f>IF(AND('OFF_CONVAL'!G27&lt;&gt;"",IF(ISNUMBER('OFF_CONVAL'!G27),OR('OFF_CONVAL'!G27&lt;&gt;INT('OFF_CONVAL'!G27),LEN(TEXT(ABS('OFF_CONVAL'!G27),"0"))&gt;3),TRUE)),1,0)</f>
        <v/>
      </c>
      <c r="H27">
        <f>IF(AND('OFF_CONVAL'!H27&lt;&gt;"",IF(ISNUMBER('OFF_CONVAL'!H27),OR('OFF_CONVAL'!H27&lt;&gt;INT('OFF_CONVAL'!H27),LEN(TEXT(ABS('OFF_CONVAL'!H27),"0"))&gt;15),TRUE)),1,0)</f>
        <v/>
      </c>
      <c r="I27">
        <f>IF(AND('OFF_CONVAL'!I27&lt;&gt;"",OR(LEN('OFF_CONVAL'!I27)&gt;3,COUNTIF(CL_MONEDAISO,'OFF_CONVAL'!I27)=0)),1,0)</f>
        <v/>
      </c>
      <c r="J27">
        <f>IF(AND('OFF_CONVAL'!J27&lt;&gt;"",IF(ISNUMBER('OFF_CONVAL'!J27),OR('OFF_CONVAL'!J27&lt;&gt;INT('OFF_CONVAL'!J27),LEN(TEXT(ABS('OFF_CONVAL'!J27),"0"))&gt;15),TRUE)),1,0)</f>
        <v/>
      </c>
      <c r="K27">
        <f>IF(AND('OFF_CONVAL'!K27&lt;&gt;"",OR(LEN('OFF_CONVAL'!K27)&gt;3,COUNTIF(CL_MONEDAISO,'OFF_CONVAL'!K27)=0)),1,0)</f>
        <v/>
      </c>
      <c r="L27">
        <f>IF(AND('OFF_CONVAL'!L27&lt;&gt;"",IF(ISNUMBER('OFF_CONVAL'!L27),OR('OFF_CONVAL'!L27&lt;&gt;INT('OFF_CONVAL'!L27),LEN(TEXT(ABS('OFF_CONVAL'!L27),"0"))&gt;5),TRUE)),1,0)</f>
        <v/>
      </c>
      <c r="M27">
        <f>IF(AND('OFF_CONVAL'!M27&lt;&gt;"",IF(ISNUMBER('OFF_CONVAL'!M27),OR('OFF_CONVAL'!M27&lt;&gt;INT('OFF_CONVAL'!M27),LEN(TEXT(ABS('OFF_CONVAL'!M27),"0"))&gt;5),TRUE)),1,0)</f>
        <v/>
      </c>
      <c r="N27">
        <f>IF(AND('OFF_CONVAL'!N27&lt;&gt;"",LEN('OFF_CONVAL'!N27)&gt;20),1,0)</f>
        <v/>
      </c>
      <c r="O27">
        <f>IF(AND('OFF_CONVAL'!O27&lt;&gt;"",IF(ISNUMBER('OFF_CONVAL'!O27),OR('OFF_CONVAL'!O27&lt;&gt;INT('OFF_CONVAL'!O27),LEN(TEXT(ABS('OFF_CONVAL'!O27),"0"))&gt;15),TRUE)),1,0)</f>
        <v/>
      </c>
      <c r="P27">
        <f>IF(AND('OFF_CONVAL'!P27&lt;&gt;"",OR(LEN('OFF_CONVAL'!P27)&gt;3,COUNTIF(CL_MONEDAISO,'OFF_CONVAL'!P27)=0)),1,0)</f>
        <v/>
      </c>
      <c r="Q27">
        <f>IF(AND('OFF_CONVAL'!Q27&lt;&gt;"",NOT(ISNUMBER('OFF_CONVAL'!Q27))),1,0)</f>
        <v/>
      </c>
    </row>
    <row r="28">
      <c r="A28">
        <f>IF(AND('OFF_CONVAL'!A28&lt;&gt;"",NOT(ISNUMBER('OFF_CONVAL'!A28))),1,0)</f>
        <v/>
      </c>
      <c r="B28">
        <f>IF(AND('OFF_CONVAL'!B28&lt;&gt;"",LEN('OFF_CONVAL'!B28)&gt;20),1,0)</f>
        <v/>
      </c>
      <c r="C28">
        <f>IF(AND('OFF_CONVAL'!C28&lt;&gt;"",OR(LEN('OFF_CONVAL'!C28)&gt;1,COUNTIF(CL_POSICIONOPERACION_V4,'OFF_CONVAL'!C28)=0)),1,0)</f>
        <v/>
      </c>
      <c r="D28">
        <f>IF(AND('OFF_CONVAL'!D28&lt;&gt;"",OR(LEN('OFF_CONVAL'!D28)&gt;2,COUNTIF(CL_OBJ_OPE_V1,'OFF_CONVAL'!D28)=0)),1,0)</f>
        <v/>
      </c>
      <c r="E28">
        <f>IF(AND('OFF_CONVAL'!E28&lt;&gt;"",COUNTIF(CL_PAQ_EST_DER_V1,'OFF_CONVAL'!E28)=0),1,0)</f>
        <v/>
      </c>
      <c r="F28">
        <f>IF(AND('OFF_CONVAL'!F28&lt;&gt;"",LEN('OFF_CONVAL'!F28)&gt;20),1,0)</f>
        <v/>
      </c>
      <c r="G28">
        <f>IF(AND('OFF_CONVAL'!G28&lt;&gt;"",IF(ISNUMBER('OFF_CONVAL'!G28),OR('OFF_CONVAL'!G28&lt;&gt;INT('OFF_CONVAL'!G28),LEN(TEXT(ABS('OFF_CONVAL'!G28),"0"))&gt;3),TRUE)),1,0)</f>
        <v/>
      </c>
      <c r="H28">
        <f>IF(AND('OFF_CONVAL'!H28&lt;&gt;"",IF(ISNUMBER('OFF_CONVAL'!H28),OR('OFF_CONVAL'!H28&lt;&gt;INT('OFF_CONVAL'!H28),LEN(TEXT(ABS('OFF_CONVAL'!H28),"0"))&gt;15),TRUE)),1,0)</f>
        <v/>
      </c>
      <c r="I28">
        <f>IF(AND('OFF_CONVAL'!I28&lt;&gt;"",OR(LEN('OFF_CONVAL'!I28)&gt;3,COUNTIF(CL_MONEDAISO,'OFF_CONVAL'!I28)=0)),1,0)</f>
        <v/>
      </c>
      <c r="J28">
        <f>IF(AND('OFF_CONVAL'!J28&lt;&gt;"",IF(ISNUMBER('OFF_CONVAL'!J28),OR('OFF_CONVAL'!J28&lt;&gt;INT('OFF_CONVAL'!J28),LEN(TEXT(ABS('OFF_CONVAL'!J28),"0"))&gt;15),TRUE)),1,0)</f>
        <v/>
      </c>
      <c r="K28">
        <f>IF(AND('OFF_CONVAL'!K28&lt;&gt;"",OR(LEN('OFF_CONVAL'!K28)&gt;3,COUNTIF(CL_MONEDAISO,'OFF_CONVAL'!K28)=0)),1,0)</f>
        <v/>
      </c>
      <c r="L28">
        <f>IF(AND('OFF_CONVAL'!L28&lt;&gt;"",IF(ISNUMBER('OFF_CONVAL'!L28),OR('OFF_CONVAL'!L28&lt;&gt;INT('OFF_CONVAL'!L28),LEN(TEXT(ABS('OFF_CONVAL'!L28),"0"))&gt;5),TRUE)),1,0)</f>
        <v/>
      </c>
      <c r="M28">
        <f>IF(AND('OFF_CONVAL'!M28&lt;&gt;"",IF(ISNUMBER('OFF_CONVAL'!M28),OR('OFF_CONVAL'!M28&lt;&gt;INT('OFF_CONVAL'!M28),LEN(TEXT(ABS('OFF_CONVAL'!M28),"0"))&gt;5),TRUE)),1,0)</f>
        <v/>
      </c>
      <c r="N28">
        <f>IF(AND('OFF_CONVAL'!N28&lt;&gt;"",LEN('OFF_CONVAL'!N28)&gt;20),1,0)</f>
        <v/>
      </c>
      <c r="O28">
        <f>IF(AND('OFF_CONVAL'!O28&lt;&gt;"",IF(ISNUMBER('OFF_CONVAL'!O28),OR('OFF_CONVAL'!O28&lt;&gt;INT('OFF_CONVAL'!O28),LEN(TEXT(ABS('OFF_CONVAL'!O28),"0"))&gt;15),TRUE)),1,0)</f>
        <v/>
      </c>
      <c r="P28">
        <f>IF(AND('OFF_CONVAL'!P28&lt;&gt;"",OR(LEN('OFF_CONVAL'!P28)&gt;3,COUNTIF(CL_MONEDAISO,'OFF_CONVAL'!P28)=0)),1,0)</f>
        <v/>
      </c>
      <c r="Q28">
        <f>IF(AND('OFF_CONVAL'!Q28&lt;&gt;"",NOT(ISNUMBER('OFF_CONVAL'!Q28))),1,0)</f>
        <v/>
      </c>
    </row>
    <row r="29">
      <c r="A29">
        <f>IF(AND('OFF_CONVAL'!A29&lt;&gt;"",NOT(ISNUMBER('OFF_CONVAL'!A29))),1,0)</f>
        <v/>
      </c>
      <c r="B29">
        <f>IF(AND('OFF_CONVAL'!B29&lt;&gt;"",LEN('OFF_CONVAL'!B29)&gt;20),1,0)</f>
        <v/>
      </c>
      <c r="C29">
        <f>IF(AND('OFF_CONVAL'!C29&lt;&gt;"",OR(LEN('OFF_CONVAL'!C29)&gt;1,COUNTIF(CL_POSICIONOPERACION_V4,'OFF_CONVAL'!C29)=0)),1,0)</f>
        <v/>
      </c>
      <c r="D29">
        <f>IF(AND('OFF_CONVAL'!D29&lt;&gt;"",OR(LEN('OFF_CONVAL'!D29)&gt;2,COUNTIF(CL_OBJ_OPE_V1,'OFF_CONVAL'!D29)=0)),1,0)</f>
        <v/>
      </c>
      <c r="E29">
        <f>IF(AND('OFF_CONVAL'!E29&lt;&gt;"",COUNTIF(CL_PAQ_EST_DER_V1,'OFF_CONVAL'!E29)=0),1,0)</f>
        <v/>
      </c>
      <c r="F29">
        <f>IF(AND('OFF_CONVAL'!F29&lt;&gt;"",LEN('OFF_CONVAL'!F29)&gt;20),1,0)</f>
        <v/>
      </c>
      <c r="G29">
        <f>IF(AND('OFF_CONVAL'!G29&lt;&gt;"",IF(ISNUMBER('OFF_CONVAL'!G29),OR('OFF_CONVAL'!G29&lt;&gt;INT('OFF_CONVAL'!G29),LEN(TEXT(ABS('OFF_CONVAL'!G29),"0"))&gt;3),TRUE)),1,0)</f>
        <v/>
      </c>
      <c r="H29">
        <f>IF(AND('OFF_CONVAL'!H29&lt;&gt;"",IF(ISNUMBER('OFF_CONVAL'!H29),OR('OFF_CONVAL'!H29&lt;&gt;INT('OFF_CONVAL'!H29),LEN(TEXT(ABS('OFF_CONVAL'!H29),"0"))&gt;15),TRUE)),1,0)</f>
        <v/>
      </c>
      <c r="I29">
        <f>IF(AND('OFF_CONVAL'!I29&lt;&gt;"",OR(LEN('OFF_CONVAL'!I29)&gt;3,COUNTIF(CL_MONEDAISO,'OFF_CONVAL'!I29)=0)),1,0)</f>
        <v/>
      </c>
      <c r="J29">
        <f>IF(AND('OFF_CONVAL'!J29&lt;&gt;"",IF(ISNUMBER('OFF_CONVAL'!J29),OR('OFF_CONVAL'!J29&lt;&gt;INT('OFF_CONVAL'!J29),LEN(TEXT(ABS('OFF_CONVAL'!J29),"0"))&gt;15),TRUE)),1,0)</f>
        <v/>
      </c>
      <c r="K29">
        <f>IF(AND('OFF_CONVAL'!K29&lt;&gt;"",OR(LEN('OFF_CONVAL'!K29)&gt;3,COUNTIF(CL_MONEDAISO,'OFF_CONVAL'!K29)=0)),1,0)</f>
        <v/>
      </c>
      <c r="L29">
        <f>IF(AND('OFF_CONVAL'!L29&lt;&gt;"",IF(ISNUMBER('OFF_CONVAL'!L29),OR('OFF_CONVAL'!L29&lt;&gt;INT('OFF_CONVAL'!L29),LEN(TEXT(ABS('OFF_CONVAL'!L29),"0"))&gt;5),TRUE)),1,0)</f>
        <v/>
      </c>
      <c r="M29">
        <f>IF(AND('OFF_CONVAL'!M29&lt;&gt;"",IF(ISNUMBER('OFF_CONVAL'!M29),OR('OFF_CONVAL'!M29&lt;&gt;INT('OFF_CONVAL'!M29),LEN(TEXT(ABS('OFF_CONVAL'!M29),"0"))&gt;5),TRUE)),1,0)</f>
        <v/>
      </c>
      <c r="N29">
        <f>IF(AND('OFF_CONVAL'!N29&lt;&gt;"",LEN('OFF_CONVAL'!N29)&gt;20),1,0)</f>
        <v/>
      </c>
      <c r="O29">
        <f>IF(AND('OFF_CONVAL'!O29&lt;&gt;"",IF(ISNUMBER('OFF_CONVAL'!O29),OR('OFF_CONVAL'!O29&lt;&gt;INT('OFF_CONVAL'!O29),LEN(TEXT(ABS('OFF_CONVAL'!O29),"0"))&gt;15),TRUE)),1,0)</f>
        <v/>
      </c>
      <c r="P29">
        <f>IF(AND('OFF_CONVAL'!P29&lt;&gt;"",OR(LEN('OFF_CONVAL'!P29)&gt;3,COUNTIF(CL_MONEDAISO,'OFF_CONVAL'!P29)=0)),1,0)</f>
        <v/>
      </c>
      <c r="Q29">
        <f>IF(AND('OFF_CONVAL'!Q29&lt;&gt;"",NOT(ISNUMBER('OFF_CONVAL'!Q29))),1,0)</f>
        <v/>
      </c>
    </row>
    <row r="30">
      <c r="A30">
        <f>IF(AND('OFF_CONVAL'!A30&lt;&gt;"",NOT(ISNUMBER('OFF_CONVAL'!A30))),1,0)</f>
        <v/>
      </c>
      <c r="B30">
        <f>IF(AND('OFF_CONVAL'!B30&lt;&gt;"",LEN('OFF_CONVAL'!B30)&gt;20),1,0)</f>
        <v/>
      </c>
      <c r="C30">
        <f>IF(AND('OFF_CONVAL'!C30&lt;&gt;"",OR(LEN('OFF_CONVAL'!C30)&gt;1,COUNTIF(CL_POSICIONOPERACION_V4,'OFF_CONVAL'!C30)=0)),1,0)</f>
        <v/>
      </c>
      <c r="D30">
        <f>IF(AND('OFF_CONVAL'!D30&lt;&gt;"",OR(LEN('OFF_CONVAL'!D30)&gt;2,COUNTIF(CL_OBJ_OPE_V1,'OFF_CONVAL'!D30)=0)),1,0)</f>
        <v/>
      </c>
      <c r="E30">
        <f>IF(AND('OFF_CONVAL'!E30&lt;&gt;"",COUNTIF(CL_PAQ_EST_DER_V1,'OFF_CONVAL'!E30)=0),1,0)</f>
        <v/>
      </c>
      <c r="F30">
        <f>IF(AND('OFF_CONVAL'!F30&lt;&gt;"",LEN('OFF_CONVAL'!F30)&gt;20),1,0)</f>
        <v/>
      </c>
      <c r="G30">
        <f>IF(AND('OFF_CONVAL'!G30&lt;&gt;"",IF(ISNUMBER('OFF_CONVAL'!G30),OR('OFF_CONVAL'!G30&lt;&gt;INT('OFF_CONVAL'!G30),LEN(TEXT(ABS('OFF_CONVAL'!G30),"0"))&gt;3),TRUE)),1,0)</f>
        <v/>
      </c>
      <c r="H30">
        <f>IF(AND('OFF_CONVAL'!H30&lt;&gt;"",IF(ISNUMBER('OFF_CONVAL'!H30),OR('OFF_CONVAL'!H30&lt;&gt;INT('OFF_CONVAL'!H30),LEN(TEXT(ABS('OFF_CONVAL'!H30),"0"))&gt;15),TRUE)),1,0)</f>
        <v/>
      </c>
      <c r="I30">
        <f>IF(AND('OFF_CONVAL'!I30&lt;&gt;"",OR(LEN('OFF_CONVAL'!I30)&gt;3,COUNTIF(CL_MONEDAISO,'OFF_CONVAL'!I30)=0)),1,0)</f>
        <v/>
      </c>
      <c r="J30">
        <f>IF(AND('OFF_CONVAL'!J30&lt;&gt;"",IF(ISNUMBER('OFF_CONVAL'!J30),OR('OFF_CONVAL'!J30&lt;&gt;INT('OFF_CONVAL'!J30),LEN(TEXT(ABS('OFF_CONVAL'!J30),"0"))&gt;15),TRUE)),1,0)</f>
        <v/>
      </c>
      <c r="K30">
        <f>IF(AND('OFF_CONVAL'!K30&lt;&gt;"",OR(LEN('OFF_CONVAL'!K30)&gt;3,COUNTIF(CL_MONEDAISO,'OFF_CONVAL'!K30)=0)),1,0)</f>
        <v/>
      </c>
      <c r="L30">
        <f>IF(AND('OFF_CONVAL'!L30&lt;&gt;"",IF(ISNUMBER('OFF_CONVAL'!L30),OR('OFF_CONVAL'!L30&lt;&gt;INT('OFF_CONVAL'!L30),LEN(TEXT(ABS('OFF_CONVAL'!L30),"0"))&gt;5),TRUE)),1,0)</f>
        <v/>
      </c>
      <c r="M30">
        <f>IF(AND('OFF_CONVAL'!M30&lt;&gt;"",IF(ISNUMBER('OFF_CONVAL'!M30),OR('OFF_CONVAL'!M30&lt;&gt;INT('OFF_CONVAL'!M30),LEN(TEXT(ABS('OFF_CONVAL'!M30),"0"))&gt;5),TRUE)),1,0)</f>
        <v/>
      </c>
      <c r="N30">
        <f>IF(AND('OFF_CONVAL'!N30&lt;&gt;"",LEN('OFF_CONVAL'!N30)&gt;20),1,0)</f>
        <v/>
      </c>
      <c r="O30">
        <f>IF(AND('OFF_CONVAL'!O30&lt;&gt;"",IF(ISNUMBER('OFF_CONVAL'!O30),OR('OFF_CONVAL'!O30&lt;&gt;INT('OFF_CONVAL'!O30),LEN(TEXT(ABS('OFF_CONVAL'!O30),"0"))&gt;15),TRUE)),1,0)</f>
        <v/>
      </c>
      <c r="P30">
        <f>IF(AND('OFF_CONVAL'!P30&lt;&gt;"",OR(LEN('OFF_CONVAL'!P30)&gt;3,COUNTIF(CL_MONEDAISO,'OFF_CONVAL'!P30)=0)),1,0)</f>
        <v/>
      </c>
      <c r="Q30">
        <f>IF(AND('OFF_CONVAL'!Q30&lt;&gt;"",NOT(ISNUMBER('OFF_CONVAL'!Q30))),1,0)</f>
        <v/>
      </c>
    </row>
    <row r="31">
      <c r="A31">
        <f>IF(AND('OFF_CONVAL'!A31&lt;&gt;"",NOT(ISNUMBER('OFF_CONVAL'!A31))),1,0)</f>
        <v/>
      </c>
      <c r="B31">
        <f>IF(AND('OFF_CONVAL'!B31&lt;&gt;"",LEN('OFF_CONVAL'!B31)&gt;20),1,0)</f>
        <v/>
      </c>
      <c r="C31">
        <f>IF(AND('OFF_CONVAL'!C31&lt;&gt;"",OR(LEN('OFF_CONVAL'!C31)&gt;1,COUNTIF(CL_POSICIONOPERACION_V4,'OFF_CONVAL'!C31)=0)),1,0)</f>
        <v/>
      </c>
      <c r="D31">
        <f>IF(AND('OFF_CONVAL'!D31&lt;&gt;"",OR(LEN('OFF_CONVAL'!D31)&gt;2,COUNTIF(CL_OBJ_OPE_V1,'OFF_CONVAL'!D31)=0)),1,0)</f>
        <v/>
      </c>
      <c r="E31">
        <f>IF(AND('OFF_CONVAL'!E31&lt;&gt;"",COUNTIF(CL_PAQ_EST_DER_V1,'OFF_CONVAL'!E31)=0),1,0)</f>
        <v/>
      </c>
      <c r="F31">
        <f>IF(AND('OFF_CONVAL'!F31&lt;&gt;"",LEN('OFF_CONVAL'!F31)&gt;20),1,0)</f>
        <v/>
      </c>
      <c r="G31">
        <f>IF(AND('OFF_CONVAL'!G31&lt;&gt;"",IF(ISNUMBER('OFF_CONVAL'!G31),OR('OFF_CONVAL'!G31&lt;&gt;INT('OFF_CONVAL'!G31),LEN(TEXT(ABS('OFF_CONVAL'!G31),"0"))&gt;3),TRUE)),1,0)</f>
        <v/>
      </c>
      <c r="H31">
        <f>IF(AND('OFF_CONVAL'!H31&lt;&gt;"",IF(ISNUMBER('OFF_CONVAL'!H31),OR('OFF_CONVAL'!H31&lt;&gt;INT('OFF_CONVAL'!H31),LEN(TEXT(ABS('OFF_CONVAL'!H31),"0"))&gt;15),TRUE)),1,0)</f>
        <v/>
      </c>
      <c r="I31">
        <f>IF(AND('OFF_CONVAL'!I31&lt;&gt;"",OR(LEN('OFF_CONVAL'!I31)&gt;3,COUNTIF(CL_MONEDAISO,'OFF_CONVAL'!I31)=0)),1,0)</f>
        <v/>
      </c>
      <c r="J31">
        <f>IF(AND('OFF_CONVAL'!J31&lt;&gt;"",IF(ISNUMBER('OFF_CONVAL'!J31),OR('OFF_CONVAL'!J31&lt;&gt;INT('OFF_CONVAL'!J31),LEN(TEXT(ABS('OFF_CONVAL'!J31),"0"))&gt;15),TRUE)),1,0)</f>
        <v/>
      </c>
      <c r="K31">
        <f>IF(AND('OFF_CONVAL'!K31&lt;&gt;"",OR(LEN('OFF_CONVAL'!K31)&gt;3,COUNTIF(CL_MONEDAISO,'OFF_CONVAL'!K31)=0)),1,0)</f>
        <v/>
      </c>
      <c r="L31">
        <f>IF(AND('OFF_CONVAL'!L31&lt;&gt;"",IF(ISNUMBER('OFF_CONVAL'!L31),OR('OFF_CONVAL'!L31&lt;&gt;INT('OFF_CONVAL'!L31),LEN(TEXT(ABS('OFF_CONVAL'!L31),"0"))&gt;5),TRUE)),1,0)</f>
        <v/>
      </c>
      <c r="M31">
        <f>IF(AND('OFF_CONVAL'!M31&lt;&gt;"",IF(ISNUMBER('OFF_CONVAL'!M31),OR('OFF_CONVAL'!M31&lt;&gt;INT('OFF_CONVAL'!M31),LEN(TEXT(ABS('OFF_CONVAL'!M31),"0"))&gt;5),TRUE)),1,0)</f>
        <v/>
      </c>
      <c r="N31">
        <f>IF(AND('OFF_CONVAL'!N31&lt;&gt;"",LEN('OFF_CONVAL'!N31)&gt;20),1,0)</f>
        <v/>
      </c>
      <c r="O31">
        <f>IF(AND('OFF_CONVAL'!O31&lt;&gt;"",IF(ISNUMBER('OFF_CONVAL'!O31),OR('OFF_CONVAL'!O31&lt;&gt;INT('OFF_CONVAL'!O31),LEN(TEXT(ABS('OFF_CONVAL'!O31),"0"))&gt;15),TRUE)),1,0)</f>
        <v/>
      </c>
      <c r="P31">
        <f>IF(AND('OFF_CONVAL'!P31&lt;&gt;"",OR(LEN('OFF_CONVAL'!P31)&gt;3,COUNTIF(CL_MONEDAISO,'OFF_CONVAL'!P31)=0)),1,0)</f>
        <v/>
      </c>
      <c r="Q31">
        <f>IF(AND('OFF_CONVAL'!Q31&lt;&gt;"",NOT(ISNUMBER('OFF_CONVAL'!Q31))),1,0)</f>
        <v/>
      </c>
    </row>
    <row r="32">
      <c r="A32">
        <f>IF(AND('OFF_CONVAL'!A32&lt;&gt;"",NOT(ISNUMBER('OFF_CONVAL'!A32))),1,0)</f>
        <v/>
      </c>
      <c r="B32">
        <f>IF(AND('OFF_CONVAL'!B32&lt;&gt;"",LEN('OFF_CONVAL'!B32)&gt;20),1,0)</f>
        <v/>
      </c>
      <c r="C32">
        <f>IF(AND('OFF_CONVAL'!C32&lt;&gt;"",OR(LEN('OFF_CONVAL'!C32)&gt;1,COUNTIF(CL_POSICIONOPERACION_V4,'OFF_CONVAL'!C32)=0)),1,0)</f>
        <v/>
      </c>
      <c r="D32">
        <f>IF(AND('OFF_CONVAL'!D32&lt;&gt;"",OR(LEN('OFF_CONVAL'!D32)&gt;2,COUNTIF(CL_OBJ_OPE_V1,'OFF_CONVAL'!D32)=0)),1,0)</f>
        <v/>
      </c>
      <c r="E32">
        <f>IF(AND('OFF_CONVAL'!E32&lt;&gt;"",COUNTIF(CL_PAQ_EST_DER_V1,'OFF_CONVAL'!E32)=0),1,0)</f>
        <v/>
      </c>
      <c r="F32">
        <f>IF(AND('OFF_CONVAL'!F32&lt;&gt;"",LEN('OFF_CONVAL'!F32)&gt;20),1,0)</f>
        <v/>
      </c>
      <c r="G32">
        <f>IF(AND('OFF_CONVAL'!G32&lt;&gt;"",IF(ISNUMBER('OFF_CONVAL'!G32),OR('OFF_CONVAL'!G32&lt;&gt;INT('OFF_CONVAL'!G32),LEN(TEXT(ABS('OFF_CONVAL'!G32),"0"))&gt;3),TRUE)),1,0)</f>
        <v/>
      </c>
      <c r="H32">
        <f>IF(AND('OFF_CONVAL'!H32&lt;&gt;"",IF(ISNUMBER('OFF_CONVAL'!H32),OR('OFF_CONVAL'!H32&lt;&gt;INT('OFF_CONVAL'!H32),LEN(TEXT(ABS('OFF_CONVAL'!H32),"0"))&gt;15),TRUE)),1,0)</f>
        <v/>
      </c>
      <c r="I32">
        <f>IF(AND('OFF_CONVAL'!I32&lt;&gt;"",OR(LEN('OFF_CONVAL'!I32)&gt;3,COUNTIF(CL_MONEDAISO,'OFF_CONVAL'!I32)=0)),1,0)</f>
        <v/>
      </c>
      <c r="J32">
        <f>IF(AND('OFF_CONVAL'!J32&lt;&gt;"",IF(ISNUMBER('OFF_CONVAL'!J32),OR('OFF_CONVAL'!J32&lt;&gt;INT('OFF_CONVAL'!J32),LEN(TEXT(ABS('OFF_CONVAL'!J32),"0"))&gt;15),TRUE)),1,0)</f>
        <v/>
      </c>
      <c r="K32">
        <f>IF(AND('OFF_CONVAL'!K32&lt;&gt;"",OR(LEN('OFF_CONVAL'!K32)&gt;3,COUNTIF(CL_MONEDAISO,'OFF_CONVAL'!K32)=0)),1,0)</f>
        <v/>
      </c>
      <c r="L32">
        <f>IF(AND('OFF_CONVAL'!L32&lt;&gt;"",IF(ISNUMBER('OFF_CONVAL'!L32),OR('OFF_CONVAL'!L32&lt;&gt;INT('OFF_CONVAL'!L32),LEN(TEXT(ABS('OFF_CONVAL'!L32),"0"))&gt;5),TRUE)),1,0)</f>
        <v/>
      </c>
      <c r="M32">
        <f>IF(AND('OFF_CONVAL'!M32&lt;&gt;"",IF(ISNUMBER('OFF_CONVAL'!M32),OR('OFF_CONVAL'!M32&lt;&gt;INT('OFF_CONVAL'!M32),LEN(TEXT(ABS('OFF_CONVAL'!M32),"0"))&gt;5),TRUE)),1,0)</f>
        <v/>
      </c>
      <c r="N32">
        <f>IF(AND('OFF_CONVAL'!N32&lt;&gt;"",LEN('OFF_CONVAL'!N32)&gt;20),1,0)</f>
        <v/>
      </c>
      <c r="O32">
        <f>IF(AND('OFF_CONVAL'!O32&lt;&gt;"",IF(ISNUMBER('OFF_CONVAL'!O32),OR('OFF_CONVAL'!O32&lt;&gt;INT('OFF_CONVAL'!O32),LEN(TEXT(ABS('OFF_CONVAL'!O32),"0"))&gt;15),TRUE)),1,0)</f>
        <v/>
      </c>
      <c r="P32">
        <f>IF(AND('OFF_CONVAL'!P32&lt;&gt;"",OR(LEN('OFF_CONVAL'!P32)&gt;3,COUNTIF(CL_MONEDAISO,'OFF_CONVAL'!P32)=0)),1,0)</f>
        <v/>
      </c>
      <c r="Q32">
        <f>IF(AND('OFF_CONVAL'!Q32&lt;&gt;"",NOT(ISNUMBER('OFF_CONVAL'!Q32))),1,0)</f>
        <v/>
      </c>
    </row>
    <row r="33">
      <c r="A33">
        <f>IF(AND('OFF_CONVAL'!A33&lt;&gt;"",NOT(ISNUMBER('OFF_CONVAL'!A33))),1,0)</f>
        <v/>
      </c>
      <c r="B33">
        <f>IF(AND('OFF_CONVAL'!B33&lt;&gt;"",LEN('OFF_CONVAL'!B33)&gt;20),1,0)</f>
        <v/>
      </c>
      <c r="C33">
        <f>IF(AND('OFF_CONVAL'!C33&lt;&gt;"",OR(LEN('OFF_CONVAL'!C33)&gt;1,COUNTIF(CL_POSICIONOPERACION_V4,'OFF_CONVAL'!C33)=0)),1,0)</f>
        <v/>
      </c>
      <c r="D33">
        <f>IF(AND('OFF_CONVAL'!D33&lt;&gt;"",OR(LEN('OFF_CONVAL'!D33)&gt;2,COUNTIF(CL_OBJ_OPE_V1,'OFF_CONVAL'!D33)=0)),1,0)</f>
        <v/>
      </c>
      <c r="E33">
        <f>IF(AND('OFF_CONVAL'!E33&lt;&gt;"",COUNTIF(CL_PAQ_EST_DER_V1,'OFF_CONVAL'!E33)=0),1,0)</f>
        <v/>
      </c>
      <c r="F33">
        <f>IF(AND('OFF_CONVAL'!F33&lt;&gt;"",LEN('OFF_CONVAL'!F33)&gt;20),1,0)</f>
        <v/>
      </c>
      <c r="G33">
        <f>IF(AND('OFF_CONVAL'!G33&lt;&gt;"",IF(ISNUMBER('OFF_CONVAL'!G33),OR('OFF_CONVAL'!G33&lt;&gt;INT('OFF_CONVAL'!G33),LEN(TEXT(ABS('OFF_CONVAL'!G33),"0"))&gt;3),TRUE)),1,0)</f>
        <v/>
      </c>
      <c r="H33">
        <f>IF(AND('OFF_CONVAL'!H33&lt;&gt;"",IF(ISNUMBER('OFF_CONVAL'!H33),OR('OFF_CONVAL'!H33&lt;&gt;INT('OFF_CONVAL'!H33),LEN(TEXT(ABS('OFF_CONVAL'!H33),"0"))&gt;15),TRUE)),1,0)</f>
        <v/>
      </c>
      <c r="I33">
        <f>IF(AND('OFF_CONVAL'!I33&lt;&gt;"",OR(LEN('OFF_CONVAL'!I33)&gt;3,COUNTIF(CL_MONEDAISO,'OFF_CONVAL'!I33)=0)),1,0)</f>
        <v/>
      </c>
      <c r="J33">
        <f>IF(AND('OFF_CONVAL'!J33&lt;&gt;"",IF(ISNUMBER('OFF_CONVAL'!J33),OR('OFF_CONVAL'!J33&lt;&gt;INT('OFF_CONVAL'!J33),LEN(TEXT(ABS('OFF_CONVAL'!J33),"0"))&gt;15),TRUE)),1,0)</f>
        <v/>
      </c>
      <c r="K33">
        <f>IF(AND('OFF_CONVAL'!K33&lt;&gt;"",OR(LEN('OFF_CONVAL'!K33)&gt;3,COUNTIF(CL_MONEDAISO,'OFF_CONVAL'!K33)=0)),1,0)</f>
        <v/>
      </c>
      <c r="L33">
        <f>IF(AND('OFF_CONVAL'!L33&lt;&gt;"",IF(ISNUMBER('OFF_CONVAL'!L33),OR('OFF_CONVAL'!L33&lt;&gt;INT('OFF_CONVAL'!L33),LEN(TEXT(ABS('OFF_CONVAL'!L33),"0"))&gt;5),TRUE)),1,0)</f>
        <v/>
      </c>
      <c r="M33">
        <f>IF(AND('OFF_CONVAL'!M33&lt;&gt;"",IF(ISNUMBER('OFF_CONVAL'!M33),OR('OFF_CONVAL'!M33&lt;&gt;INT('OFF_CONVAL'!M33),LEN(TEXT(ABS('OFF_CONVAL'!M33),"0"))&gt;5),TRUE)),1,0)</f>
        <v/>
      </c>
      <c r="N33">
        <f>IF(AND('OFF_CONVAL'!N33&lt;&gt;"",LEN('OFF_CONVAL'!N33)&gt;20),1,0)</f>
        <v/>
      </c>
      <c r="O33">
        <f>IF(AND('OFF_CONVAL'!O33&lt;&gt;"",IF(ISNUMBER('OFF_CONVAL'!O33),OR('OFF_CONVAL'!O33&lt;&gt;INT('OFF_CONVAL'!O33),LEN(TEXT(ABS('OFF_CONVAL'!O33),"0"))&gt;15),TRUE)),1,0)</f>
        <v/>
      </c>
      <c r="P33">
        <f>IF(AND('OFF_CONVAL'!P33&lt;&gt;"",OR(LEN('OFF_CONVAL'!P33)&gt;3,COUNTIF(CL_MONEDAISO,'OFF_CONVAL'!P33)=0)),1,0)</f>
        <v/>
      </c>
      <c r="Q33">
        <f>IF(AND('OFF_CONVAL'!Q33&lt;&gt;"",NOT(ISNUMBER('OFF_CONVAL'!Q33))),1,0)</f>
        <v/>
      </c>
    </row>
    <row r="34">
      <c r="A34">
        <f>IF(AND('OFF_CONVAL'!A34&lt;&gt;"",NOT(ISNUMBER('OFF_CONVAL'!A34))),1,0)</f>
        <v/>
      </c>
      <c r="B34">
        <f>IF(AND('OFF_CONVAL'!B34&lt;&gt;"",LEN('OFF_CONVAL'!B34)&gt;20),1,0)</f>
        <v/>
      </c>
      <c r="C34">
        <f>IF(AND('OFF_CONVAL'!C34&lt;&gt;"",OR(LEN('OFF_CONVAL'!C34)&gt;1,COUNTIF(CL_POSICIONOPERACION_V4,'OFF_CONVAL'!C34)=0)),1,0)</f>
        <v/>
      </c>
      <c r="D34">
        <f>IF(AND('OFF_CONVAL'!D34&lt;&gt;"",OR(LEN('OFF_CONVAL'!D34)&gt;2,COUNTIF(CL_OBJ_OPE_V1,'OFF_CONVAL'!D34)=0)),1,0)</f>
        <v/>
      </c>
      <c r="E34">
        <f>IF(AND('OFF_CONVAL'!E34&lt;&gt;"",COUNTIF(CL_PAQ_EST_DER_V1,'OFF_CONVAL'!E34)=0),1,0)</f>
        <v/>
      </c>
      <c r="F34">
        <f>IF(AND('OFF_CONVAL'!F34&lt;&gt;"",LEN('OFF_CONVAL'!F34)&gt;20),1,0)</f>
        <v/>
      </c>
      <c r="G34">
        <f>IF(AND('OFF_CONVAL'!G34&lt;&gt;"",IF(ISNUMBER('OFF_CONVAL'!G34),OR('OFF_CONVAL'!G34&lt;&gt;INT('OFF_CONVAL'!G34),LEN(TEXT(ABS('OFF_CONVAL'!G34),"0"))&gt;3),TRUE)),1,0)</f>
        <v/>
      </c>
      <c r="H34">
        <f>IF(AND('OFF_CONVAL'!H34&lt;&gt;"",IF(ISNUMBER('OFF_CONVAL'!H34),OR('OFF_CONVAL'!H34&lt;&gt;INT('OFF_CONVAL'!H34),LEN(TEXT(ABS('OFF_CONVAL'!H34),"0"))&gt;15),TRUE)),1,0)</f>
        <v/>
      </c>
      <c r="I34">
        <f>IF(AND('OFF_CONVAL'!I34&lt;&gt;"",OR(LEN('OFF_CONVAL'!I34)&gt;3,COUNTIF(CL_MONEDAISO,'OFF_CONVAL'!I34)=0)),1,0)</f>
        <v/>
      </c>
      <c r="J34">
        <f>IF(AND('OFF_CONVAL'!J34&lt;&gt;"",IF(ISNUMBER('OFF_CONVAL'!J34),OR('OFF_CONVAL'!J34&lt;&gt;INT('OFF_CONVAL'!J34),LEN(TEXT(ABS('OFF_CONVAL'!J34),"0"))&gt;15),TRUE)),1,0)</f>
        <v/>
      </c>
      <c r="K34">
        <f>IF(AND('OFF_CONVAL'!K34&lt;&gt;"",OR(LEN('OFF_CONVAL'!K34)&gt;3,COUNTIF(CL_MONEDAISO,'OFF_CONVAL'!K34)=0)),1,0)</f>
        <v/>
      </c>
      <c r="L34">
        <f>IF(AND('OFF_CONVAL'!L34&lt;&gt;"",IF(ISNUMBER('OFF_CONVAL'!L34),OR('OFF_CONVAL'!L34&lt;&gt;INT('OFF_CONVAL'!L34),LEN(TEXT(ABS('OFF_CONVAL'!L34),"0"))&gt;5),TRUE)),1,0)</f>
        <v/>
      </c>
      <c r="M34">
        <f>IF(AND('OFF_CONVAL'!M34&lt;&gt;"",IF(ISNUMBER('OFF_CONVAL'!M34),OR('OFF_CONVAL'!M34&lt;&gt;INT('OFF_CONVAL'!M34),LEN(TEXT(ABS('OFF_CONVAL'!M34),"0"))&gt;5),TRUE)),1,0)</f>
        <v/>
      </c>
      <c r="N34">
        <f>IF(AND('OFF_CONVAL'!N34&lt;&gt;"",LEN('OFF_CONVAL'!N34)&gt;20),1,0)</f>
        <v/>
      </c>
      <c r="O34">
        <f>IF(AND('OFF_CONVAL'!O34&lt;&gt;"",IF(ISNUMBER('OFF_CONVAL'!O34),OR('OFF_CONVAL'!O34&lt;&gt;INT('OFF_CONVAL'!O34),LEN(TEXT(ABS('OFF_CONVAL'!O34),"0"))&gt;15),TRUE)),1,0)</f>
        <v/>
      </c>
      <c r="P34">
        <f>IF(AND('OFF_CONVAL'!P34&lt;&gt;"",OR(LEN('OFF_CONVAL'!P34)&gt;3,COUNTIF(CL_MONEDAISO,'OFF_CONVAL'!P34)=0)),1,0)</f>
        <v/>
      </c>
      <c r="Q34">
        <f>IF(AND('OFF_CONVAL'!Q34&lt;&gt;"",NOT(ISNUMBER('OFF_CONVAL'!Q34))),1,0)</f>
        <v/>
      </c>
    </row>
    <row r="35">
      <c r="A35">
        <f>IF(AND('OFF_CONVAL'!A35&lt;&gt;"",NOT(ISNUMBER('OFF_CONVAL'!A35))),1,0)</f>
        <v/>
      </c>
      <c r="B35">
        <f>IF(AND('OFF_CONVAL'!B35&lt;&gt;"",LEN('OFF_CONVAL'!B35)&gt;20),1,0)</f>
        <v/>
      </c>
      <c r="C35">
        <f>IF(AND('OFF_CONVAL'!C35&lt;&gt;"",OR(LEN('OFF_CONVAL'!C35)&gt;1,COUNTIF(CL_POSICIONOPERACION_V4,'OFF_CONVAL'!C35)=0)),1,0)</f>
        <v/>
      </c>
      <c r="D35">
        <f>IF(AND('OFF_CONVAL'!D35&lt;&gt;"",OR(LEN('OFF_CONVAL'!D35)&gt;2,COUNTIF(CL_OBJ_OPE_V1,'OFF_CONVAL'!D35)=0)),1,0)</f>
        <v/>
      </c>
      <c r="E35">
        <f>IF(AND('OFF_CONVAL'!E35&lt;&gt;"",COUNTIF(CL_PAQ_EST_DER_V1,'OFF_CONVAL'!E35)=0),1,0)</f>
        <v/>
      </c>
      <c r="F35">
        <f>IF(AND('OFF_CONVAL'!F35&lt;&gt;"",LEN('OFF_CONVAL'!F35)&gt;20),1,0)</f>
        <v/>
      </c>
      <c r="G35">
        <f>IF(AND('OFF_CONVAL'!G35&lt;&gt;"",IF(ISNUMBER('OFF_CONVAL'!G35),OR('OFF_CONVAL'!G35&lt;&gt;INT('OFF_CONVAL'!G35),LEN(TEXT(ABS('OFF_CONVAL'!G35),"0"))&gt;3),TRUE)),1,0)</f>
        <v/>
      </c>
      <c r="H35">
        <f>IF(AND('OFF_CONVAL'!H35&lt;&gt;"",IF(ISNUMBER('OFF_CONVAL'!H35),OR('OFF_CONVAL'!H35&lt;&gt;INT('OFF_CONVAL'!H35),LEN(TEXT(ABS('OFF_CONVAL'!H35),"0"))&gt;15),TRUE)),1,0)</f>
        <v/>
      </c>
      <c r="I35">
        <f>IF(AND('OFF_CONVAL'!I35&lt;&gt;"",OR(LEN('OFF_CONVAL'!I35)&gt;3,COUNTIF(CL_MONEDAISO,'OFF_CONVAL'!I35)=0)),1,0)</f>
        <v/>
      </c>
      <c r="J35">
        <f>IF(AND('OFF_CONVAL'!J35&lt;&gt;"",IF(ISNUMBER('OFF_CONVAL'!J35),OR('OFF_CONVAL'!J35&lt;&gt;INT('OFF_CONVAL'!J35),LEN(TEXT(ABS('OFF_CONVAL'!J35),"0"))&gt;15),TRUE)),1,0)</f>
        <v/>
      </c>
      <c r="K35">
        <f>IF(AND('OFF_CONVAL'!K35&lt;&gt;"",OR(LEN('OFF_CONVAL'!K35)&gt;3,COUNTIF(CL_MONEDAISO,'OFF_CONVAL'!K35)=0)),1,0)</f>
        <v/>
      </c>
      <c r="L35">
        <f>IF(AND('OFF_CONVAL'!L35&lt;&gt;"",IF(ISNUMBER('OFF_CONVAL'!L35),OR('OFF_CONVAL'!L35&lt;&gt;INT('OFF_CONVAL'!L35),LEN(TEXT(ABS('OFF_CONVAL'!L35),"0"))&gt;5),TRUE)),1,0)</f>
        <v/>
      </c>
      <c r="M35">
        <f>IF(AND('OFF_CONVAL'!M35&lt;&gt;"",IF(ISNUMBER('OFF_CONVAL'!M35),OR('OFF_CONVAL'!M35&lt;&gt;INT('OFF_CONVAL'!M35),LEN(TEXT(ABS('OFF_CONVAL'!M35),"0"))&gt;5),TRUE)),1,0)</f>
        <v/>
      </c>
      <c r="N35">
        <f>IF(AND('OFF_CONVAL'!N35&lt;&gt;"",LEN('OFF_CONVAL'!N35)&gt;20),1,0)</f>
        <v/>
      </c>
      <c r="O35">
        <f>IF(AND('OFF_CONVAL'!O35&lt;&gt;"",IF(ISNUMBER('OFF_CONVAL'!O35),OR('OFF_CONVAL'!O35&lt;&gt;INT('OFF_CONVAL'!O35),LEN(TEXT(ABS('OFF_CONVAL'!O35),"0"))&gt;15),TRUE)),1,0)</f>
        <v/>
      </c>
      <c r="P35">
        <f>IF(AND('OFF_CONVAL'!P35&lt;&gt;"",OR(LEN('OFF_CONVAL'!P35)&gt;3,COUNTIF(CL_MONEDAISO,'OFF_CONVAL'!P35)=0)),1,0)</f>
        <v/>
      </c>
      <c r="Q35">
        <f>IF(AND('OFF_CONVAL'!Q35&lt;&gt;"",NOT(ISNUMBER('OFF_CONVAL'!Q35))),1,0)</f>
        <v/>
      </c>
    </row>
    <row r="36">
      <c r="A36">
        <f>IF(AND('OFF_CONVAL'!A36&lt;&gt;"",NOT(ISNUMBER('OFF_CONVAL'!A36))),1,0)</f>
        <v/>
      </c>
      <c r="B36">
        <f>IF(AND('OFF_CONVAL'!B36&lt;&gt;"",LEN('OFF_CONVAL'!B36)&gt;20),1,0)</f>
        <v/>
      </c>
      <c r="C36">
        <f>IF(AND('OFF_CONVAL'!C36&lt;&gt;"",OR(LEN('OFF_CONVAL'!C36)&gt;1,COUNTIF(CL_POSICIONOPERACION_V4,'OFF_CONVAL'!C36)=0)),1,0)</f>
        <v/>
      </c>
      <c r="D36">
        <f>IF(AND('OFF_CONVAL'!D36&lt;&gt;"",OR(LEN('OFF_CONVAL'!D36)&gt;2,COUNTIF(CL_OBJ_OPE_V1,'OFF_CONVAL'!D36)=0)),1,0)</f>
        <v/>
      </c>
      <c r="E36">
        <f>IF(AND('OFF_CONVAL'!E36&lt;&gt;"",COUNTIF(CL_PAQ_EST_DER_V1,'OFF_CONVAL'!E36)=0),1,0)</f>
        <v/>
      </c>
      <c r="F36">
        <f>IF(AND('OFF_CONVAL'!F36&lt;&gt;"",LEN('OFF_CONVAL'!F36)&gt;20),1,0)</f>
        <v/>
      </c>
      <c r="G36">
        <f>IF(AND('OFF_CONVAL'!G36&lt;&gt;"",IF(ISNUMBER('OFF_CONVAL'!G36),OR('OFF_CONVAL'!G36&lt;&gt;INT('OFF_CONVAL'!G36),LEN(TEXT(ABS('OFF_CONVAL'!G36),"0"))&gt;3),TRUE)),1,0)</f>
        <v/>
      </c>
      <c r="H36">
        <f>IF(AND('OFF_CONVAL'!H36&lt;&gt;"",IF(ISNUMBER('OFF_CONVAL'!H36),OR('OFF_CONVAL'!H36&lt;&gt;INT('OFF_CONVAL'!H36),LEN(TEXT(ABS('OFF_CONVAL'!H36),"0"))&gt;15),TRUE)),1,0)</f>
        <v/>
      </c>
      <c r="I36">
        <f>IF(AND('OFF_CONVAL'!I36&lt;&gt;"",OR(LEN('OFF_CONVAL'!I36)&gt;3,COUNTIF(CL_MONEDAISO,'OFF_CONVAL'!I36)=0)),1,0)</f>
        <v/>
      </c>
      <c r="J36">
        <f>IF(AND('OFF_CONVAL'!J36&lt;&gt;"",IF(ISNUMBER('OFF_CONVAL'!J36),OR('OFF_CONVAL'!J36&lt;&gt;INT('OFF_CONVAL'!J36),LEN(TEXT(ABS('OFF_CONVAL'!J36),"0"))&gt;15),TRUE)),1,0)</f>
        <v/>
      </c>
      <c r="K36">
        <f>IF(AND('OFF_CONVAL'!K36&lt;&gt;"",OR(LEN('OFF_CONVAL'!K36)&gt;3,COUNTIF(CL_MONEDAISO,'OFF_CONVAL'!K36)=0)),1,0)</f>
        <v/>
      </c>
      <c r="L36">
        <f>IF(AND('OFF_CONVAL'!L36&lt;&gt;"",IF(ISNUMBER('OFF_CONVAL'!L36),OR('OFF_CONVAL'!L36&lt;&gt;INT('OFF_CONVAL'!L36),LEN(TEXT(ABS('OFF_CONVAL'!L36),"0"))&gt;5),TRUE)),1,0)</f>
        <v/>
      </c>
      <c r="M36">
        <f>IF(AND('OFF_CONVAL'!M36&lt;&gt;"",IF(ISNUMBER('OFF_CONVAL'!M36),OR('OFF_CONVAL'!M36&lt;&gt;INT('OFF_CONVAL'!M36),LEN(TEXT(ABS('OFF_CONVAL'!M36),"0"))&gt;5),TRUE)),1,0)</f>
        <v/>
      </c>
      <c r="N36">
        <f>IF(AND('OFF_CONVAL'!N36&lt;&gt;"",LEN('OFF_CONVAL'!N36)&gt;20),1,0)</f>
        <v/>
      </c>
      <c r="O36">
        <f>IF(AND('OFF_CONVAL'!O36&lt;&gt;"",IF(ISNUMBER('OFF_CONVAL'!O36),OR('OFF_CONVAL'!O36&lt;&gt;INT('OFF_CONVAL'!O36),LEN(TEXT(ABS('OFF_CONVAL'!O36),"0"))&gt;15),TRUE)),1,0)</f>
        <v/>
      </c>
      <c r="P36">
        <f>IF(AND('OFF_CONVAL'!P36&lt;&gt;"",OR(LEN('OFF_CONVAL'!P36)&gt;3,COUNTIF(CL_MONEDAISO,'OFF_CONVAL'!P36)=0)),1,0)</f>
        <v/>
      </c>
      <c r="Q36">
        <f>IF(AND('OFF_CONVAL'!Q36&lt;&gt;"",NOT(ISNUMBER('OFF_CONVAL'!Q36))),1,0)</f>
        <v/>
      </c>
    </row>
    <row r="37">
      <c r="A37">
        <f>IF(AND('OFF_CONVAL'!A37&lt;&gt;"",NOT(ISNUMBER('OFF_CONVAL'!A37))),1,0)</f>
        <v/>
      </c>
      <c r="B37">
        <f>IF(AND('OFF_CONVAL'!B37&lt;&gt;"",LEN('OFF_CONVAL'!B37)&gt;20),1,0)</f>
        <v/>
      </c>
      <c r="C37">
        <f>IF(AND('OFF_CONVAL'!C37&lt;&gt;"",OR(LEN('OFF_CONVAL'!C37)&gt;1,COUNTIF(CL_POSICIONOPERACION_V4,'OFF_CONVAL'!C37)=0)),1,0)</f>
        <v/>
      </c>
      <c r="D37">
        <f>IF(AND('OFF_CONVAL'!D37&lt;&gt;"",OR(LEN('OFF_CONVAL'!D37)&gt;2,COUNTIF(CL_OBJ_OPE_V1,'OFF_CONVAL'!D37)=0)),1,0)</f>
        <v/>
      </c>
      <c r="E37">
        <f>IF(AND('OFF_CONVAL'!E37&lt;&gt;"",COUNTIF(CL_PAQ_EST_DER_V1,'OFF_CONVAL'!E37)=0),1,0)</f>
        <v/>
      </c>
      <c r="F37">
        <f>IF(AND('OFF_CONVAL'!F37&lt;&gt;"",LEN('OFF_CONVAL'!F37)&gt;20),1,0)</f>
        <v/>
      </c>
      <c r="G37">
        <f>IF(AND('OFF_CONVAL'!G37&lt;&gt;"",IF(ISNUMBER('OFF_CONVAL'!G37),OR('OFF_CONVAL'!G37&lt;&gt;INT('OFF_CONVAL'!G37),LEN(TEXT(ABS('OFF_CONVAL'!G37),"0"))&gt;3),TRUE)),1,0)</f>
        <v/>
      </c>
      <c r="H37">
        <f>IF(AND('OFF_CONVAL'!H37&lt;&gt;"",IF(ISNUMBER('OFF_CONVAL'!H37),OR('OFF_CONVAL'!H37&lt;&gt;INT('OFF_CONVAL'!H37),LEN(TEXT(ABS('OFF_CONVAL'!H37),"0"))&gt;15),TRUE)),1,0)</f>
        <v/>
      </c>
      <c r="I37">
        <f>IF(AND('OFF_CONVAL'!I37&lt;&gt;"",OR(LEN('OFF_CONVAL'!I37)&gt;3,COUNTIF(CL_MONEDAISO,'OFF_CONVAL'!I37)=0)),1,0)</f>
        <v/>
      </c>
      <c r="J37">
        <f>IF(AND('OFF_CONVAL'!J37&lt;&gt;"",IF(ISNUMBER('OFF_CONVAL'!J37),OR('OFF_CONVAL'!J37&lt;&gt;INT('OFF_CONVAL'!J37),LEN(TEXT(ABS('OFF_CONVAL'!J37),"0"))&gt;15),TRUE)),1,0)</f>
        <v/>
      </c>
      <c r="K37">
        <f>IF(AND('OFF_CONVAL'!K37&lt;&gt;"",OR(LEN('OFF_CONVAL'!K37)&gt;3,COUNTIF(CL_MONEDAISO,'OFF_CONVAL'!K37)=0)),1,0)</f>
        <v/>
      </c>
      <c r="L37">
        <f>IF(AND('OFF_CONVAL'!L37&lt;&gt;"",IF(ISNUMBER('OFF_CONVAL'!L37),OR('OFF_CONVAL'!L37&lt;&gt;INT('OFF_CONVAL'!L37),LEN(TEXT(ABS('OFF_CONVAL'!L37),"0"))&gt;5),TRUE)),1,0)</f>
        <v/>
      </c>
      <c r="M37">
        <f>IF(AND('OFF_CONVAL'!M37&lt;&gt;"",IF(ISNUMBER('OFF_CONVAL'!M37),OR('OFF_CONVAL'!M37&lt;&gt;INT('OFF_CONVAL'!M37),LEN(TEXT(ABS('OFF_CONVAL'!M37),"0"))&gt;5),TRUE)),1,0)</f>
        <v/>
      </c>
      <c r="N37">
        <f>IF(AND('OFF_CONVAL'!N37&lt;&gt;"",LEN('OFF_CONVAL'!N37)&gt;20),1,0)</f>
        <v/>
      </c>
      <c r="O37">
        <f>IF(AND('OFF_CONVAL'!O37&lt;&gt;"",IF(ISNUMBER('OFF_CONVAL'!O37),OR('OFF_CONVAL'!O37&lt;&gt;INT('OFF_CONVAL'!O37),LEN(TEXT(ABS('OFF_CONVAL'!O37),"0"))&gt;15),TRUE)),1,0)</f>
        <v/>
      </c>
      <c r="P37">
        <f>IF(AND('OFF_CONVAL'!P37&lt;&gt;"",OR(LEN('OFF_CONVAL'!P37)&gt;3,COUNTIF(CL_MONEDAISO,'OFF_CONVAL'!P37)=0)),1,0)</f>
        <v/>
      </c>
      <c r="Q37">
        <f>IF(AND('OFF_CONVAL'!Q37&lt;&gt;"",NOT(ISNUMBER('OFF_CONVAL'!Q37))),1,0)</f>
        <v/>
      </c>
    </row>
    <row r="38">
      <c r="A38">
        <f>IF(AND('OFF_CONVAL'!A38&lt;&gt;"",NOT(ISNUMBER('OFF_CONVAL'!A38))),1,0)</f>
        <v/>
      </c>
      <c r="B38">
        <f>IF(AND('OFF_CONVAL'!B38&lt;&gt;"",LEN('OFF_CONVAL'!B38)&gt;20),1,0)</f>
        <v/>
      </c>
      <c r="C38">
        <f>IF(AND('OFF_CONVAL'!C38&lt;&gt;"",OR(LEN('OFF_CONVAL'!C38)&gt;1,COUNTIF(CL_POSICIONOPERACION_V4,'OFF_CONVAL'!C38)=0)),1,0)</f>
        <v/>
      </c>
      <c r="D38">
        <f>IF(AND('OFF_CONVAL'!D38&lt;&gt;"",OR(LEN('OFF_CONVAL'!D38)&gt;2,COUNTIF(CL_OBJ_OPE_V1,'OFF_CONVAL'!D38)=0)),1,0)</f>
        <v/>
      </c>
      <c r="E38">
        <f>IF(AND('OFF_CONVAL'!E38&lt;&gt;"",COUNTIF(CL_PAQ_EST_DER_V1,'OFF_CONVAL'!E38)=0),1,0)</f>
        <v/>
      </c>
      <c r="F38">
        <f>IF(AND('OFF_CONVAL'!F38&lt;&gt;"",LEN('OFF_CONVAL'!F38)&gt;20),1,0)</f>
        <v/>
      </c>
      <c r="G38">
        <f>IF(AND('OFF_CONVAL'!G38&lt;&gt;"",IF(ISNUMBER('OFF_CONVAL'!G38),OR('OFF_CONVAL'!G38&lt;&gt;INT('OFF_CONVAL'!G38),LEN(TEXT(ABS('OFF_CONVAL'!G38),"0"))&gt;3),TRUE)),1,0)</f>
        <v/>
      </c>
      <c r="H38">
        <f>IF(AND('OFF_CONVAL'!H38&lt;&gt;"",IF(ISNUMBER('OFF_CONVAL'!H38),OR('OFF_CONVAL'!H38&lt;&gt;INT('OFF_CONVAL'!H38),LEN(TEXT(ABS('OFF_CONVAL'!H38),"0"))&gt;15),TRUE)),1,0)</f>
        <v/>
      </c>
      <c r="I38">
        <f>IF(AND('OFF_CONVAL'!I38&lt;&gt;"",OR(LEN('OFF_CONVAL'!I38)&gt;3,COUNTIF(CL_MONEDAISO,'OFF_CONVAL'!I38)=0)),1,0)</f>
        <v/>
      </c>
      <c r="J38">
        <f>IF(AND('OFF_CONVAL'!J38&lt;&gt;"",IF(ISNUMBER('OFF_CONVAL'!J38),OR('OFF_CONVAL'!J38&lt;&gt;INT('OFF_CONVAL'!J38),LEN(TEXT(ABS('OFF_CONVAL'!J38),"0"))&gt;15),TRUE)),1,0)</f>
        <v/>
      </c>
      <c r="K38">
        <f>IF(AND('OFF_CONVAL'!K38&lt;&gt;"",OR(LEN('OFF_CONVAL'!K38)&gt;3,COUNTIF(CL_MONEDAISO,'OFF_CONVAL'!K38)=0)),1,0)</f>
        <v/>
      </c>
      <c r="L38">
        <f>IF(AND('OFF_CONVAL'!L38&lt;&gt;"",IF(ISNUMBER('OFF_CONVAL'!L38),OR('OFF_CONVAL'!L38&lt;&gt;INT('OFF_CONVAL'!L38),LEN(TEXT(ABS('OFF_CONVAL'!L38),"0"))&gt;5),TRUE)),1,0)</f>
        <v/>
      </c>
      <c r="M38">
        <f>IF(AND('OFF_CONVAL'!M38&lt;&gt;"",IF(ISNUMBER('OFF_CONVAL'!M38),OR('OFF_CONVAL'!M38&lt;&gt;INT('OFF_CONVAL'!M38),LEN(TEXT(ABS('OFF_CONVAL'!M38),"0"))&gt;5),TRUE)),1,0)</f>
        <v/>
      </c>
      <c r="N38">
        <f>IF(AND('OFF_CONVAL'!N38&lt;&gt;"",LEN('OFF_CONVAL'!N38)&gt;20),1,0)</f>
        <v/>
      </c>
      <c r="O38">
        <f>IF(AND('OFF_CONVAL'!O38&lt;&gt;"",IF(ISNUMBER('OFF_CONVAL'!O38),OR('OFF_CONVAL'!O38&lt;&gt;INT('OFF_CONVAL'!O38),LEN(TEXT(ABS('OFF_CONVAL'!O38),"0"))&gt;15),TRUE)),1,0)</f>
        <v/>
      </c>
      <c r="P38">
        <f>IF(AND('OFF_CONVAL'!P38&lt;&gt;"",OR(LEN('OFF_CONVAL'!P38)&gt;3,COUNTIF(CL_MONEDAISO,'OFF_CONVAL'!P38)=0)),1,0)</f>
        <v/>
      </c>
      <c r="Q38">
        <f>IF(AND('OFF_CONVAL'!Q38&lt;&gt;"",NOT(ISNUMBER('OFF_CONVAL'!Q38))),1,0)</f>
        <v/>
      </c>
    </row>
    <row r="39">
      <c r="A39">
        <f>IF(AND('OFF_CONVAL'!A39&lt;&gt;"",NOT(ISNUMBER('OFF_CONVAL'!A39))),1,0)</f>
        <v/>
      </c>
      <c r="B39">
        <f>IF(AND('OFF_CONVAL'!B39&lt;&gt;"",LEN('OFF_CONVAL'!B39)&gt;20),1,0)</f>
        <v/>
      </c>
      <c r="C39">
        <f>IF(AND('OFF_CONVAL'!C39&lt;&gt;"",OR(LEN('OFF_CONVAL'!C39)&gt;1,COUNTIF(CL_POSICIONOPERACION_V4,'OFF_CONVAL'!C39)=0)),1,0)</f>
        <v/>
      </c>
      <c r="D39">
        <f>IF(AND('OFF_CONVAL'!D39&lt;&gt;"",OR(LEN('OFF_CONVAL'!D39)&gt;2,COUNTIF(CL_OBJ_OPE_V1,'OFF_CONVAL'!D39)=0)),1,0)</f>
        <v/>
      </c>
      <c r="E39">
        <f>IF(AND('OFF_CONVAL'!E39&lt;&gt;"",COUNTIF(CL_PAQ_EST_DER_V1,'OFF_CONVAL'!E39)=0),1,0)</f>
        <v/>
      </c>
      <c r="F39">
        <f>IF(AND('OFF_CONVAL'!F39&lt;&gt;"",LEN('OFF_CONVAL'!F39)&gt;20),1,0)</f>
        <v/>
      </c>
      <c r="G39">
        <f>IF(AND('OFF_CONVAL'!G39&lt;&gt;"",IF(ISNUMBER('OFF_CONVAL'!G39),OR('OFF_CONVAL'!G39&lt;&gt;INT('OFF_CONVAL'!G39),LEN(TEXT(ABS('OFF_CONVAL'!G39),"0"))&gt;3),TRUE)),1,0)</f>
        <v/>
      </c>
      <c r="H39">
        <f>IF(AND('OFF_CONVAL'!H39&lt;&gt;"",IF(ISNUMBER('OFF_CONVAL'!H39),OR('OFF_CONVAL'!H39&lt;&gt;INT('OFF_CONVAL'!H39),LEN(TEXT(ABS('OFF_CONVAL'!H39),"0"))&gt;15),TRUE)),1,0)</f>
        <v/>
      </c>
      <c r="I39">
        <f>IF(AND('OFF_CONVAL'!I39&lt;&gt;"",OR(LEN('OFF_CONVAL'!I39)&gt;3,COUNTIF(CL_MONEDAISO,'OFF_CONVAL'!I39)=0)),1,0)</f>
        <v/>
      </c>
      <c r="J39">
        <f>IF(AND('OFF_CONVAL'!J39&lt;&gt;"",IF(ISNUMBER('OFF_CONVAL'!J39),OR('OFF_CONVAL'!J39&lt;&gt;INT('OFF_CONVAL'!J39),LEN(TEXT(ABS('OFF_CONVAL'!J39),"0"))&gt;15),TRUE)),1,0)</f>
        <v/>
      </c>
      <c r="K39">
        <f>IF(AND('OFF_CONVAL'!K39&lt;&gt;"",OR(LEN('OFF_CONVAL'!K39)&gt;3,COUNTIF(CL_MONEDAISO,'OFF_CONVAL'!K39)=0)),1,0)</f>
        <v/>
      </c>
      <c r="L39">
        <f>IF(AND('OFF_CONVAL'!L39&lt;&gt;"",IF(ISNUMBER('OFF_CONVAL'!L39),OR('OFF_CONVAL'!L39&lt;&gt;INT('OFF_CONVAL'!L39),LEN(TEXT(ABS('OFF_CONVAL'!L39),"0"))&gt;5),TRUE)),1,0)</f>
        <v/>
      </c>
      <c r="M39">
        <f>IF(AND('OFF_CONVAL'!M39&lt;&gt;"",IF(ISNUMBER('OFF_CONVAL'!M39),OR('OFF_CONVAL'!M39&lt;&gt;INT('OFF_CONVAL'!M39),LEN(TEXT(ABS('OFF_CONVAL'!M39),"0"))&gt;5),TRUE)),1,0)</f>
        <v/>
      </c>
      <c r="N39">
        <f>IF(AND('OFF_CONVAL'!N39&lt;&gt;"",LEN('OFF_CONVAL'!N39)&gt;20),1,0)</f>
        <v/>
      </c>
      <c r="O39">
        <f>IF(AND('OFF_CONVAL'!O39&lt;&gt;"",IF(ISNUMBER('OFF_CONVAL'!O39),OR('OFF_CONVAL'!O39&lt;&gt;INT('OFF_CONVAL'!O39),LEN(TEXT(ABS('OFF_CONVAL'!O39),"0"))&gt;15),TRUE)),1,0)</f>
        <v/>
      </c>
      <c r="P39">
        <f>IF(AND('OFF_CONVAL'!P39&lt;&gt;"",OR(LEN('OFF_CONVAL'!P39)&gt;3,COUNTIF(CL_MONEDAISO,'OFF_CONVAL'!P39)=0)),1,0)</f>
        <v/>
      </c>
      <c r="Q39">
        <f>IF(AND('OFF_CONVAL'!Q39&lt;&gt;"",NOT(ISNUMBER('OFF_CONVAL'!Q39))),1,0)</f>
        <v/>
      </c>
    </row>
    <row r="40">
      <c r="A40">
        <f>IF(AND('OFF_CONVAL'!A40&lt;&gt;"",NOT(ISNUMBER('OFF_CONVAL'!A40))),1,0)</f>
        <v/>
      </c>
      <c r="B40">
        <f>IF(AND('OFF_CONVAL'!B40&lt;&gt;"",LEN('OFF_CONVAL'!B40)&gt;20),1,0)</f>
        <v/>
      </c>
      <c r="C40">
        <f>IF(AND('OFF_CONVAL'!C40&lt;&gt;"",OR(LEN('OFF_CONVAL'!C40)&gt;1,COUNTIF(CL_POSICIONOPERACION_V4,'OFF_CONVAL'!C40)=0)),1,0)</f>
        <v/>
      </c>
      <c r="D40">
        <f>IF(AND('OFF_CONVAL'!D40&lt;&gt;"",OR(LEN('OFF_CONVAL'!D40)&gt;2,COUNTIF(CL_OBJ_OPE_V1,'OFF_CONVAL'!D40)=0)),1,0)</f>
        <v/>
      </c>
      <c r="E40">
        <f>IF(AND('OFF_CONVAL'!E40&lt;&gt;"",COUNTIF(CL_PAQ_EST_DER_V1,'OFF_CONVAL'!E40)=0),1,0)</f>
        <v/>
      </c>
      <c r="F40">
        <f>IF(AND('OFF_CONVAL'!F40&lt;&gt;"",LEN('OFF_CONVAL'!F40)&gt;20),1,0)</f>
        <v/>
      </c>
      <c r="G40">
        <f>IF(AND('OFF_CONVAL'!G40&lt;&gt;"",IF(ISNUMBER('OFF_CONVAL'!G40),OR('OFF_CONVAL'!G40&lt;&gt;INT('OFF_CONVAL'!G40),LEN(TEXT(ABS('OFF_CONVAL'!G40),"0"))&gt;3),TRUE)),1,0)</f>
        <v/>
      </c>
      <c r="H40">
        <f>IF(AND('OFF_CONVAL'!H40&lt;&gt;"",IF(ISNUMBER('OFF_CONVAL'!H40),OR('OFF_CONVAL'!H40&lt;&gt;INT('OFF_CONVAL'!H40),LEN(TEXT(ABS('OFF_CONVAL'!H40),"0"))&gt;15),TRUE)),1,0)</f>
        <v/>
      </c>
      <c r="I40">
        <f>IF(AND('OFF_CONVAL'!I40&lt;&gt;"",OR(LEN('OFF_CONVAL'!I40)&gt;3,COUNTIF(CL_MONEDAISO,'OFF_CONVAL'!I40)=0)),1,0)</f>
        <v/>
      </c>
      <c r="J40">
        <f>IF(AND('OFF_CONVAL'!J40&lt;&gt;"",IF(ISNUMBER('OFF_CONVAL'!J40),OR('OFF_CONVAL'!J40&lt;&gt;INT('OFF_CONVAL'!J40),LEN(TEXT(ABS('OFF_CONVAL'!J40),"0"))&gt;15),TRUE)),1,0)</f>
        <v/>
      </c>
      <c r="K40">
        <f>IF(AND('OFF_CONVAL'!K40&lt;&gt;"",OR(LEN('OFF_CONVAL'!K40)&gt;3,COUNTIF(CL_MONEDAISO,'OFF_CONVAL'!K40)=0)),1,0)</f>
        <v/>
      </c>
      <c r="L40">
        <f>IF(AND('OFF_CONVAL'!L40&lt;&gt;"",IF(ISNUMBER('OFF_CONVAL'!L40),OR('OFF_CONVAL'!L40&lt;&gt;INT('OFF_CONVAL'!L40),LEN(TEXT(ABS('OFF_CONVAL'!L40),"0"))&gt;5),TRUE)),1,0)</f>
        <v/>
      </c>
      <c r="M40">
        <f>IF(AND('OFF_CONVAL'!M40&lt;&gt;"",IF(ISNUMBER('OFF_CONVAL'!M40),OR('OFF_CONVAL'!M40&lt;&gt;INT('OFF_CONVAL'!M40),LEN(TEXT(ABS('OFF_CONVAL'!M40),"0"))&gt;5),TRUE)),1,0)</f>
        <v/>
      </c>
      <c r="N40">
        <f>IF(AND('OFF_CONVAL'!N40&lt;&gt;"",LEN('OFF_CONVAL'!N40)&gt;20),1,0)</f>
        <v/>
      </c>
      <c r="O40">
        <f>IF(AND('OFF_CONVAL'!O40&lt;&gt;"",IF(ISNUMBER('OFF_CONVAL'!O40),OR('OFF_CONVAL'!O40&lt;&gt;INT('OFF_CONVAL'!O40),LEN(TEXT(ABS('OFF_CONVAL'!O40),"0"))&gt;15),TRUE)),1,0)</f>
        <v/>
      </c>
      <c r="P40">
        <f>IF(AND('OFF_CONVAL'!P40&lt;&gt;"",OR(LEN('OFF_CONVAL'!P40)&gt;3,COUNTIF(CL_MONEDAISO,'OFF_CONVAL'!P40)=0)),1,0)</f>
        <v/>
      </c>
      <c r="Q40">
        <f>IF(AND('OFF_CONVAL'!Q40&lt;&gt;"",NOT(ISNUMBER('OFF_CONVAL'!Q40))),1,0)</f>
        <v/>
      </c>
    </row>
    <row r="41">
      <c r="A41">
        <f>IF(AND('OFF_CONVAL'!A41&lt;&gt;"",NOT(ISNUMBER('OFF_CONVAL'!A41))),1,0)</f>
        <v/>
      </c>
      <c r="B41">
        <f>IF(AND('OFF_CONVAL'!B41&lt;&gt;"",LEN('OFF_CONVAL'!B41)&gt;20),1,0)</f>
        <v/>
      </c>
      <c r="C41">
        <f>IF(AND('OFF_CONVAL'!C41&lt;&gt;"",OR(LEN('OFF_CONVAL'!C41)&gt;1,COUNTIF(CL_POSICIONOPERACION_V4,'OFF_CONVAL'!C41)=0)),1,0)</f>
        <v/>
      </c>
      <c r="D41">
        <f>IF(AND('OFF_CONVAL'!D41&lt;&gt;"",OR(LEN('OFF_CONVAL'!D41)&gt;2,COUNTIF(CL_OBJ_OPE_V1,'OFF_CONVAL'!D41)=0)),1,0)</f>
        <v/>
      </c>
      <c r="E41">
        <f>IF(AND('OFF_CONVAL'!E41&lt;&gt;"",COUNTIF(CL_PAQ_EST_DER_V1,'OFF_CONVAL'!E41)=0),1,0)</f>
        <v/>
      </c>
      <c r="F41">
        <f>IF(AND('OFF_CONVAL'!F41&lt;&gt;"",LEN('OFF_CONVAL'!F41)&gt;20),1,0)</f>
        <v/>
      </c>
      <c r="G41">
        <f>IF(AND('OFF_CONVAL'!G41&lt;&gt;"",IF(ISNUMBER('OFF_CONVAL'!G41),OR('OFF_CONVAL'!G41&lt;&gt;INT('OFF_CONVAL'!G41),LEN(TEXT(ABS('OFF_CONVAL'!G41),"0"))&gt;3),TRUE)),1,0)</f>
        <v/>
      </c>
      <c r="H41">
        <f>IF(AND('OFF_CONVAL'!H41&lt;&gt;"",IF(ISNUMBER('OFF_CONVAL'!H41),OR('OFF_CONVAL'!H41&lt;&gt;INT('OFF_CONVAL'!H41),LEN(TEXT(ABS('OFF_CONVAL'!H41),"0"))&gt;15),TRUE)),1,0)</f>
        <v/>
      </c>
      <c r="I41">
        <f>IF(AND('OFF_CONVAL'!I41&lt;&gt;"",OR(LEN('OFF_CONVAL'!I41)&gt;3,COUNTIF(CL_MONEDAISO,'OFF_CONVAL'!I41)=0)),1,0)</f>
        <v/>
      </c>
      <c r="J41">
        <f>IF(AND('OFF_CONVAL'!J41&lt;&gt;"",IF(ISNUMBER('OFF_CONVAL'!J41),OR('OFF_CONVAL'!J41&lt;&gt;INT('OFF_CONVAL'!J41),LEN(TEXT(ABS('OFF_CONVAL'!J41),"0"))&gt;15),TRUE)),1,0)</f>
        <v/>
      </c>
      <c r="K41">
        <f>IF(AND('OFF_CONVAL'!K41&lt;&gt;"",OR(LEN('OFF_CONVAL'!K41)&gt;3,COUNTIF(CL_MONEDAISO,'OFF_CONVAL'!K41)=0)),1,0)</f>
        <v/>
      </c>
      <c r="L41">
        <f>IF(AND('OFF_CONVAL'!L41&lt;&gt;"",IF(ISNUMBER('OFF_CONVAL'!L41),OR('OFF_CONVAL'!L41&lt;&gt;INT('OFF_CONVAL'!L41),LEN(TEXT(ABS('OFF_CONVAL'!L41),"0"))&gt;5),TRUE)),1,0)</f>
        <v/>
      </c>
      <c r="M41">
        <f>IF(AND('OFF_CONVAL'!M41&lt;&gt;"",IF(ISNUMBER('OFF_CONVAL'!M41),OR('OFF_CONVAL'!M41&lt;&gt;INT('OFF_CONVAL'!M41),LEN(TEXT(ABS('OFF_CONVAL'!M41),"0"))&gt;5),TRUE)),1,0)</f>
        <v/>
      </c>
      <c r="N41">
        <f>IF(AND('OFF_CONVAL'!N41&lt;&gt;"",LEN('OFF_CONVAL'!N41)&gt;20),1,0)</f>
        <v/>
      </c>
      <c r="O41">
        <f>IF(AND('OFF_CONVAL'!O41&lt;&gt;"",IF(ISNUMBER('OFF_CONVAL'!O41),OR('OFF_CONVAL'!O41&lt;&gt;INT('OFF_CONVAL'!O41),LEN(TEXT(ABS('OFF_CONVAL'!O41),"0"))&gt;15),TRUE)),1,0)</f>
        <v/>
      </c>
      <c r="P41">
        <f>IF(AND('OFF_CONVAL'!P41&lt;&gt;"",OR(LEN('OFF_CONVAL'!P41)&gt;3,COUNTIF(CL_MONEDAISO,'OFF_CONVAL'!P41)=0)),1,0)</f>
        <v/>
      </c>
      <c r="Q41">
        <f>IF(AND('OFF_CONVAL'!Q41&lt;&gt;"",NOT(ISNUMBER('OFF_CONVAL'!Q41))),1,0)</f>
        <v/>
      </c>
    </row>
    <row r="42">
      <c r="A42">
        <f>IF(AND('OFF_CONVAL'!A42&lt;&gt;"",NOT(ISNUMBER('OFF_CONVAL'!A42))),1,0)</f>
        <v/>
      </c>
      <c r="B42">
        <f>IF(AND('OFF_CONVAL'!B42&lt;&gt;"",LEN('OFF_CONVAL'!B42)&gt;20),1,0)</f>
        <v/>
      </c>
      <c r="C42">
        <f>IF(AND('OFF_CONVAL'!C42&lt;&gt;"",OR(LEN('OFF_CONVAL'!C42)&gt;1,COUNTIF(CL_POSICIONOPERACION_V4,'OFF_CONVAL'!C42)=0)),1,0)</f>
        <v/>
      </c>
      <c r="D42">
        <f>IF(AND('OFF_CONVAL'!D42&lt;&gt;"",OR(LEN('OFF_CONVAL'!D42)&gt;2,COUNTIF(CL_OBJ_OPE_V1,'OFF_CONVAL'!D42)=0)),1,0)</f>
        <v/>
      </c>
      <c r="E42">
        <f>IF(AND('OFF_CONVAL'!E42&lt;&gt;"",COUNTIF(CL_PAQ_EST_DER_V1,'OFF_CONVAL'!E42)=0),1,0)</f>
        <v/>
      </c>
      <c r="F42">
        <f>IF(AND('OFF_CONVAL'!F42&lt;&gt;"",LEN('OFF_CONVAL'!F42)&gt;20),1,0)</f>
        <v/>
      </c>
      <c r="G42">
        <f>IF(AND('OFF_CONVAL'!G42&lt;&gt;"",IF(ISNUMBER('OFF_CONVAL'!G42),OR('OFF_CONVAL'!G42&lt;&gt;INT('OFF_CONVAL'!G42),LEN(TEXT(ABS('OFF_CONVAL'!G42),"0"))&gt;3),TRUE)),1,0)</f>
        <v/>
      </c>
      <c r="H42">
        <f>IF(AND('OFF_CONVAL'!H42&lt;&gt;"",IF(ISNUMBER('OFF_CONVAL'!H42),OR('OFF_CONVAL'!H42&lt;&gt;INT('OFF_CONVAL'!H42),LEN(TEXT(ABS('OFF_CONVAL'!H42),"0"))&gt;15),TRUE)),1,0)</f>
        <v/>
      </c>
      <c r="I42">
        <f>IF(AND('OFF_CONVAL'!I42&lt;&gt;"",OR(LEN('OFF_CONVAL'!I42)&gt;3,COUNTIF(CL_MONEDAISO,'OFF_CONVAL'!I42)=0)),1,0)</f>
        <v/>
      </c>
      <c r="J42">
        <f>IF(AND('OFF_CONVAL'!J42&lt;&gt;"",IF(ISNUMBER('OFF_CONVAL'!J42),OR('OFF_CONVAL'!J42&lt;&gt;INT('OFF_CONVAL'!J42),LEN(TEXT(ABS('OFF_CONVAL'!J42),"0"))&gt;15),TRUE)),1,0)</f>
        <v/>
      </c>
      <c r="K42">
        <f>IF(AND('OFF_CONVAL'!K42&lt;&gt;"",OR(LEN('OFF_CONVAL'!K42)&gt;3,COUNTIF(CL_MONEDAISO,'OFF_CONVAL'!K42)=0)),1,0)</f>
        <v/>
      </c>
      <c r="L42">
        <f>IF(AND('OFF_CONVAL'!L42&lt;&gt;"",IF(ISNUMBER('OFF_CONVAL'!L42),OR('OFF_CONVAL'!L42&lt;&gt;INT('OFF_CONVAL'!L42),LEN(TEXT(ABS('OFF_CONVAL'!L42),"0"))&gt;5),TRUE)),1,0)</f>
        <v/>
      </c>
      <c r="M42">
        <f>IF(AND('OFF_CONVAL'!M42&lt;&gt;"",IF(ISNUMBER('OFF_CONVAL'!M42),OR('OFF_CONVAL'!M42&lt;&gt;INT('OFF_CONVAL'!M42),LEN(TEXT(ABS('OFF_CONVAL'!M42),"0"))&gt;5),TRUE)),1,0)</f>
        <v/>
      </c>
      <c r="N42">
        <f>IF(AND('OFF_CONVAL'!N42&lt;&gt;"",LEN('OFF_CONVAL'!N42)&gt;20),1,0)</f>
        <v/>
      </c>
      <c r="O42">
        <f>IF(AND('OFF_CONVAL'!O42&lt;&gt;"",IF(ISNUMBER('OFF_CONVAL'!O42),OR('OFF_CONVAL'!O42&lt;&gt;INT('OFF_CONVAL'!O42),LEN(TEXT(ABS('OFF_CONVAL'!O42),"0"))&gt;15),TRUE)),1,0)</f>
        <v/>
      </c>
      <c r="P42">
        <f>IF(AND('OFF_CONVAL'!P42&lt;&gt;"",OR(LEN('OFF_CONVAL'!P42)&gt;3,COUNTIF(CL_MONEDAISO,'OFF_CONVAL'!P42)=0)),1,0)</f>
        <v/>
      </c>
      <c r="Q42">
        <f>IF(AND('OFF_CONVAL'!Q42&lt;&gt;"",NOT(ISNUMBER('OFF_CONVAL'!Q42))),1,0)</f>
        <v/>
      </c>
    </row>
    <row r="43">
      <c r="A43">
        <f>IF(AND('OFF_CONVAL'!A43&lt;&gt;"",NOT(ISNUMBER('OFF_CONVAL'!A43))),1,0)</f>
        <v/>
      </c>
      <c r="B43">
        <f>IF(AND('OFF_CONVAL'!B43&lt;&gt;"",LEN('OFF_CONVAL'!B43)&gt;20),1,0)</f>
        <v/>
      </c>
      <c r="C43">
        <f>IF(AND('OFF_CONVAL'!C43&lt;&gt;"",OR(LEN('OFF_CONVAL'!C43)&gt;1,COUNTIF(CL_POSICIONOPERACION_V4,'OFF_CONVAL'!C43)=0)),1,0)</f>
        <v/>
      </c>
      <c r="D43">
        <f>IF(AND('OFF_CONVAL'!D43&lt;&gt;"",OR(LEN('OFF_CONVAL'!D43)&gt;2,COUNTIF(CL_OBJ_OPE_V1,'OFF_CONVAL'!D43)=0)),1,0)</f>
        <v/>
      </c>
      <c r="E43">
        <f>IF(AND('OFF_CONVAL'!E43&lt;&gt;"",COUNTIF(CL_PAQ_EST_DER_V1,'OFF_CONVAL'!E43)=0),1,0)</f>
        <v/>
      </c>
      <c r="F43">
        <f>IF(AND('OFF_CONVAL'!F43&lt;&gt;"",LEN('OFF_CONVAL'!F43)&gt;20),1,0)</f>
        <v/>
      </c>
      <c r="G43">
        <f>IF(AND('OFF_CONVAL'!G43&lt;&gt;"",IF(ISNUMBER('OFF_CONVAL'!G43),OR('OFF_CONVAL'!G43&lt;&gt;INT('OFF_CONVAL'!G43),LEN(TEXT(ABS('OFF_CONVAL'!G43),"0"))&gt;3),TRUE)),1,0)</f>
        <v/>
      </c>
      <c r="H43">
        <f>IF(AND('OFF_CONVAL'!H43&lt;&gt;"",IF(ISNUMBER('OFF_CONVAL'!H43),OR('OFF_CONVAL'!H43&lt;&gt;INT('OFF_CONVAL'!H43),LEN(TEXT(ABS('OFF_CONVAL'!H43),"0"))&gt;15),TRUE)),1,0)</f>
        <v/>
      </c>
      <c r="I43">
        <f>IF(AND('OFF_CONVAL'!I43&lt;&gt;"",OR(LEN('OFF_CONVAL'!I43)&gt;3,COUNTIF(CL_MONEDAISO,'OFF_CONVAL'!I43)=0)),1,0)</f>
        <v/>
      </c>
      <c r="J43">
        <f>IF(AND('OFF_CONVAL'!J43&lt;&gt;"",IF(ISNUMBER('OFF_CONVAL'!J43),OR('OFF_CONVAL'!J43&lt;&gt;INT('OFF_CONVAL'!J43),LEN(TEXT(ABS('OFF_CONVAL'!J43),"0"))&gt;15),TRUE)),1,0)</f>
        <v/>
      </c>
      <c r="K43">
        <f>IF(AND('OFF_CONVAL'!K43&lt;&gt;"",OR(LEN('OFF_CONVAL'!K43)&gt;3,COUNTIF(CL_MONEDAISO,'OFF_CONVAL'!K43)=0)),1,0)</f>
        <v/>
      </c>
      <c r="L43">
        <f>IF(AND('OFF_CONVAL'!L43&lt;&gt;"",IF(ISNUMBER('OFF_CONVAL'!L43),OR('OFF_CONVAL'!L43&lt;&gt;INT('OFF_CONVAL'!L43),LEN(TEXT(ABS('OFF_CONVAL'!L43),"0"))&gt;5),TRUE)),1,0)</f>
        <v/>
      </c>
      <c r="M43">
        <f>IF(AND('OFF_CONVAL'!M43&lt;&gt;"",IF(ISNUMBER('OFF_CONVAL'!M43),OR('OFF_CONVAL'!M43&lt;&gt;INT('OFF_CONVAL'!M43),LEN(TEXT(ABS('OFF_CONVAL'!M43),"0"))&gt;5),TRUE)),1,0)</f>
        <v/>
      </c>
      <c r="N43">
        <f>IF(AND('OFF_CONVAL'!N43&lt;&gt;"",LEN('OFF_CONVAL'!N43)&gt;20),1,0)</f>
        <v/>
      </c>
      <c r="O43">
        <f>IF(AND('OFF_CONVAL'!O43&lt;&gt;"",IF(ISNUMBER('OFF_CONVAL'!O43),OR('OFF_CONVAL'!O43&lt;&gt;INT('OFF_CONVAL'!O43),LEN(TEXT(ABS('OFF_CONVAL'!O43),"0"))&gt;15),TRUE)),1,0)</f>
        <v/>
      </c>
      <c r="P43">
        <f>IF(AND('OFF_CONVAL'!P43&lt;&gt;"",OR(LEN('OFF_CONVAL'!P43)&gt;3,COUNTIF(CL_MONEDAISO,'OFF_CONVAL'!P43)=0)),1,0)</f>
        <v/>
      </c>
      <c r="Q43">
        <f>IF(AND('OFF_CONVAL'!Q43&lt;&gt;"",NOT(ISNUMBER('OFF_CONVAL'!Q43))),1,0)</f>
        <v/>
      </c>
    </row>
    <row r="44">
      <c r="A44">
        <f>IF(AND('OFF_CONVAL'!A44&lt;&gt;"",NOT(ISNUMBER('OFF_CONVAL'!A44))),1,0)</f>
        <v/>
      </c>
      <c r="B44">
        <f>IF(AND('OFF_CONVAL'!B44&lt;&gt;"",LEN('OFF_CONVAL'!B44)&gt;20),1,0)</f>
        <v/>
      </c>
      <c r="C44">
        <f>IF(AND('OFF_CONVAL'!C44&lt;&gt;"",OR(LEN('OFF_CONVAL'!C44)&gt;1,COUNTIF(CL_POSICIONOPERACION_V4,'OFF_CONVAL'!C44)=0)),1,0)</f>
        <v/>
      </c>
      <c r="D44">
        <f>IF(AND('OFF_CONVAL'!D44&lt;&gt;"",OR(LEN('OFF_CONVAL'!D44)&gt;2,COUNTIF(CL_OBJ_OPE_V1,'OFF_CONVAL'!D44)=0)),1,0)</f>
        <v/>
      </c>
      <c r="E44">
        <f>IF(AND('OFF_CONVAL'!E44&lt;&gt;"",COUNTIF(CL_PAQ_EST_DER_V1,'OFF_CONVAL'!E44)=0),1,0)</f>
        <v/>
      </c>
      <c r="F44">
        <f>IF(AND('OFF_CONVAL'!F44&lt;&gt;"",LEN('OFF_CONVAL'!F44)&gt;20),1,0)</f>
        <v/>
      </c>
      <c r="G44">
        <f>IF(AND('OFF_CONVAL'!G44&lt;&gt;"",IF(ISNUMBER('OFF_CONVAL'!G44),OR('OFF_CONVAL'!G44&lt;&gt;INT('OFF_CONVAL'!G44),LEN(TEXT(ABS('OFF_CONVAL'!G44),"0"))&gt;3),TRUE)),1,0)</f>
        <v/>
      </c>
      <c r="H44">
        <f>IF(AND('OFF_CONVAL'!H44&lt;&gt;"",IF(ISNUMBER('OFF_CONVAL'!H44),OR('OFF_CONVAL'!H44&lt;&gt;INT('OFF_CONVAL'!H44),LEN(TEXT(ABS('OFF_CONVAL'!H44),"0"))&gt;15),TRUE)),1,0)</f>
        <v/>
      </c>
      <c r="I44">
        <f>IF(AND('OFF_CONVAL'!I44&lt;&gt;"",OR(LEN('OFF_CONVAL'!I44)&gt;3,COUNTIF(CL_MONEDAISO,'OFF_CONVAL'!I44)=0)),1,0)</f>
        <v/>
      </c>
      <c r="J44">
        <f>IF(AND('OFF_CONVAL'!J44&lt;&gt;"",IF(ISNUMBER('OFF_CONVAL'!J44),OR('OFF_CONVAL'!J44&lt;&gt;INT('OFF_CONVAL'!J44),LEN(TEXT(ABS('OFF_CONVAL'!J44),"0"))&gt;15),TRUE)),1,0)</f>
        <v/>
      </c>
      <c r="K44">
        <f>IF(AND('OFF_CONVAL'!K44&lt;&gt;"",OR(LEN('OFF_CONVAL'!K44)&gt;3,COUNTIF(CL_MONEDAISO,'OFF_CONVAL'!K44)=0)),1,0)</f>
        <v/>
      </c>
      <c r="L44">
        <f>IF(AND('OFF_CONVAL'!L44&lt;&gt;"",IF(ISNUMBER('OFF_CONVAL'!L44),OR('OFF_CONVAL'!L44&lt;&gt;INT('OFF_CONVAL'!L44),LEN(TEXT(ABS('OFF_CONVAL'!L44),"0"))&gt;5),TRUE)),1,0)</f>
        <v/>
      </c>
      <c r="M44">
        <f>IF(AND('OFF_CONVAL'!M44&lt;&gt;"",IF(ISNUMBER('OFF_CONVAL'!M44),OR('OFF_CONVAL'!M44&lt;&gt;INT('OFF_CONVAL'!M44),LEN(TEXT(ABS('OFF_CONVAL'!M44),"0"))&gt;5),TRUE)),1,0)</f>
        <v/>
      </c>
      <c r="N44">
        <f>IF(AND('OFF_CONVAL'!N44&lt;&gt;"",LEN('OFF_CONVAL'!N44)&gt;20),1,0)</f>
        <v/>
      </c>
      <c r="O44">
        <f>IF(AND('OFF_CONVAL'!O44&lt;&gt;"",IF(ISNUMBER('OFF_CONVAL'!O44),OR('OFF_CONVAL'!O44&lt;&gt;INT('OFF_CONVAL'!O44),LEN(TEXT(ABS('OFF_CONVAL'!O44),"0"))&gt;15),TRUE)),1,0)</f>
        <v/>
      </c>
      <c r="P44">
        <f>IF(AND('OFF_CONVAL'!P44&lt;&gt;"",OR(LEN('OFF_CONVAL'!P44)&gt;3,COUNTIF(CL_MONEDAISO,'OFF_CONVAL'!P44)=0)),1,0)</f>
        <v/>
      </c>
      <c r="Q44">
        <f>IF(AND('OFF_CONVAL'!Q44&lt;&gt;"",NOT(ISNUMBER('OFF_CONVAL'!Q44))),1,0)</f>
        <v/>
      </c>
    </row>
    <row r="45">
      <c r="A45">
        <f>IF(AND('OFF_CONVAL'!A45&lt;&gt;"",NOT(ISNUMBER('OFF_CONVAL'!A45))),1,0)</f>
        <v/>
      </c>
      <c r="B45">
        <f>IF(AND('OFF_CONVAL'!B45&lt;&gt;"",LEN('OFF_CONVAL'!B45)&gt;20),1,0)</f>
        <v/>
      </c>
      <c r="C45">
        <f>IF(AND('OFF_CONVAL'!C45&lt;&gt;"",OR(LEN('OFF_CONVAL'!C45)&gt;1,COUNTIF(CL_POSICIONOPERACION_V4,'OFF_CONVAL'!C45)=0)),1,0)</f>
        <v/>
      </c>
      <c r="D45">
        <f>IF(AND('OFF_CONVAL'!D45&lt;&gt;"",OR(LEN('OFF_CONVAL'!D45)&gt;2,COUNTIF(CL_OBJ_OPE_V1,'OFF_CONVAL'!D45)=0)),1,0)</f>
        <v/>
      </c>
      <c r="E45">
        <f>IF(AND('OFF_CONVAL'!E45&lt;&gt;"",COUNTIF(CL_PAQ_EST_DER_V1,'OFF_CONVAL'!E45)=0),1,0)</f>
        <v/>
      </c>
      <c r="F45">
        <f>IF(AND('OFF_CONVAL'!F45&lt;&gt;"",LEN('OFF_CONVAL'!F45)&gt;20),1,0)</f>
        <v/>
      </c>
      <c r="G45">
        <f>IF(AND('OFF_CONVAL'!G45&lt;&gt;"",IF(ISNUMBER('OFF_CONVAL'!G45),OR('OFF_CONVAL'!G45&lt;&gt;INT('OFF_CONVAL'!G45),LEN(TEXT(ABS('OFF_CONVAL'!G45),"0"))&gt;3),TRUE)),1,0)</f>
        <v/>
      </c>
      <c r="H45">
        <f>IF(AND('OFF_CONVAL'!H45&lt;&gt;"",IF(ISNUMBER('OFF_CONVAL'!H45),OR('OFF_CONVAL'!H45&lt;&gt;INT('OFF_CONVAL'!H45),LEN(TEXT(ABS('OFF_CONVAL'!H45),"0"))&gt;15),TRUE)),1,0)</f>
        <v/>
      </c>
      <c r="I45">
        <f>IF(AND('OFF_CONVAL'!I45&lt;&gt;"",OR(LEN('OFF_CONVAL'!I45)&gt;3,COUNTIF(CL_MONEDAISO,'OFF_CONVAL'!I45)=0)),1,0)</f>
        <v/>
      </c>
      <c r="J45">
        <f>IF(AND('OFF_CONVAL'!J45&lt;&gt;"",IF(ISNUMBER('OFF_CONVAL'!J45),OR('OFF_CONVAL'!J45&lt;&gt;INT('OFF_CONVAL'!J45),LEN(TEXT(ABS('OFF_CONVAL'!J45),"0"))&gt;15),TRUE)),1,0)</f>
        <v/>
      </c>
      <c r="K45">
        <f>IF(AND('OFF_CONVAL'!K45&lt;&gt;"",OR(LEN('OFF_CONVAL'!K45)&gt;3,COUNTIF(CL_MONEDAISO,'OFF_CONVAL'!K45)=0)),1,0)</f>
        <v/>
      </c>
      <c r="L45">
        <f>IF(AND('OFF_CONVAL'!L45&lt;&gt;"",IF(ISNUMBER('OFF_CONVAL'!L45),OR('OFF_CONVAL'!L45&lt;&gt;INT('OFF_CONVAL'!L45),LEN(TEXT(ABS('OFF_CONVAL'!L45),"0"))&gt;5),TRUE)),1,0)</f>
        <v/>
      </c>
      <c r="M45">
        <f>IF(AND('OFF_CONVAL'!M45&lt;&gt;"",IF(ISNUMBER('OFF_CONVAL'!M45),OR('OFF_CONVAL'!M45&lt;&gt;INT('OFF_CONVAL'!M45),LEN(TEXT(ABS('OFF_CONVAL'!M45),"0"))&gt;5),TRUE)),1,0)</f>
        <v/>
      </c>
      <c r="N45">
        <f>IF(AND('OFF_CONVAL'!N45&lt;&gt;"",LEN('OFF_CONVAL'!N45)&gt;20),1,0)</f>
        <v/>
      </c>
      <c r="O45">
        <f>IF(AND('OFF_CONVAL'!O45&lt;&gt;"",IF(ISNUMBER('OFF_CONVAL'!O45),OR('OFF_CONVAL'!O45&lt;&gt;INT('OFF_CONVAL'!O45),LEN(TEXT(ABS('OFF_CONVAL'!O45),"0"))&gt;15),TRUE)),1,0)</f>
        <v/>
      </c>
      <c r="P45">
        <f>IF(AND('OFF_CONVAL'!P45&lt;&gt;"",OR(LEN('OFF_CONVAL'!P45)&gt;3,COUNTIF(CL_MONEDAISO,'OFF_CONVAL'!P45)=0)),1,0)</f>
        <v/>
      </c>
      <c r="Q45">
        <f>IF(AND('OFF_CONVAL'!Q45&lt;&gt;"",NOT(ISNUMBER('OFF_CONVAL'!Q45))),1,0)</f>
        <v/>
      </c>
    </row>
    <row r="46">
      <c r="A46">
        <f>IF(AND('OFF_CONVAL'!A46&lt;&gt;"",NOT(ISNUMBER('OFF_CONVAL'!A46))),1,0)</f>
        <v/>
      </c>
      <c r="B46">
        <f>IF(AND('OFF_CONVAL'!B46&lt;&gt;"",LEN('OFF_CONVAL'!B46)&gt;20),1,0)</f>
        <v/>
      </c>
      <c r="C46">
        <f>IF(AND('OFF_CONVAL'!C46&lt;&gt;"",OR(LEN('OFF_CONVAL'!C46)&gt;1,COUNTIF(CL_POSICIONOPERACION_V4,'OFF_CONVAL'!C46)=0)),1,0)</f>
        <v/>
      </c>
      <c r="D46">
        <f>IF(AND('OFF_CONVAL'!D46&lt;&gt;"",OR(LEN('OFF_CONVAL'!D46)&gt;2,COUNTIF(CL_OBJ_OPE_V1,'OFF_CONVAL'!D46)=0)),1,0)</f>
        <v/>
      </c>
      <c r="E46">
        <f>IF(AND('OFF_CONVAL'!E46&lt;&gt;"",COUNTIF(CL_PAQ_EST_DER_V1,'OFF_CONVAL'!E46)=0),1,0)</f>
        <v/>
      </c>
      <c r="F46">
        <f>IF(AND('OFF_CONVAL'!F46&lt;&gt;"",LEN('OFF_CONVAL'!F46)&gt;20),1,0)</f>
        <v/>
      </c>
      <c r="G46">
        <f>IF(AND('OFF_CONVAL'!G46&lt;&gt;"",IF(ISNUMBER('OFF_CONVAL'!G46),OR('OFF_CONVAL'!G46&lt;&gt;INT('OFF_CONVAL'!G46),LEN(TEXT(ABS('OFF_CONVAL'!G46),"0"))&gt;3),TRUE)),1,0)</f>
        <v/>
      </c>
      <c r="H46">
        <f>IF(AND('OFF_CONVAL'!H46&lt;&gt;"",IF(ISNUMBER('OFF_CONVAL'!H46),OR('OFF_CONVAL'!H46&lt;&gt;INT('OFF_CONVAL'!H46),LEN(TEXT(ABS('OFF_CONVAL'!H46),"0"))&gt;15),TRUE)),1,0)</f>
        <v/>
      </c>
      <c r="I46">
        <f>IF(AND('OFF_CONVAL'!I46&lt;&gt;"",OR(LEN('OFF_CONVAL'!I46)&gt;3,COUNTIF(CL_MONEDAISO,'OFF_CONVAL'!I46)=0)),1,0)</f>
        <v/>
      </c>
      <c r="J46">
        <f>IF(AND('OFF_CONVAL'!J46&lt;&gt;"",IF(ISNUMBER('OFF_CONVAL'!J46),OR('OFF_CONVAL'!J46&lt;&gt;INT('OFF_CONVAL'!J46),LEN(TEXT(ABS('OFF_CONVAL'!J46),"0"))&gt;15),TRUE)),1,0)</f>
        <v/>
      </c>
      <c r="K46">
        <f>IF(AND('OFF_CONVAL'!K46&lt;&gt;"",OR(LEN('OFF_CONVAL'!K46)&gt;3,COUNTIF(CL_MONEDAISO,'OFF_CONVAL'!K46)=0)),1,0)</f>
        <v/>
      </c>
      <c r="L46">
        <f>IF(AND('OFF_CONVAL'!L46&lt;&gt;"",IF(ISNUMBER('OFF_CONVAL'!L46),OR('OFF_CONVAL'!L46&lt;&gt;INT('OFF_CONVAL'!L46),LEN(TEXT(ABS('OFF_CONVAL'!L46),"0"))&gt;5),TRUE)),1,0)</f>
        <v/>
      </c>
      <c r="M46">
        <f>IF(AND('OFF_CONVAL'!M46&lt;&gt;"",IF(ISNUMBER('OFF_CONVAL'!M46),OR('OFF_CONVAL'!M46&lt;&gt;INT('OFF_CONVAL'!M46),LEN(TEXT(ABS('OFF_CONVAL'!M46),"0"))&gt;5),TRUE)),1,0)</f>
        <v/>
      </c>
      <c r="N46">
        <f>IF(AND('OFF_CONVAL'!N46&lt;&gt;"",LEN('OFF_CONVAL'!N46)&gt;20),1,0)</f>
        <v/>
      </c>
      <c r="O46">
        <f>IF(AND('OFF_CONVAL'!O46&lt;&gt;"",IF(ISNUMBER('OFF_CONVAL'!O46),OR('OFF_CONVAL'!O46&lt;&gt;INT('OFF_CONVAL'!O46),LEN(TEXT(ABS('OFF_CONVAL'!O46),"0"))&gt;15),TRUE)),1,0)</f>
        <v/>
      </c>
      <c r="P46">
        <f>IF(AND('OFF_CONVAL'!P46&lt;&gt;"",OR(LEN('OFF_CONVAL'!P46)&gt;3,COUNTIF(CL_MONEDAISO,'OFF_CONVAL'!P46)=0)),1,0)</f>
        <v/>
      </c>
      <c r="Q46">
        <f>IF(AND('OFF_CONVAL'!Q46&lt;&gt;"",NOT(ISNUMBER('OFF_CONVAL'!Q46))),1,0)</f>
        <v/>
      </c>
    </row>
    <row r="47">
      <c r="A47">
        <f>IF(AND('OFF_CONVAL'!A47&lt;&gt;"",NOT(ISNUMBER('OFF_CONVAL'!A47))),1,0)</f>
        <v/>
      </c>
      <c r="B47">
        <f>IF(AND('OFF_CONVAL'!B47&lt;&gt;"",LEN('OFF_CONVAL'!B47)&gt;20),1,0)</f>
        <v/>
      </c>
      <c r="C47">
        <f>IF(AND('OFF_CONVAL'!C47&lt;&gt;"",OR(LEN('OFF_CONVAL'!C47)&gt;1,COUNTIF(CL_POSICIONOPERACION_V4,'OFF_CONVAL'!C47)=0)),1,0)</f>
        <v/>
      </c>
      <c r="D47">
        <f>IF(AND('OFF_CONVAL'!D47&lt;&gt;"",OR(LEN('OFF_CONVAL'!D47)&gt;2,COUNTIF(CL_OBJ_OPE_V1,'OFF_CONVAL'!D47)=0)),1,0)</f>
        <v/>
      </c>
      <c r="E47">
        <f>IF(AND('OFF_CONVAL'!E47&lt;&gt;"",COUNTIF(CL_PAQ_EST_DER_V1,'OFF_CONVAL'!E47)=0),1,0)</f>
        <v/>
      </c>
      <c r="F47">
        <f>IF(AND('OFF_CONVAL'!F47&lt;&gt;"",LEN('OFF_CONVAL'!F47)&gt;20),1,0)</f>
        <v/>
      </c>
      <c r="G47">
        <f>IF(AND('OFF_CONVAL'!G47&lt;&gt;"",IF(ISNUMBER('OFF_CONVAL'!G47),OR('OFF_CONVAL'!G47&lt;&gt;INT('OFF_CONVAL'!G47),LEN(TEXT(ABS('OFF_CONVAL'!G47),"0"))&gt;3),TRUE)),1,0)</f>
        <v/>
      </c>
      <c r="H47">
        <f>IF(AND('OFF_CONVAL'!H47&lt;&gt;"",IF(ISNUMBER('OFF_CONVAL'!H47),OR('OFF_CONVAL'!H47&lt;&gt;INT('OFF_CONVAL'!H47),LEN(TEXT(ABS('OFF_CONVAL'!H47),"0"))&gt;15),TRUE)),1,0)</f>
        <v/>
      </c>
      <c r="I47">
        <f>IF(AND('OFF_CONVAL'!I47&lt;&gt;"",OR(LEN('OFF_CONVAL'!I47)&gt;3,COUNTIF(CL_MONEDAISO,'OFF_CONVAL'!I47)=0)),1,0)</f>
        <v/>
      </c>
      <c r="J47">
        <f>IF(AND('OFF_CONVAL'!J47&lt;&gt;"",IF(ISNUMBER('OFF_CONVAL'!J47),OR('OFF_CONVAL'!J47&lt;&gt;INT('OFF_CONVAL'!J47),LEN(TEXT(ABS('OFF_CONVAL'!J47),"0"))&gt;15),TRUE)),1,0)</f>
        <v/>
      </c>
      <c r="K47">
        <f>IF(AND('OFF_CONVAL'!K47&lt;&gt;"",OR(LEN('OFF_CONVAL'!K47)&gt;3,COUNTIF(CL_MONEDAISO,'OFF_CONVAL'!K47)=0)),1,0)</f>
        <v/>
      </c>
      <c r="L47">
        <f>IF(AND('OFF_CONVAL'!L47&lt;&gt;"",IF(ISNUMBER('OFF_CONVAL'!L47),OR('OFF_CONVAL'!L47&lt;&gt;INT('OFF_CONVAL'!L47),LEN(TEXT(ABS('OFF_CONVAL'!L47),"0"))&gt;5),TRUE)),1,0)</f>
        <v/>
      </c>
      <c r="M47">
        <f>IF(AND('OFF_CONVAL'!M47&lt;&gt;"",IF(ISNUMBER('OFF_CONVAL'!M47),OR('OFF_CONVAL'!M47&lt;&gt;INT('OFF_CONVAL'!M47),LEN(TEXT(ABS('OFF_CONVAL'!M47),"0"))&gt;5),TRUE)),1,0)</f>
        <v/>
      </c>
      <c r="N47">
        <f>IF(AND('OFF_CONVAL'!N47&lt;&gt;"",LEN('OFF_CONVAL'!N47)&gt;20),1,0)</f>
        <v/>
      </c>
      <c r="O47">
        <f>IF(AND('OFF_CONVAL'!O47&lt;&gt;"",IF(ISNUMBER('OFF_CONVAL'!O47),OR('OFF_CONVAL'!O47&lt;&gt;INT('OFF_CONVAL'!O47),LEN(TEXT(ABS('OFF_CONVAL'!O47),"0"))&gt;15),TRUE)),1,0)</f>
        <v/>
      </c>
      <c r="P47">
        <f>IF(AND('OFF_CONVAL'!P47&lt;&gt;"",OR(LEN('OFF_CONVAL'!P47)&gt;3,COUNTIF(CL_MONEDAISO,'OFF_CONVAL'!P47)=0)),1,0)</f>
        <v/>
      </c>
      <c r="Q47">
        <f>IF(AND('OFF_CONVAL'!Q47&lt;&gt;"",NOT(ISNUMBER('OFF_CONVAL'!Q47))),1,0)</f>
        <v/>
      </c>
    </row>
    <row r="48">
      <c r="A48">
        <f>IF(AND('OFF_CONVAL'!A48&lt;&gt;"",NOT(ISNUMBER('OFF_CONVAL'!A48))),1,0)</f>
        <v/>
      </c>
      <c r="B48">
        <f>IF(AND('OFF_CONVAL'!B48&lt;&gt;"",LEN('OFF_CONVAL'!B48)&gt;20),1,0)</f>
        <v/>
      </c>
      <c r="C48">
        <f>IF(AND('OFF_CONVAL'!C48&lt;&gt;"",OR(LEN('OFF_CONVAL'!C48)&gt;1,COUNTIF(CL_POSICIONOPERACION_V4,'OFF_CONVAL'!C48)=0)),1,0)</f>
        <v/>
      </c>
      <c r="D48">
        <f>IF(AND('OFF_CONVAL'!D48&lt;&gt;"",OR(LEN('OFF_CONVAL'!D48)&gt;2,COUNTIF(CL_OBJ_OPE_V1,'OFF_CONVAL'!D48)=0)),1,0)</f>
        <v/>
      </c>
      <c r="E48">
        <f>IF(AND('OFF_CONVAL'!E48&lt;&gt;"",COUNTIF(CL_PAQ_EST_DER_V1,'OFF_CONVAL'!E48)=0),1,0)</f>
        <v/>
      </c>
      <c r="F48">
        <f>IF(AND('OFF_CONVAL'!F48&lt;&gt;"",LEN('OFF_CONVAL'!F48)&gt;20),1,0)</f>
        <v/>
      </c>
      <c r="G48">
        <f>IF(AND('OFF_CONVAL'!G48&lt;&gt;"",IF(ISNUMBER('OFF_CONVAL'!G48),OR('OFF_CONVAL'!G48&lt;&gt;INT('OFF_CONVAL'!G48),LEN(TEXT(ABS('OFF_CONVAL'!G48),"0"))&gt;3),TRUE)),1,0)</f>
        <v/>
      </c>
      <c r="H48">
        <f>IF(AND('OFF_CONVAL'!H48&lt;&gt;"",IF(ISNUMBER('OFF_CONVAL'!H48),OR('OFF_CONVAL'!H48&lt;&gt;INT('OFF_CONVAL'!H48),LEN(TEXT(ABS('OFF_CONVAL'!H48),"0"))&gt;15),TRUE)),1,0)</f>
        <v/>
      </c>
      <c r="I48">
        <f>IF(AND('OFF_CONVAL'!I48&lt;&gt;"",OR(LEN('OFF_CONVAL'!I48)&gt;3,COUNTIF(CL_MONEDAISO,'OFF_CONVAL'!I48)=0)),1,0)</f>
        <v/>
      </c>
      <c r="J48">
        <f>IF(AND('OFF_CONVAL'!J48&lt;&gt;"",IF(ISNUMBER('OFF_CONVAL'!J48),OR('OFF_CONVAL'!J48&lt;&gt;INT('OFF_CONVAL'!J48),LEN(TEXT(ABS('OFF_CONVAL'!J48),"0"))&gt;15),TRUE)),1,0)</f>
        <v/>
      </c>
      <c r="K48">
        <f>IF(AND('OFF_CONVAL'!K48&lt;&gt;"",OR(LEN('OFF_CONVAL'!K48)&gt;3,COUNTIF(CL_MONEDAISO,'OFF_CONVAL'!K48)=0)),1,0)</f>
        <v/>
      </c>
      <c r="L48">
        <f>IF(AND('OFF_CONVAL'!L48&lt;&gt;"",IF(ISNUMBER('OFF_CONVAL'!L48),OR('OFF_CONVAL'!L48&lt;&gt;INT('OFF_CONVAL'!L48),LEN(TEXT(ABS('OFF_CONVAL'!L48),"0"))&gt;5),TRUE)),1,0)</f>
        <v/>
      </c>
      <c r="M48">
        <f>IF(AND('OFF_CONVAL'!M48&lt;&gt;"",IF(ISNUMBER('OFF_CONVAL'!M48),OR('OFF_CONVAL'!M48&lt;&gt;INT('OFF_CONVAL'!M48),LEN(TEXT(ABS('OFF_CONVAL'!M48),"0"))&gt;5),TRUE)),1,0)</f>
        <v/>
      </c>
      <c r="N48">
        <f>IF(AND('OFF_CONVAL'!N48&lt;&gt;"",LEN('OFF_CONVAL'!N48)&gt;20),1,0)</f>
        <v/>
      </c>
      <c r="O48">
        <f>IF(AND('OFF_CONVAL'!O48&lt;&gt;"",IF(ISNUMBER('OFF_CONVAL'!O48),OR('OFF_CONVAL'!O48&lt;&gt;INT('OFF_CONVAL'!O48),LEN(TEXT(ABS('OFF_CONVAL'!O48),"0"))&gt;15),TRUE)),1,0)</f>
        <v/>
      </c>
      <c r="P48">
        <f>IF(AND('OFF_CONVAL'!P48&lt;&gt;"",OR(LEN('OFF_CONVAL'!P48)&gt;3,COUNTIF(CL_MONEDAISO,'OFF_CONVAL'!P48)=0)),1,0)</f>
        <v/>
      </c>
      <c r="Q48">
        <f>IF(AND('OFF_CONVAL'!Q48&lt;&gt;"",NOT(ISNUMBER('OFF_CONVAL'!Q48))),1,0)</f>
        <v/>
      </c>
    </row>
    <row r="49">
      <c r="A49">
        <f>IF(AND('OFF_CONVAL'!A49&lt;&gt;"",NOT(ISNUMBER('OFF_CONVAL'!A49))),1,0)</f>
        <v/>
      </c>
      <c r="B49">
        <f>IF(AND('OFF_CONVAL'!B49&lt;&gt;"",LEN('OFF_CONVAL'!B49)&gt;20),1,0)</f>
        <v/>
      </c>
      <c r="C49">
        <f>IF(AND('OFF_CONVAL'!C49&lt;&gt;"",OR(LEN('OFF_CONVAL'!C49)&gt;1,COUNTIF(CL_POSICIONOPERACION_V4,'OFF_CONVAL'!C49)=0)),1,0)</f>
        <v/>
      </c>
      <c r="D49">
        <f>IF(AND('OFF_CONVAL'!D49&lt;&gt;"",OR(LEN('OFF_CONVAL'!D49)&gt;2,COUNTIF(CL_OBJ_OPE_V1,'OFF_CONVAL'!D49)=0)),1,0)</f>
        <v/>
      </c>
      <c r="E49">
        <f>IF(AND('OFF_CONVAL'!E49&lt;&gt;"",COUNTIF(CL_PAQ_EST_DER_V1,'OFF_CONVAL'!E49)=0),1,0)</f>
        <v/>
      </c>
      <c r="F49">
        <f>IF(AND('OFF_CONVAL'!F49&lt;&gt;"",LEN('OFF_CONVAL'!F49)&gt;20),1,0)</f>
        <v/>
      </c>
      <c r="G49">
        <f>IF(AND('OFF_CONVAL'!G49&lt;&gt;"",IF(ISNUMBER('OFF_CONVAL'!G49),OR('OFF_CONVAL'!G49&lt;&gt;INT('OFF_CONVAL'!G49),LEN(TEXT(ABS('OFF_CONVAL'!G49),"0"))&gt;3),TRUE)),1,0)</f>
        <v/>
      </c>
      <c r="H49">
        <f>IF(AND('OFF_CONVAL'!H49&lt;&gt;"",IF(ISNUMBER('OFF_CONVAL'!H49),OR('OFF_CONVAL'!H49&lt;&gt;INT('OFF_CONVAL'!H49),LEN(TEXT(ABS('OFF_CONVAL'!H49),"0"))&gt;15),TRUE)),1,0)</f>
        <v/>
      </c>
      <c r="I49">
        <f>IF(AND('OFF_CONVAL'!I49&lt;&gt;"",OR(LEN('OFF_CONVAL'!I49)&gt;3,COUNTIF(CL_MONEDAISO,'OFF_CONVAL'!I49)=0)),1,0)</f>
        <v/>
      </c>
      <c r="J49">
        <f>IF(AND('OFF_CONVAL'!J49&lt;&gt;"",IF(ISNUMBER('OFF_CONVAL'!J49),OR('OFF_CONVAL'!J49&lt;&gt;INT('OFF_CONVAL'!J49),LEN(TEXT(ABS('OFF_CONVAL'!J49),"0"))&gt;15),TRUE)),1,0)</f>
        <v/>
      </c>
      <c r="K49">
        <f>IF(AND('OFF_CONVAL'!K49&lt;&gt;"",OR(LEN('OFF_CONVAL'!K49)&gt;3,COUNTIF(CL_MONEDAISO,'OFF_CONVAL'!K49)=0)),1,0)</f>
        <v/>
      </c>
      <c r="L49">
        <f>IF(AND('OFF_CONVAL'!L49&lt;&gt;"",IF(ISNUMBER('OFF_CONVAL'!L49),OR('OFF_CONVAL'!L49&lt;&gt;INT('OFF_CONVAL'!L49),LEN(TEXT(ABS('OFF_CONVAL'!L49),"0"))&gt;5),TRUE)),1,0)</f>
        <v/>
      </c>
      <c r="M49">
        <f>IF(AND('OFF_CONVAL'!M49&lt;&gt;"",IF(ISNUMBER('OFF_CONVAL'!M49),OR('OFF_CONVAL'!M49&lt;&gt;INT('OFF_CONVAL'!M49),LEN(TEXT(ABS('OFF_CONVAL'!M49),"0"))&gt;5),TRUE)),1,0)</f>
        <v/>
      </c>
      <c r="N49">
        <f>IF(AND('OFF_CONVAL'!N49&lt;&gt;"",LEN('OFF_CONVAL'!N49)&gt;20),1,0)</f>
        <v/>
      </c>
      <c r="O49">
        <f>IF(AND('OFF_CONVAL'!O49&lt;&gt;"",IF(ISNUMBER('OFF_CONVAL'!O49),OR('OFF_CONVAL'!O49&lt;&gt;INT('OFF_CONVAL'!O49),LEN(TEXT(ABS('OFF_CONVAL'!O49),"0"))&gt;15),TRUE)),1,0)</f>
        <v/>
      </c>
      <c r="P49">
        <f>IF(AND('OFF_CONVAL'!P49&lt;&gt;"",OR(LEN('OFF_CONVAL'!P49)&gt;3,COUNTIF(CL_MONEDAISO,'OFF_CONVAL'!P49)=0)),1,0)</f>
        <v/>
      </c>
      <c r="Q49">
        <f>IF(AND('OFF_CONVAL'!Q49&lt;&gt;"",NOT(ISNUMBER('OFF_CONVAL'!Q49))),1,0)</f>
        <v/>
      </c>
    </row>
    <row r="50">
      <c r="A50">
        <f>IF(AND('OFF_CONVAL'!A50&lt;&gt;"",NOT(ISNUMBER('OFF_CONVAL'!A50))),1,0)</f>
        <v/>
      </c>
      <c r="B50">
        <f>IF(AND('OFF_CONVAL'!B50&lt;&gt;"",LEN('OFF_CONVAL'!B50)&gt;20),1,0)</f>
        <v/>
      </c>
      <c r="C50">
        <f>IF(AND('OFF_CONVAL'!C50&lt;&gt;"",OR(LEN('OFF_CONVAL'!C50)&gt;1,COUNTIF(CL_POSICIONOPERACION_V4,'OFF_CONVAL'!C50)=0)),1,0)</f>
        <v/>
      </c>
      <c r="D50">
        <f>IF(AND('OFF_CONVAL'!D50&lt;&gt;"",OR(LEN('OFF_CONVAL'!D50)&gt;2,COUNTIF(CL_OBJ_OPE_V1,'OFF_CONVAL'!D50)=0)),1,0)</f>
        <v/>
      </c>
      <c r="E50">
        <f>IF(AND('OFF_CONVAL'!E50&lt;&gt;"",COUNTIF(CL_PAQ_EST_DER_V1,'OFF_CONVAL'!E50)=0),1,0)</f>
        <v/>
      </c>
      <c r="F50">
        <f>IF(AND('OFF_CONVAL'!F50&lt;&gt;"",LEN('OFF_CONVAL'!F50)&gt;20),1,0)</f>
        <v/>
      </c>
      <c r="G50">
        <f>IF(AND('OFF_CONVAL'!G50&lt;&gt;"",IF(ISNUMBER('OFF_CONVAL'!G50),OR('OFF_CONVAL'!G50&lt;&gt;INT('OFF_CONVAL'!G50),LEN(TEXT(ABS('OFF_CONVAL'!G50),"0"))&gt;3),TRUE)),1,0)</f>
        <v/>
      </c>
      <c r="H50">
        <f>IF(AND('OFF_CONVAL'!H50&lt;&gt;"",IF(ISNUMBER('OFF_CONVAL'!H50),OR('OFF_CONVAL'!H50&lt;&gt;INT('OFF_CONVAL'!H50),LEN(TEXT(ABS('OFF_CONVAL'!H50),"0"))&gt;15),TRUE)),1,0)</f>
        <v/>
      </c>
      <c r="I50">
        <f>IF(AND('OFF_CONVAL'!I50&lt;&gt;"",OR(LEN('OFF_CONVAL'!I50)&gt;3,COUNTIF(CL_MONEDAISO,'OFF_CONVAL'!I50)=0)),1,0)</f>
        <v/>
      </c>
      <c r="J50">
        <f>IF(AND('OFF_CONVAL'!J50&lt;&gt;"",IF(ISNUMBER('OFF_CONVAL'!J50),OR('OFF_CONVAL'!J50&lt;&gt;INT('OFF_CONVAL'!J50),LEN(TEXT(ABS('OFF_CONVAL'!J50),"0"))&gt;15),TRUE)),1,0)</f>
        <v/>
      </c>
      <c r="K50">
        <f>IF(AND('OFF_CONVAL'!K50&lt;&gt;"",OR(LEN('OFF_CONVAL'!K50)&gt;3,COUNTIF(CL_MONEDAISO,'OFF_CONVAL'!K50)=0)),1,0)</f>
        <v/>
      </c>
      <c r="L50">
        <f>IF(AND('OFF_CONVAL'!L50&lt;&gt;"",IF(ISNUMBER('OFF_CONVAL'!L50),OR('OFF_CONVAL'!L50&lt;&gt;INT('OFF_CONVAL'!L50),LEN(TEXT(ABS('OFF_CONVAL'!L50),"0"))&gt;5),TRUE)),1,0)</f>
        <v/>
      </c>
      <c r="M50">
        <f>IF(AND('OFF_CONVAL'!M50&lt;&gt;"",IF(ISNUMBER('OFF_CONVAL'!M50),OR('OFF_CONVAL'!M50&lt;&gt;INT('OFF_CONVAL'!M50),LEN(TEXT(ABS('OFF_CONVAL'!M50),"0"))&gt;5),TRUE)),1,0)</f>
        <v/>
      </c>
      <c r="N50">
        <f>IF(AND('OFF_CONVAL'!N50&lt;&gt;"",LEN('OFF_CONVAL'!N50)&gt;20),1,0)</f>
        <v/>
      </c>
      <c r="O50">
        <f>IF(AND('OFF_CONVAL'!O50&lt;&gt;"",IF(ISNUMBER('OFF_CONVAL'!O50),OR('OFF_CONVAL'!O50&lt;&gt;INT('OFF_CONVAL'!O50),LEN(TEXT(ABS('OFF_CONVAL'!O50),"0"))&gt;15),TRUE)),1,0)</f>
        <v/>
      </c>
      <c r="P50">
        <f>IF(AND('OFF_CONVAL'!P50&lt;&gt;"",OR(LEN('OFF_CONVAL'!P50)&gt;3,COUNTIF(CL_MONEDAISO,'OFF_CONVAL'!P50)=0)),1,0)</f>
        <v/>
      </c>
      <c r="Q50">
        <f>IF(AND('OFF_CONVAL'!Q50&lt;&gt;"",NOT(ISNUMBER('OFF_CONVAL'!Q50))),1,0)</f>
        <v/>
      </c>
    </row>
    <row r="51">
      <c r="A51">
        <f>IF(AND('OFF_CONVAL'!A51&lt;&gt;"",NOT(ISNUMBER('OFF_CONVAL'!A51))),1,0)</f>
        <v/>
      </c>
      <c r="B51">
        <f>IF(AND('OFF_CONVAL'!B51&lt;&gt;"",LEN('OFF_CONVAL'!B51)&gt;20),1,0)</f>
        <v/>
      </c>
      <c r="C51">
        <f>IF(AND('OFF_CONVAL'!C51&lt;&gt;"",OR(LEN('OFF_CONVAL'!C51)&gt;1,COUNTIF(CL_POSICIONOPERACION_V4,'OFF_CONVAL'!C51)=0)),1,0)</f>
        <v/>
      </c>
      <c r="D51">
        <f>IF(AND('OFF_CONVAL'!D51&lt;&gt;"",OR(LEN('OFF_CONVAL'!D51)&gt;2,COUNTIF(CL_OBJ_OPE_V1,'OFF_CONVAL'!D51)=0)),1,0)</f>
        <v/>
      </c>
      <c r="E51">
        <f>IF(AND('OFF_CONVAL'!E51&lt;&gt;"",COUNTIF(CL_PAQ_EST_DER_V1,'OFF_CONVAL'!E51)=0),1,0)</f>
        <v/>
      </c>
      <c r="F51">
        <f>IF(AND('OFF_CONVAL'!F51&lt;&gt;"",LEN('OFF_CONVAL'!F51)&gt;20),1,0)</f>
        <v/>
      </c>
      <c r="G51">
        <f>IF(AND('OFF_CONVAL'!G51&lt;&gt;"",IF(ISNUMBER('OFF_CONVAL'!G51),OR('OFF_CONVAL'!G51&lt;&gt;INT('OFF_CONVAL'!G51),LEN(TEXT(ABS('OFF_CONVAL'!G51),"0"))&gt;3),TRUE)),1,0)</f>
        <v/>
      </c>
      <c r="H51">
        <f>IF(AND('OFF_CONVAL'!H51&lt;&gt;"",IF(ISNUMBER('OFF_CONVAL'!H51),OR('OFF_CONVAL'!H51&lt;&gt;INT('OFF_CONVAL'!H51),LEN(TEXT(ABS('OFF_CONVAL'!H51),"0"))&gt;15),TRUE)),1,0)</f>
        <v/>
      </c>
      <c r="I51">
        <f>IF(AND('OFF_CONVAL'!I51&lt;&gt;"",OR(LEN('OFF_CONVAL'!I51)&gt;3,COUNTIF(CL_MONEDAISO,'OFF_CONVAL'!I51)=0)),1,0)</f>
        <v/>
      </c>
      <c r="J51">
        <f>IF(AND('OFF_CONVAL'!J51&lt;&gt;"",IF(ISNUMBER('OFF_CONVAL'!J51),OR('OFF_CONVAL'!J51&lt;&gt;INT('OFF_CONVAL'!J51),LEN(TEXT(ABS('OFF_CONVAL'!J51),"0"))&gt;15),TRUE)),1,0)</f>
        <v/>
      </c>
      <c r="K51">
        <f>IF(AND('OFF_CONVAL'!K51&lt;&gt;"",OR(LEN('OFF_CONVAL'!K51)&gt;3,COUNTIF(CL_MONEDAISO,'OFF_CONVAL'!K51)=0)),1,0)</f>
        <v/>
      </c>
      <c r="L51">
        <f>IF(AND('OFF_CONVAL'!L51&lt;&gt;"",IF(ISNUMBER('OFF_CONVAL'!L51),OR('OFF_CONVAL'!L51&lt;&gt;INT('OFF_CONVAL'!L51),LEN(TEXT(ABS('OFF_CONVAL'!L51),"0"))&gt;5),TRUE)),1,0)</f>
        <v/>
      </c>
      <c r="M51">
        <f>IF(AND('OFF_CONVAL'!M51&lt;&gt;"",IF(ISNUMBER('OFF_CONVAL'!M51),OR('OFF_CONVAL'!M51&lt;&gt;INT('OFF_CONVAL'!M51),LEN(TEXT(ABS('OFF_CONVAL'!M51),"0"))&gt;5),TRUE)),1,0)</f>
        <v/>
      </c>
      <c r="N51">
        <f>IF(AND('OFF_CONVAL'!N51&lt;&gt;"",LEN('OFF_CONVAL'!N51)&gt;20),1,0)</f>
        <v/>
      </c>
      <c r="O51">
        <f>IF(AND('OFF_CONVAL'!O51&lt;&gt;"",IF(ISNUMBER('OFF_CONVAL'!O51),OR('OFF_CONVAL'!O51&lt;&gt;INT('OFF_CONVAL'!O51),LEN(TEXT(ABS('OFF_CONVAL'!O51),"0"))&gt;15),TRUE)),1,0)</f>
        <v/>
      </c>
      <c r="P51">
        <f>IF(AND('OFF_CONVAL'!P51&lt;&gt;"",OR(LEN('OFF_CONVAL'!P51)&gt;3,COUNTIF(CL_MONEDAISO,'OFF_CONVAL'!P51)=0)),1,0)</f>
        <v/>
      </c>
      <c r="Q51">
        <f>IF(AND('OFF_CONVAL'!Q51&lt;&gt;"",NOT(ISNUMBER('OFF_CONVAL'!Q51))),1,0)</f>
        <v/>
      </c>
    </row>
    <row r="52">
      <c r="A52">
        <f>IF(AND('OFF_CONVAL'!A52&lt;&gt;"",NOT(ISNUMBER('OFF_CONVAL'!A52))),1,0)</f>
        <v/>
      </c>
      <c r="B52">
        <f>IF(AND('OFF_CONVAL'!B52&lt;&gt;"",LEN('OFF_CONVAL'!B52)&gt;20),1,0)</f>
        <v/>
      </c>
      <c r="C52">
        <f>IF(AND('OFF_CONVAL'!C52&lt;&gt;"",OR(LEN('OFF_CONVAL'!C52)&gt;1,COUNTIF(CL_POSICIONOPERACION_V4,'OFF_CONVAL'!C52)=0)),1,0)</f>
        <v/>
      </c>
      <c r="D52">
        <f>IF(AND('OFF_CONVAL'!D52&lt;&gt;"",OR(LEN('OFF_CONVAL'!D52)&gt;2,COUNTIF(CL_OBJ_OPE_V1,'OFF_CONVAL'!D52)=0)),1,0)</f>
        <v/>
      </c>
      <c r="E52">
        <f>IF(AND('OFF_CONVAL'!E52&lt;&gt;"",COUNTIF(CL_PAQ_EST_DER_V1,'OFF_CONVAL'!E52)=0),1,0)</f>
        <v/>
      </c>
      <c r="F52">
        <f>IF(AND('OFF_CONVAL'!F52&lt;&gt;"",LEN('OFF_CONVAL'!F52)&gt;20),1,0)</f>
        <v/>
      </c>
      <c r="G52">
        <f>IF(AND('OFF_CONVAL'!G52&lt;&gt;"",IF(ISNUMBER('OFF_CONVAL'!G52),OR('OFF_CONVAL'!G52&lt;&gt;INT('OFF_CONVAL'!G52),LEN(TEXT(ABS('OFF_CONVAL'!G52),"0"))&gt;3),TRUE)),1,0)</f>
        <v/>
      </c>
      <c r="H52">
        <f>IF(AND('OFF_CONVAL'!H52&lt;&gt;"",IF(ISNUMBER('OFF_CONVAL'!H52),OR('OFF_CONVAL'!H52&lt;&gt;INT('OFF_CONVAL'!H52),LEN(TEXT(ABS('OFF_CONVAL'!H52),"0"))&gt;15),TRUE)),1,0)</f>
        <v/>
      </c>
      <c r="I52">
        <f>IF(AND('OFF_CONVAL'!I52&lt;&gt;"",OR(LEN('OFF_CONVAL'!I52)&gt;3,COUNTIF(CL_MONEDAISO,'OFF_CONVAL'!I52)=0)),1,0)</f>
        <v/>
      </c>
      <c r="J52">
        <f>IF(AND('OFF_CONVAL'!J52&lt;&gt;"",IF(ISNUMBER('OFF_CONVAL'!J52),OR('OFF_CONVAL'!J52&lt;&gt;INT('OFF_CONVAL'!J52),LEN(TEXT(ABS('OFF_CONVAL'!J52),"0"))&gt;15),TRUE)),1,0)</f>
        <v/>
      </c>
      <c r="K52">
        <f>IF(AND('OFF_CONVAL'!K52&lt;&gt;"",OR(LEN('OFF_CONVAL'!K52)&gt;3,COUNTIF(CL_MONEDAISO,'OFF_CONVAL'!K52)=0)),1,0)</f>
        <v/>
      </c>
      <c r="L52">
        <f>IF(AND('OFF_CONVAL'!L52&lt;&gt;"",IF(ISNUMBER('OFF_CONVAL'!L52),OR('OFF_CONVAL'!L52&lt;&gt;INT('OFF_CONVAL'!L52),LEN(TEXT(ABS('OFF_CONVAL'!L52),"0"))&gt;5),TRUE)),1,0)</f>
        <v/>
      </c>
      <c r="M52">
        <f>IF(AND('OFF_CONVAL'!M52&lt;&gt;"",IF(ISNUMBER('OFF_CONVAL'!M52),OR('OFF_CONVAL'!M52&lt;&gt;INT('OFF_CONVAL'!M52),LEN(TEXT(ABS('OFF_CONVAL'!M52),"0"))&gt;5),TRUE)),1,0)</f>
        <v/>
      </c>
      <c r="N52">
        <f>IF(AND('OFF_CONVAL'!N52&lt;&gt;"",LEN('OFF_CONVAL'!N52)&gt;20),1,0)</f>
        <v/>
      </c>
      <c r="O52">
        <f>IF(AND('OFF_CONVAL'!O52&lt;&gt;"",IF(ISNUMBER('OFF_CONVAL'!O52),OR('OFF_CONVAL'!O52&lt;&gt;INT('OFF_CONVAL'!O52),LEN(TEXT(ABS('OFF_CONVAL'!O52),"0"))&gt;15),TRUE)),1,0)</f>
        <v/>
      </c>
      <c r="P52">
        <f>IF(AND('OFF_CONVAL'!P52&lt;&gt;"",OR(LEN('OFF_CONVAL'!P52)&gt;3,COUNTIF(CL_MONEDAISO,'OFF_CONVAL'!P52)=0)),1,0)</f>
        <v/>
      </c>
      <c r="Q52">
        <f>IF(AND('OFF_CONVAL'!Q52&lt;&gt;"",NOT(ISNUMBER('OFF_CONVAL'!Q52))),1,0)</f>
        <v/>
      </c>
    </row>
    <row r="53">
      <c r="A53">
        <f>IF(AND('OFF_CONVAL'!A53&lt;&gt;"",NOT(ISNUMBER('OFF_CONVAL'!A53))),1,0)</f>
        <v/>
      </c>
      <c r="B53">
        <f>IF(AND('OFF_CONVAL'!B53&lt;&gt;"",LEN('OFF_CONVAL'!B53)&gt;20),1,0)</f>
        <v/>
      </c>
      <c r="C53">
        <f>IF(AND('OFF_CONVAL'!C53&lt;&gt;"",OR(LEN('OFF_CONVAL'!C53)&gt;1,COUNTIF(CL_POSICIONOPERACION_V4,'OFF_CONVAL'!C53)=0)),1,0)</f>
        <v/>
      </c>
      <c r="D53">
        <f>IF(AND('OFF_CONVAL'!D53&lt;&gt;"",OR(LEN('OFF_CONVAL'!D53)&gt;2,COUNTIF(CL_OBJ_OPE_V1,'OFF_CONVAL'!D53)=0)),1,0)</f>
        <v/>
      </c>
      <c r="E53">
        <f>IF(AND('OFF_CONVAL'!E53&lt;&gt;"",COUNTIF(CL_PAQ_EST_DER_V1,'OFF_CONVAL'!E53)=0),1,0)</f>
        <v/>
      </c>
      <c r="F53">
        <f>IF(AND('OFF_CONVAL'!F53&lt;&gt;"",LEN('OFF_CONVAL'!F53)&gt;20),1,0)</f>
        <v/>
      </c>
      <c r="G53">
        <f>IF(AND('OFF_CONVAL'!G53&lt;&gt;"",IF(ISNUMBER('OFF_CONVAL'!G53),OR('OFF_CONVAL'!G53&lt;&gt;INT('OFF_CONVAL'!G53),LEN(TEXT(ABS('OFF_CONVAL'!G53),"0"))&gt;3),TRUE)),1,0)</f>
        <v/>
      </c>
      <c r="H53">
        <f>IF(AND('OFF_CONVAL'!H53&lt;&gt;"",IF(ISNUMBER('OFF_CONVAL'!H53),OR('OFF_CONVAL'!H53&lt;&gt;INT('OFF_CONVAL'!H53),LEN(TEXT(ABS('OFF_CONVAL'!H53),"0"))&gt;15),TRUE)),1,0)</f>
        <v/>
      </c>
      <c r="I53">
        <f>IF(AND('OFF_CONVAL'!I53&lt;&gt;"",OR(LEN('OFF_CONVAL'!I53)&gt;3,COUNTIF(CL_MONEDAISO,'OFF_CONVAL'!I53)=0)),1,0)</f>
        <v/>
      </c>
      <c r="J53">
        <f>IF(AND('OFF_CONVAL'!J53&lt;&gt;"",IF(ISNUMBER('OFF_CONVAL'!J53),OR('OFF_CONVAL'!J53&lt;&gt;INT('OFF_CONVAL'!J53),LEN(TEXT(ABS('OFF_CONVAL'!J53),"0"))&gt;15),TRUE)),1,0)</f>
        <v/>
      </c>
      <c r="K53">
        <f>IF(AND('OFF_CONVAL'!K53&lt;&gt;"",OR(LEN('OFF_CONVAL'!K53)&gt;3,COUNTIF(CL_MONEDAISO,'OFF_CONVAL'!K53)=0)),1,0)</f>
        <v/>
      </c>
      <c r="L53">
        <f>IF(AND('OFF_CONVAL'!L53&lt;&gt;"",IF(ISNUMBER('OFF_CONVAL'!L53),OR('OFF_CONVAL'!L53&lt;&gt;INT('OFF_CONVAL'!L53),LEN(TEXT(ABS('OFF_CONVAL'!L53),"0"))&gt;5),TRUE)),1,0)</f>
        <v/>
      </c>
      <c r="M53">
        <f>IF(AND('OFF_CONVAL'!M53&lt;&gt;"",IF(ISNUMBER('OFF_CONVAL'!M53),OR('OFF_CONVAL'!M53&lt;&gt;INT('OFF_CONVAL'!M53),LEN(TEXT(ABS('OFF_CONVAL'!M53),"0"))&gt;5),TRUE)),1,0)</f>
        <v/>
      </c>
      <c r="N53">
        <f>IF(AND('OFF_CONVAL'!N53&lt;&gt;"",LEN('OFF_CONVAL'!N53)&gt;20),1,0)</f>
        <v/>
      </c>
      <c r="O53">
        <f>IF(AND('OFF_CONVAL'!O53&lt;&gt;"",IF(ISNUMBER('OFF_CONVAL'!O53),OR('OFF_CONVAL'!O53&lt;&gt;INT('OFF_CONVAL'!O53),LEN(TEXT(ABS('OFF_CONVAL'!O53),"0"))&gt;15),TRUE)),1,0)</f>
        <v/>
      </c>
      <c r="P53">
        <f>IF(AND('OFF_CONVAL'!P53&lt;&gt;"",OR(LEN('OFF_CONVAL'!P53)&gt;3,COUNTIF(CL_MONEDAISO,'OFF_CONVAL'!P53)=0)),1,0)</f>
        <v/>
      </c>
      <c r="Q53">
        <f>IF(AND('OFF_CONVAL'!Q53&lt;&gt;"",NOT(ISNUMBER('OFF_CONVAL'!Q53))),1,0)</f>
        <v/>
      </c>
    </row>
    <row r="54">
      <c r="A54">
        <f>IF(AND('OFF_CONVAL'!A54&lt;&gt;"",NOT(ISNUMBER('OFF_CONVAL'!A54))),1,0)</f>
        <v/>
      </c>
      <c r="B54">
        <f>IF(AND('OFF_CONVAL'!B54&lt;&gt;"",LEN('OFF_CONVAL'!B54)&gt;20),1,0)</f>
        <v/>
      </c>
      <c r="C54">
        <f>IF(AND('OFF_CONVAL'!C54&lt;&gt;"",OR(LEN('OFF_CONVAL'!C54)&gt;1,COUNTIF(CL_POSICIONOPERACION_V4,'OFF_CONVAL'!C54)=0)),1,0)</f>
        <v/>
      </c>
      <c r="D54">
        <f>IF(AND('OFF_CONVAL'!D54&lt;&gt;"",OR(LEN('OFF_CONVAL'!D54)&gt;2,COUNTIF(CL_OBJ_OPE_V1,'OFF_CONVAL'!D54)=0)),1,0)</f>
        <v/>
      </c>
      <c r="E54">
        <f>IF(AND('OFF_CONVAL'!E54&lt;&gt;"",COUNTIF(CL_PAQ_EST_DER_V1,'OFF_CONVAL'!E54)=0),1,0)</f>
        <v/>
      </c>
      <c r="F54">
        <f>IF(AND('OFF_CONVAL'!F54&lt;&gt;"",LEN('OFF_CONVAL'!F54)&gt;20),1,0)</f>
        <v/>
      </c>
      <c r="G54">
        <f>IF(AND('OFF_CONVAL'!G54&lt;&gt;"",IF(ISNUMBER('OFF_CONVAL'!G54),OR('OFF_CONVAL'!G54&lt;&gt;INT('OFF_CONVAL'!G54),LEN(TEXT(ABS('OFF_CONVAL'!G54),"0"))&gt;3),TRUE)),1,0)</f>
        <v/>
      </c>
      <c r="H54">
        <f>IF(AND('OFF_CONVAL'!H54&lt;&gt;"",IF(ISNUMBER('OFF_CONVAL'!H54),OR('OFF_CONVAL'!H54&lt;&gt;INT('OFF_CONVAL'!H54),LEN(TEXT(ABS('OFF_CONVAL'!H54),"0"))&gt;15),TRUE)),1,0)</f>
        <v/>
      </c>
      <c r="I54">
        <f>IF(AND('OFF_CONVAL'!I54&lt;&gt;"",OR(LEN('OFF_CONVAL'!I54)&gt;3,COUNTIF(CL_MONEDAISO,'OFF_CONVAL'!I54)=0)),1,0)</f>
        <v/>
      </c>
      <c r="J54">
        <f>IF(AND('OFF_CONVAL'!J54&lt;&gt;"",IF(ISNUMBER('OFF_CONVAL'!J54),OR('OFF_CONVAL'!J54&lt;&gt;INT('OFF_CONVAL'!J54),LEN(TEXT(ABS('OFF_CONVAL'!J54),"0"))&gt;15),TRUE)),1,0)</f>
        <v/>
      </c>
      <c r="K54">
        <f>IF(AND('OFF_CONVAL'!K54&lt;&gt;"",OR(LEN('OFF_CONVAL'!K54)&gt;3,COUNTIF(CL_MONEDAISO,'OFF_CONVAL'!K54)=0)),1,0)</f>
        <v/>
      </c>
      <c r="L54">
        <f>IF(AND('OFF_CONVAL'!L54&lt;&gt;"",IF(ISNUMBER('OFF_CONVAL'!L54),OR('OFF_CONVAL'!L54&lt;&gt;INT('OFF_CONVAL'!L54),LEN(TEXT(ABS('OFF_CONVAL'!L54),"0"))&gt;5),TRUE)),1,0)</f>
        <v/>
      </c>
      <c r="M54">
        <f>IF(AND('OFF_CONVAL'!M54&lt;&gt;"",IF(ISNUMBER('OFF_CONVAL'!M54),OR('OFF_CONVAL'!M54&lt;&gt;INT('OFF_CONVAL'!M54),LEN(TEXT(ABS('OFF_CONVAL'!M54),"0"))&gt;5),TRUE)),1,0)</f>
        <v/>
      </c>
      <c r="N54">
        <f>IF(AND('OFF_CONVAL'!N54&lt;&gt;"",LEN('OFF_CONVAL'!N54)&gt;20),1,0)</f>
        <v/>
      </c>
      <c r="O54">
        <f>IF(AND('OFF_CONVAL'!O54&lt;&gt;"",IF(ISNUMBER('OFF_CONVAL'!O54),OR('OFF_CONVAL'!O54&lt;&gt;INT('OFF_CONVAL'!O54),LEN(TEXT(ABS('OFF_CONVAL'!O54),"0"))&gt;15),TRUE)),1,0)</f>
        <v/>
      </c>
      <c r="P54">
        <f>IF(AND('OFF_CONVAL'!P54&lt;&gt;"",OR(LEN('OFF_CONVAL'!P54)&gt;3,COUNTIF(CL_MONEDAISO,'OFF_CONVAL'!P54)=0)),1,0)</f>
        <v/>
      </c>
      <c r="Q54">
        <f>IF(AND('OFF_CONVAL'!Q54&lt;&gt;"",NOT(ISNUMBER('OFF_CONVAL'!Q54))),1,0)</f>
        <v/>
      </c>
    </row>
    <row r="55">
      <c r="A55">
        <f>IF(AND('OFF_CONVAL'!A55&lt;&gt;"",NOT(ISNUMBER('OFF_CONVAL'!A55))),1,0)</f>
        <v/>
      </c>
      <c r="B55">
        <f>IF(AND('OFF_CONVAL'!B55&lt;&gt;"",LEN('OFF_CONVAL'!B55)&gt;20),1,0)</f>
        <v/>
      </c>
      <c r="C55">
        <f>IF(AND('OFF_CONVAL'!C55&lt;&gt;"",OR(LEN('OFF_CONVAL'!C55)&gt;1,COUNTIF(CL_POSICIONOPERACION_V4,'OFF_CONVAL'!C55)=0)),1,0)</f>
        <v/>
      </c>
      <c r="D55">
        <f>IF(AND('OFF_CONVAL'!D55&lt;&gt;"",OR(LEN('OFF_CONVAL'!D55)&gt;2,COUNTIF(CL_OBJ_OPE_V1,'OFF_CONVAL'!D55)=0)),1,0)</f>
        <v/>
      </c>
      <c r="E55">
        <f>IF(AND('OFF_CONVAL'!E55&lt;&gt;"",COUNTIF(CL_PAQ_EST_DER_V1,'OFF_CONVAL'!E55)=0),1,0)</f>
        <v/>
      </c>
      <c r="F55">
        <f>IF(AND('OFF_CONVAL'!F55&lt;&gt;"",LEN('OFF_CONVAL'!F55)&gt;20),1,0)</f>
        <v/>
      </c>
      <c r="G55">
        <f>IF(AND('OFF_CONVAL'!G55&lt;&gt;"",IF(ISNUMBER('OFF_CONVAL'!G55),OR('OFF_CONVAL'!G55&lt;&gt;INT('OFF_CONVAL'!G55),LEN(TEXT(ABS('OFF_CONVAL'!G55),"0"))&gt;3),TRUE)),1,0)</f>
        <v/>
      </c>
      <c r="H55">
        <f>IF(AND('OFF_CONVAL'!H55&lt;&gt;"",IF(ISNUMBER('OFF_CONVAL'!H55),OR('OFF_CONVAL'!H55&lt;&gt;INT('OFF_CONVAL'!H55),LEN(TEXT(ABS('OFF_CONVAL'!H55),"0"))&gt;15),TRUE)),1,0)</f>
        <v/>
      </c>
      <c r="I55">
        <f>IF(AND('OFF_CONVAL'!I55&lt;&gt;"",OR(LEN('OFF_CONVAL'!I55)&gt;3,COUNTIF(CL_MONEDAISO,'OFF_CONVAL'!I55)=0)),1,0)</f>
        <v/>
      </c>
      <c r="J55">
        <f>IF(AND('OFF_CONVAL'!J55&lt;&gt;"",IF(ISNUMBER('OFF_CONVAL'!J55),OR('OFF_CONVAL'!J55&lt;&gt;INT('OFF_CONVAL'!J55),LEN(TEXT(ABS('OFF_CONVAL'!J55),"0"))&gt;15),TRUE)),1,0)</f>
        <v/>
      </c>
      <c r="K55">
        <f>IF(AND('OFF_CONVAL'!K55&lt;&gt;"",OR(LEN('OFF_CONVAL'!K55)&gt;3,COUNTIF(CL_MONEDAISO,'OFF_CONVAL'!K55)=0)),1,0)</f>
        <v/>
      </c>
      <c r="L55">
        <f>IF(AND('OFF_CONVAL'!L55&lt;&gt;"",IF(ISNUMBER('OFF_CONVAL'!L55),OR('OFF_CONVAL'!L55&lt;&gt;INT('OFF_CONVAL'!L55),LEN(TEXT(ABS('OFF_CONVAL'!L55),"0"))&gt;5),TRUE)),1,0)</f>
        <v/>
      </c>
      <c r="M55">
        <f>IF(AND('OFF_CONVAL'!M55&lt;&gt;"",IF(ISNUMBER('OFF_CONVAL'!M55),OR('OFF_CONVAL'!M55&lt;&gt;INT('OFF_CONVAL'!M55),LEN(TEXT(ABS('OFF_CONVAL'!M55),"0"))&gt;5),TRUE)),1,0)</f>
        <v/>
      </c>
      <c r="N55">
        <f>IF(AND('OFF_CONVAL'!N55&lt;&gt;"",LEN('OFF_CONVAL'!N55)&gt;20),1,0)</f>
        <v/>
      </c>
      <c r="O55">
        <f>IF(AND('OFF_CONVAL'!O55&lt;&gt;"",IF(ISNUMBER('OFF_CONVAL'!O55),OR('OFF_CONVAL'!O55&lt;&gt;INT('OFF_CONVAL'!O55),LEN(TEXT(ABS('OFF_CONVAL'!O55),"0"))&gt;15),TRUE)),1,0)</f>
        <v/>
      </c>
      <c r="P55">
        <f>IF(AND('OFF_CONVAL'!P55&lt;&gt;"",OR(LEN('OFF_CONVAL'!P55)&gt;3,COUNTIF(CL_MONEDAISO,'OFF_CONVAL'!P55)=0)),1,0)</f>
        <v/>
      </c>
      <c r="Q55">
        <f>IF(AND('OFF_CONVAL'!Q55&lt;&gt;"",NOT(ISNUMBER('OFF_CONVAL'!Q55))),1,0)</f>
        <v/>
      </c>
    </row>
    <row r="56">
      <c r="A56">
        <f>IF(AND('OFF_CONVAL'!A56&lt;&gt;"",NOT(ISNUMBER('OFF_CONVAL'!A56))),1,0)</f>
        <v/>
      </c>
      <c r="B56">
        <f>IF(AND('OFF_CONVAL'!B56&lt;&gt;"",LEN('OFF_CONVAL'!B56)&gt;20),1,0)</f>
        <v/>
      </c>
      <c r="C56">
        <f>IF(AND('OFF_CONVAL'!C56&lt;&gt;"",OR(LEN('OFF_CONVAL'!C56)&gt;1,COUNTIF(CL_POSICIONOPERACION_V4,'OFF_CONVAL'!C56)=0)),1,0)</f>
        <v/>
      </c>
      <c r="D56">
        <f>IF(AND('OFF_CONVAL'!D56&lt;&gt;"",OR(LEN('OFF_CONVAL'!D56)&gt;2,COUNTIF(CL_OBJ_OPE_V1,'OFF_CONVAL'!D56)=0)),1,0)</f>
        <v/>
      </c>
      <c r="E56">
        <f>IF(AND('OFF_CONVAL'!E56&lt;&gt;"",COUNTIF(CL_PAQ_EST_DER_V1,'OFF_CONVAL'!E56)=0),1,0)</f>
        <v/>
      </c>
      <c r="F56">
        <f>IF(AND('OFF_CONVAL'!F56&lt;&gt;"",LEN('OFF_CONVAL'!F56)&gt;20),1,0)</f>
        <v/>
      </c>
      <c r="G56">
        <f>IF(AND('OFF_CONVAL'!G56&lt;&gt;"",IF(ISNUMBER('OFF_CONVAL'!G56),OR('OFF_CONVAL'!G56&lt;&gt;INT('OFF_CONVAL'!G56),LEN(TEXT(ABS('OFF_CONVAL'!G56),"0"))&gt;3),TRUE)),1,0)</f>
        <v/>
      </c>
      <c r="H56">
        <f>IF(AND('OFF_CONVAL'!H56&lt;&gt;"",IF(ISNUMBER('OFF_CONVAL'!H56),OR('OFF_CONVAL'!H56&lt;&gt;INT('OFF_CONVAL'!H56),LEN(TEXT(ABS('OFF_CONVAL'!H56),"0"))&gt;15),TRUE)),1,0)</f>
        <v/>
      </c>
      <c r="I56">
        <f>IF(AND('OFF_CONVAL'!I56&lt;&gt;"",OR(LEN('OFF_CONVAL'!I56)&gt;3,COUNTIF(CL_MONEDAISO,'OFF_CONVAL'!I56)=0)),1,0)</f>
        <v/>
      </c>
      <c r="J56">
        <f>IF(AND('OFF_CONVAL'!J56&lt;&gt;"",IF(ISNUMBER('OFF_CONVAL'!J56),OR('OFF_CONVAL'!J56&lt;&gt;INT('OFF_CONVAL'!J56),LEN(TEXT(ABS('OFF_CONVAL'!J56),"0"))&gt;15),TRUE)),1,0)</f>
        <v/>
      </c>
      <c r="K56">
        <f>IF(AND('OFF_CONVAL'!K56&lt;&gt;"",OR(LEN('OFF_CONVAL'!K56)&gt;3,COUNTIF(CL_MONEDAISO,'OFF_CONVAL'!K56)=0)),1,0)</f>
        <v/>
      </c>
      <c r="L56">
        <f>IF(AND('OFF_CONVAL'!L56&lt;&gt;"",IF(ISNUMBER('OFF_CONVAL'!L56),OR('OFF_CONVAL'!L56&lt;&gt;INT('OFF_CONVAL'!L56),LEN(TEXT(ABS('OFF_CONVAL'!L56),"0"))&gt;5),TRUE)),1,0)</f>
        <v/>
      </c>
      <c r="M56">
        <f>IF(AND('OFF_CONVAL'!M56&lt;&gt;"",IF(ISNUMBER('OFF_CONVAL'!M56),OR('OFF_CONVAL'!M56&lt;&gt;INT('OFF_CONVAL'!M56),LEN(TEXT(ABS('OFF_CONVAL'!M56),"0"))&gt;5),TRUE)),1,0)</f>
        <v/>
      </c>
      <c r="N56">
        <f>IF(AND('OFF_CONVAL'!N56&lt;&gt;"",LEN('OFF_CONVAL'!N56)&gt;20),1,0)</f>
        <v/>
      </c>
      <c r="O56">
        <f>IF(AND('OFF_CONVAL'!O56&lt;&gt;"",IF(ISNUMBER('OFF_CONVAL'!O56),OR('OFF_CONVAL'!O56&lt;&gt;INT('OFF_CONVAL'!O56),LEN(TEXT(ABS('OFF_CONVAL'!O56),"0"))&gt;15),TRUE)),1,0)</f>
        <v/>
      </c>
      <c r="P56">
        <f>IF(AND('OFF_CONVAL'!P56&lt;&gt;"",OR(LEN('OFF_CONVAL'!P56)&gt;3,COUNTIF(CL_MONEDAISO,'OFF_CONVAL'!P56)=0)),1,0)</f>
        <v/>
      </c>
      <c r="Q56">
        <f>IF(AND('OFF_CONVAL'!Q56&lt;&gt;"",NOT(ISNUMBER('OFF_CONVAL'!Q56))),1,0)</f>
        <v/>
      </c>
    </row>
    <row r="57">
      <c r="A57">
        <f>IF(AND('OFF_CONVAL'!A57&lt;&gt;"",NOT(ISNUMBER('OFF_CONVAL'!A57))),1,0)</f>
        <v/>
      </c>
      <c r="B57">
        <f>IF(AND('OFF_CONVAL'!B57&lt;&gt;"",LEN('OFF_CONVAL'!B57)&gt;20),1,0)</f>
        <v/>
      </c>
      <c r="C57">
        <f>IF(AND('OFF_CONVAL'!C57&lt;&gt;"",OR(LEN('OFF_CONVAL'!C57)&gt;1,COUNTIF(CL_POSICIONOPERACION_V4,'OFF_CONVAL'!C57)=0)),1,0)</f>
        <v/>
      </c>
      <c r="D57">
        <f>IF(AND('OFF_CONVAL'!D57&lt;&gt;"",OR(LEN('OFF_CONVAL'!D57)&gt;2,COUNTIF(CL_OBJ_OPE_V1,'OFF_CONVAL'!D57)=0)),1,0)</f>
        <v/>
      </c>
      <c r="E57">
        <f>IF(AND('OFF_CONVAL'!E57&lt;&gt;"",COUNTIF(CL_PAQ_EST_DER_V1,'OFF_CONVAL'!E57)=0),1,0)</f>
        <v/>
      </c>
      <c r="F57">
        <f>IF(AND('OFF_CONVAL'!F57&lt;&gt;"",LEN('OFF_CONVAL'!F57)&gt;20),1,0)</f>
        <v/>
      </c>
      <c r="G57">
        <f>IF(AND('OFF_CONVAL'!G57&lt;&gt;"",IF(ISNUMBER('OFF_CONVAL'!G57),OR('OFF_CONVAL'!G57&lt;&gt;INT('OFF_CONVAL'!G57),LEN(TEXT(ABS('OFF_CONVAL'!G57),"0"))&gt;3),TRUE)),1,0)</f>
        <v/>
      </c>
      <c r="H57">
        <f>IF(AND('OFF_CONVAL'!H57&lt;&gt;"",IF(ISNUMBER('OFF_CONVAL'!H57),OR('OFF_CONVAL'!H57&lt;&gt;INT('OFF_CONVAL'!H57),LEN(TEXT(ABS('OFF_CONVAL'!H57),"0"))&gt;15),TRUE)),1,0)</f>
        <v/>
      </c>
      <c r="I57">
        <f>IF(AND('OFF_CONVAL'!I57&lt;&gt;"",OR(LEN('OFF_CONVAL'!I57)&gt;3,COUNTIF(CL_MONEDAISO,'OFF_CONVAL'!I57)=0)),1,0)</f>
        <v/>
      </c>
      <c r="J57">
        <f>IF(AND('OFF_CONVAL'!J57&lt;&gt;"",IF(ISNUMBER('OFF_CONVAL'!J57),OR('OFF_CONVAL'!J57&lt;&gt;INT('OFF_CONVAL'!J57),LEN(TEXT(ABS('OFF_CONVAL'!J57),"0"))&gt;15),TRUE)),1,0)</f>
        <v/>
      </c>
      <c r="K57">
        <f>IF(AND('OFF_CONVAL'!K57&lt;&gt;"",OR(LEN('OFF_CONVAL'!K57)&gt;3,COUNTIF(CL_MONEDAISO,'OFF_CONVAL'!K57)=0)),1,0)</f>
        <v/>
      </c>
      <c r="L57">
        <f>IF(AND('OFF_CONVAL'!L57&lt;&gt;"",IF(ISNUMBER('OFF_CONVAL'!L57),OR('OFF_CONVAL'!L57&lt;&gt;INT('OFF_CONVAL'!L57),LEN(TEXT(ABS('OFF_CONVAL'!L57),"0"))&gt;5),TRUE)),1,0)</f>
        <v/>
      </c>
      <c r="M57">
        <f>IF(AND('OFF_CONVAL'!M57&lt;&gt;"",IF(ISNUMBER('OFF_CONVAL'!M57),OR('OFF_CONVAL'!M57&lt;&gt;INT('OFF_CONVAL'!M57),LEN(TEXT(ABS('OFF_CONVAL'!M57),"0"))&gt;5),TRUE)),1,0)</f>
        <v/>
      </c>
      <c r="N57">
        <f>IF(AND('OFF_CONVAL'!N57&lt;&gt;"",LEN('OFF_CONVAL'!N57)&gt;20),1,0)</f>
        <v/>
      </c>
      <c r="O57">
        <f>IF(AND('OFF_CONVAL'!O57&lt;&gt;"",IF(ISNUMBER('OFF_CONVAL'!O57),OR('OFF_CONVAL'!O57&lt;&gt;INT('OFF_CONVAL'!O57),LEN(TEXT(ABS('OFF_CONVAL'!O57),"0"))&gt;15),TRUE)),1,0)</f>
        <v/>
      </c>
      <c r="P57">
        <f>IF(AND('OFF_CONVAL'!P57&lt;&gt;"",OR(LEN('OFF_CONVAL'!P57)&gt;3,COUNTIF(CL_MONEDAISO,'OFF_CONVAL'!P57)=0)),1,0)</f>
        <v/>
      </c>
      <c r="Q57">
        <f>IF(AND('OFF_CONVAL'!Q57&lt;&gt;"",NOT(ISNUMBER('OFF_CONVAL'!Q57))),1,0)</f>
        <v/>
      </c>
    </row>
    <row r="58">
      <c r="A58">
        <f>IF(AND('OFF_CONVAL'!A58&lt;&gt;"",NOT(ISNUMBER('OFF_CONVAL'!A58))),1,0)</f>
        <v/>
      </c>
      <c r="B58">
        <f>IF(AND('OFF_CONVAL'!B58&lt;&gt;"",LEN('OFF_CONVAL'!B58)&gt;20),1,0)</f>
        <v/>
      </c>
      <c r="C58">
        <f>IF(AND('OFF_CONVAL'!C58&lt;&gt;"",OR(LEN('OFF_CONVAL'!C58)&gt;1,COUNTIF(CL_POSICIONOPERACION_V4,'OFF_CONVAL'!C58)=0)),1,0)</f>
        <v/>
      </c>
      <c r="D58">
        <f>IF(AND('OFF_CONVAL'!D58&lt;&gt;"",OR(LEN('OFF_CONVAL'!D58)&gt;2,COUNTIF(CL_OBJ_OPE_V1,'OFF_CONVAL'!D58)=0)),1,0)</f>
        <v/>
      </c>
      <c r="E58">
        <f>IF(AND('OFF_CONVAL'!E58&lt;&gt;"",COUNTIF(CL_PAQ_EST_DER_V1,'OFF_CONVAL'!E58)=0),1,0)</f>
        <v/>
      </c>
      <c r="F58">
        <f>IF(AND('OFF_CONVAL'!F58&lt;&gt;"",LEN('OFF_CONVAL'!F58)&gt;20),1,0)</f>
        <v/>
      </c>
      <c r="G58">
        <f>IF(AND('OFF_CONVAL'!G58&lt;&gt;"",IF(ISNUMBER('OFF_CONVAL'!G58),OR('OFF_CONVAL'!G58&lt;&gt;INT('OFF_CONVAL'!G58),LEN(TEXT(ABS('OFF_CONVAL'!G58),"0"))&gt;3),TRUE)),1,0)</f>
        <v/>
      </c>
      <c r="H58">
        <f>IF(AND('OFF_CONVAL'!H58&lt;&gt;"",IF(ISNUMBER('OFF_CONVAL'!H58),OR('OFF_CONVAL'!H58&lt;&gt;INT('OFF_CONVAL'!H58),LEN(TEXT(ABS('OFF_CONVAL'!H58),"0"))&gt;15),TRUE)),1,0)</f>
        <v/>
      </c>
      <c r="I58">
        <f>IF(AND('OFF_CONVAL'!I58&lt;&gt;"",OR(LEN('OFF_CONVAL'!I58)&gt;3,COUNTIF(CL_MONEDAISO,'OFF_CONVAL'!I58)=0)),1,0)</f>
        <v/>
      </c>
      <c r="J58">
        <f>IF(AND('OFF_CONVAL'!J58&lt;&gt;"",IF(ISNUMBER('OFF_CONVAL'!J58),OR('OFF_CONVAL'!J58&lt;&gt;INT('OFF_CONVAL'!J58),LEN(TEXT(ABS('OFF_CONVAL'!J58),"0"))&gt;15),TRUE)),1,0)</f>
        <v/>
      </c>
      <c r="K58">
        <f>IF(AND('OFF_CONVAL'!K58&lt;&gt;"",OR(LEN('OFF_CONVAL'!K58)&gt;3,COUNTIF(CL_MONEDAISO,'OFF_CONVAL'!K58)=0)),1,0)</f>
        <v/>
      </c>
      <c r="L58">
        <f>IF(AND('OFF_CONVAL'!L58&lt;&gt;"",IF(ISNUMBER('OFF_CONVAL'!L58),OR('OFF_CONVAL'!L58&lt;&gt;INT('OFF_CONVAL'!L58),LEN(TEXT(ABS('OFF_CONVAL'!L58),"0"))&gt;5),TRUE)),1,0)</f>
        <v/>
      </c>
      <c r="M58">
        <f>IF(AND('OFF_CONVAL'!M58&lt;&gt;"",IF(ISNUMBER('OFF_CONVAL'!M58),OR('OFF_CONVAL'!M58&lt;&gt;INT('OFF_CONVAL'!M58),LEN(TEXT(ABS('OFF_CONVAL'!M58),"0"))&gt;5),TRUE)),1,0)</f>
        <v/>
      </c>
      <c r="N58">
        <f>IF(AND('OFF_CONVAL'!N58&lt;&gt;"",LEN('OFF_CONVAL'!N58)&gt;20),1,0)</f>
        <v/>
      </c>
      <c r="O58">
        <f>IF(AND('OFF_CONVAL'!O58&lt;&gt;"",IF(ISNUMBER('OFF_CONVAL'!O58),OR('OFF_CONVAL'!O58&lt;&gt;INT('OFF_CONVAL'!O58),LEN(TEXT(ABS('OFF_CONVAL'!O58),"0"))&gt;15),TRUE)),1,0)</f>
        <v/>
      </c>
      <c r="P58">
        <f>IF(AND('OFF_CONVAL'!P58&lt;&gt;"",OR(LEN('OFF_CONVAL'!P58)&gt;3,COUNTIF(CL_MONEDAISO,'OFF_CONVAL'!P58)=0)),1,0)</f>
        <v/>
      </c>
      <c r="Q58">
        <f>IF(AND('OFF_CONVAL'!Q58&lt;&gt;"",NOT(ISNUMBER('OFF_CONVAL'!Q58))),1,0)</f>
        <v/>
      </c>
    </row>
    <row r="59">
      <c r="A59">
        <f>IF(AND('OFF_CONVAL'!A59&lt;&gt;"",NOT(ISNUMBER('OFF_CONVAL'!A59))),1,0)</f>
        <v/>
      </c>
      <c r="B59">
        <f>IF(AND('OFF_CONVAL'!B59&lt;&gt;"",LEN('OFF_CONVAL'!B59)&gt;20),1,0)</f>
        <v/>
      </c>
      <c r="C59">
        <f>IF(AND('OFF_CONVAL'!C59&lt;&gt;"",OR(LEN('OFF_CONVAL'!C59)&gt;1,COUNTIF(CL_POSICIONOPERACION_V4,'OFF_CONVAL'!C59)=0)),1,0)</f>
        <v/>
      </c>
      <c r="D59">
        <f>IF(AND('OFF_CONVAL'!D59&lt;&gt;"",OR(LEN('OFF_CONVAL'!D59)&gt;2,COUNTIF(CL_OBJ_OPE_V1,'OFF_CONVAL'!D59)=0)),1,0)</f>
        <v/>
      </c>
      <c r="E59">
        <f>IF(AND('OFF_CONVAL'!E59&lt;&gt;"",COUNTIF(CL_PAQ_EST_DER_V1,'OFF_CONVAL'!E59)=0),1,0)</f>
        <v/>
      </c>
      <c r="F59">
        <f>IF(AND('OFF_CONVAL'!F59&lt;&gt;"",LEN('OFF_CONVAL'!F59)&gt;20),1,0)</f>
        <v/>
      </c>
      <c r="G59">
        <f>IF(AND('OFF_CONVAL'!G59&lt;&gt;"",IF(ISNUMBER('OFF_CONVAL'!G59),OR('OFF_CONVAL'!G59&lt;&gt;INT('OFF_CONVAL'!G59),LEN(TEXT(ABS('OFF_CONVAL'!G59),"0"))&gt;3),TRUE)),1,0)</f>
        <v/>
      </c>
      <c r="H59">
        <f>IF(AND('OFF_CONVAL'!H59&lt;&gt;"",IF(ISNUMBER('OFF_CONVAL'!H59),OR('OFF_CONVAL'!H59&lt;&gt;INT('OFF_CONVAL'!H59),LEN(TEXT(ABS('OFF_CONVAL'!H59),"0"))&gt;15),TRUE)),1,0)</f>
        <v/>
      </c>
      <c r="I59">
        <f>IF(AND('OFF_CONVAL'!I59&lt;&gt;"",OR(LEN('OFF_CONVAL'!I59)&gt;3,COUNTIF(CL_MONEDAISO,'OFF_CONVAL'!I59)=0)),1,0)</f>
        <v/>
      </c>
      <c r="J59">
        <f>IF(AND('OFF_CONVAL'!J59&lt;&gt;"",IF(ISNUMBER('OFF_CONVAL'!J59),OR('OFF_CONVAL'!J59&lt;&gt;INT('OFF_CONVAL'!J59),LEN(TEXT(ABS('OFF_CONVAL'!J59),"0"))&gt;15),TRUE)),1,0)</f>
        <v/>
      </c>
      <c r="K59">
        <f>IF(AND('OFF_CONVAL'!K59&lt;&gt;"",OR(LEN('OFF_CONVAL'!K59)&gt;3,COUNTIF(CL_MONEDAISO,'OFF_CONVAL'!K59)=0)),1,0)</f>
        <v/>
      </c>
      <c r="L59">
        <f>IF(AND('OFF_CONVAL'!L59&lt;&gt;"",IF(ISNUMBER('OFF_CONVAL'!L59),OR('OFF_CONVAL'!L59&lt;&gt;INT('OFF_CONVAL'!L59),LEN(TEXT(ABS('OFF_CONVAL'!L59),"0"))&gt;5),TRUE)),1,0)</f>
        <v/>
      </c>
      <c r="M59">
        <f>IF(AND('OFF_CONVAL'!M59&lt;&gt;"",IF(ISNUMBER('OFF_CONVAL'!M59),OR('OFF_CONVAL'!M59&lt;&gt;INT('OFF_CONVAL'!M59),LEN(TEXT(ABS('OFF_CONVAL'!M59),"0"))&gt;5),TRUE)),1,0)</f>
        <v/>
      </c>
      <c r="N59">
        <f>IF(AND('OFF_CONVAL'!N59&lt;&gt;"",LEN('OFF_CONVAL'!N59)&gt;20),1,0)</f>
        <v/>
      </c>
      <c r="O59">
        <f>IF(AND('OFF_CONVAL'!O59&lt;&gt;"",IF(ISNUMBER('OFF_CONVAL'!O59),OR('OFF_CONVAL'!O59&lt;&gt;INT('OFF_CONVAL'!O59),LEN(TEXT(ABS('OFF_CONVAL'!O59),"0"))&gt;15),TRUE)),1,0)</f>
        <v/>
      </c>
      <c r="P59">
        <f>IF(AND('OFF_CONVAL'!P59&lt;&gt;"",OR(LEN('OFF_CONVAL'!P59)&gt;3,COUNTIF(CL_MONEDAISO,'OFF_CONVAL'!P59)=0)),1,0)</f>
        <v/>
      </c>
      <c r="Q59">
        <f>IF(AND('OFF_CONVAL'!Q59&lt;&gt;"",NOT(ISNUMBER('OFF_CONVAL'!Q59))),1,0)</f>
        <v/>
      </c>
    </row>
    <row r="60">
      <c r="A60">
        <f>IF(AND('OFF_CONVAL'!A60&lt;&gt;"",NOT(ISNUMBER('OFF_CONVAL'!A60))),1,0)</f>
        <v/>
      </c>
      <c r="B60">
        <f>IF(AND('OFF_CONVAL'!B60&lt;&gt;"",LEN('OFF_CONVAL'!B60)&gt;20),1,0)</f>
        <v/>
      </c>
      <c r="C60">
        <f>IF(AND('OFF_CONVAL'!C60&lt;&gt;"",OR(LEN('OFF_CONVAL'!C60)&gt;1,COUNTIF(CL_POSICIONOPERACION_V4,'OFF_CONVAL'!C60)=0)),1,0)</f>
        <v/>
      </c>
      <c r="D60">
        <f>IF(AND('OFF_CONVAL'!D60&lt;&gt;"",OR(LEN('OFF_CONVAL'!D60)&gt;2,COUNTIF(CL_OBJ_OPE_V1,'OFF_CONVAL'!D60)=0)),1,0)</f>
        <v/>
      </c>
      <c r="E60">
        <f>IF(AND('OFF_CONVAL'!E60&lt;&gt;"",COUNTIF(CL_PAQ_EST_DER_V1,'OFF_CONVAL'!E60)=0),1,0)</f>
        <v/>
      </c>
      <c r="F60">
        <f>IF(AND('OFF_CONVAL'!F60&lt;&gt;"",LEN('OFF_CONVAL'!F60)&gt;20),1,0)</f>
        <v/>
      </c>
      <c r="G60">
        <f>IF(AND('OFF_CONVAL'!G60&lt;&gt;"",IF(ISNUMBER('OFF_CONVAL'!G60),OR('OFF_CONVAL'!G60&lt;&gt;INT('OFF_CONVAL'!G60),LEN(TEXT(ABS('OFF_CONVAL'!G60),"0"))&gt;3),TRUE)),1,0)</f>
        <v/>
      </c>
      <c r="H60">
        <f>IF(AND('OFF_CONVAL'!H60&lt;&gt;"",IF(ISNUMBER('OFF_CONVAL'!H60),OR('OFF_CONVAL'!H60&lt;&gt;INT('OFF_CONVAL'!H60),LEN(TEXT(ABS('OFF_CONVAL'!H60),"0"))&gt;15),TRUE)),1,0)</f>
        <v/>
      </c>
      <c r="I60">
        <f>IF(AND('OFF_CONVAL'!I60&lt;&gt;"",OR(LEN('OFF_CONVAL'!I60)&gt;3,COUNTIF(CL_MONEDAISO,'OFF_CONVAL'!I60)=0)),1,0)</f>
        <v/>
      </c>
      <c r="J60">
        <f>IF(AND('OFF_CONVAL'!J60&lt;&gt;"",IF(ISNUMBER('OFF_CONVAL'!J60),OR('OFF_CONVAL'!J60&lt;&gt;INT('OFF_CONVAL'!J60),LEN(TEXT(ABS('OFF_CONVAL'!J60),"0"))&gt;15),TRUE)),1,0)</f>
        <v/>
      </c>
      <c r="K60">
        <f>IF(AND('OFF_CONVAL'!K60&lt;&gt;"",OR(LEN('OFF_CONVAL'!K60)&gt;3,COUNTIF(CL_MONEDAISO,'OFF_CONVAL'!K60)=0)),1,0)</f>
        <v/>
      </c>
      <c r="L60">
        <f>IF(AND('OFF_CONVAL'!L60&lt;&gt;"",IF(ISNUMBER('OFF_CONVAL'!L60),OR('OFF_CONVAL'!L60&lt;&gt;INT('OFF_CONVAL'!L60),LEN(TEXT(ABS('OFF_CONVAL'!L60),"0"))&gt;5),TRUE)),1,0)</f>
        <v/>
      </c>
      <c r="M60">
        <f>IF(AND('OFF_CONVAL'!M60&lt;&gt;"",IF(ISNUMBER('OFF_CONVAL'!M60),OR('OFF_CONVAL'!M60&lt;&gt;INT('OFF_CONVAL'!M60),LEN(TEXT(ABS('OFF_CONVAL'!M60),"0"))&gt;5),TRUE)),1,0)</f>
        <v/>
      </c>
      <c r="N60">
        <f>IF(AND('OFF_CONVAL'!N60&lt;&gt;"",LEN('OFF_CONVAL'!N60)&gt;20),1,0)</f>
        <v/>
      </c>
      <c r="O60">
        <f>IF(AND('OFF_CONVAL'!O60&lt;&gt;"",IF(ISNUMBER('OFF_CONVAL'!O60),OR('OFF_CONVAL'!O60&lt;&gt;INT('OFF_CONVAL'!O60),LEN(TEXT(ABS('OFF_CONVAL'!O60),"0"))&gt;15),TRUE)),1,0)</f>
        <v/>
      </c>
      <c r="P60">
        <f>IF(AND('OFF_CONVAL'!P60&lt;&gt;"",OR(LEN('OFF_CONVAL'!P60)&gt;3,COUNTIF(CL_MONEDAISO,'OFF_CONVAL'!P60)=0)),1,0)</f>
        <v/>
      </c>
      <c r="Q60">
        <f>IF(AND('OFF_CONVAL'!Q60&lt;&gt;"",NOT(ISNUMBER('OFF_CONVAL'!Q60))),1,0)</f>
        <v/>
      </c>
    </row>
    <row r="61">
      <c r="A61">
        <f>IF(AND('OFF_CONVAL'!A61&lt;&gt;"",NOT(ISNUMBER('OFF_CONVAL'!A61))),1,0)</f>
        <v/>
      </c>
      <c r="B61">
        <f>IF(AND('OFF_CONVAL'!B61&lt;&gt;"",LEN('OFF_CONVAL'!B61)&gt;20),1,0)</f>
        <v/>
      </c>
      <c r="C61">
        <f>IF(AND('OFF_CONVAL'!C61&lt;&gt;"",OR(LEN('OFF_CONVAL'!C61)&gt;1,COUNTIF(CL_POSICIONOPERACION_V4,'OFF_CONVAL'!C61)=0)),1,0)</f>
        <v/>
      </c>
      <c r="D61">
        <f>IF(AND('OFF_CONVAL'!D61&lt;&gt;"",OR(LEN('OFF_CONVAL'!D61)&gt;2,COUNTIF(CL_OBJ_OPE_V1,'OFF_CONVAL'!D61)=0)),1,0)</f>
        <v/>
      </c>
      <c r="E61">
        <f>IF(AND('OFF_CONVAL'!E61&lt;&gt;"",COUNTIF(CL_PAQ_EST_DER_V1,'OFF_CONVAL'!E61)=0),1,0)</f>
        <v/>
      </c>
      <c r="F61">
        <f>IF(AND('OFF_CONVAL'!F61&lt;&gt;"",LEN('OFF_CONVAL'!F61)&gt;20),1,0)</f>
        <v/>
      </c>
      <c r="G61">
        <f>IF(AND('OFF_CONVAL'!G61&lt;&gt;"",IF(ISNUMBER('OFF_CONVAL'!G61),OR('OFF_CONVAL'!G61&lt;&gt;INT('OFF_CONVAL'!G61),LEN(TEXT(ABS('OFF_CONVAL'!G61),"0"))&gt;3),TRUE)),1,0)</f>
        <v/>
      </c>
      <c r="H61">
        <f>IF(AND('OFF_CONVAL'!H61&lt;&gt;"",IF(ISNUMBER('OFF_CONVAL'!H61),OR('OFF_CONVAL'!H61&lt;&gt;INT('OFF_CONVAL'!H61),LEN(TEXT(ABS('OFF_CONVAL'!H61),"0"))&gt;15),TRUE)),1,0)</f>
        <v/>
      </c>
      <c r="I61">
        <f>IF(AND('OFF_CONVAL'!I61&lt;&gt;"",OR(LEN('OFF_CONVAL'!I61)&gt;3,COUNTIF(CL_MONEDAISO,'OFF_CONVAL'!I61)=0)),1,0)</f>
        <v/>
      </c>
      <c r="J61">
        <f>IF(AND('OFF_CONVAL'!J61&lt;&gt;"",IF(ISNUMBER('OFF_CONVAL'!J61),OR('OFF_CONVAL'!J61&lt;&gt;INT('OFF_CONVAL'!J61),LEN(TEXT(ABS('OFF_CONVAL'!J61),"0"))&gt;15),TRUE)),1,0)</f>
        <v/>
      </c>
      <c r="K61">
        <f>IF(AND('OFF_CONVAL'!K61&lt;&gt;"",OR(LEN('OFF_CONVAL'!K61)&gt;3,COUNTIF(CL_MONEDAISO,'OFF_CONVAL'!K61)=0)),1,0)</f>
        <v/>
      </c>
      <c r="L61">
        <f>IF(AND('OFF_CONVAL'!L61&lt;&gt;"",IF(ISNUMBER('OFF_CONVAL'!L61),OR('OFF_CONVAL'!L61&lt;&gt;INT('OFF_CONVAL'!L61),LEN(TEXT(ABS('OFF_CONVAL'!L61),"0"))&gt;5),TRUE)),1,0)</f>
        <v/>
      </c>
      <c r="M61">
        <f>IF(AND('OFF_CONVAL'!M61&lt;&gt;"",IF(ISNUMBER('OFF_CONVAL'!M61),OR('OFF_CONVAL'!M61&lt;&gt;INT('OFF_CONVAL'!M61),LEN(TEXT(ABS('OFF_CONVAL'!M61),"0"))&gt;5),TRUE)),1,0)</f>
        <v/>
      </c>
      <c r="N61">
        <f>IF(AND('OFF_CONVAL'!N61&lt;&gt;"",LEN('OFF_CONVAL'!N61)&gt;20),1,0)</f>
        <v/>
      </c>
      <c r="O61">
        <f>IF(AND('OFF_CONVAL'!O61&lt;&gt;"",IF(ISNUMBER('OFF_CONVAL'!O61),OR('OFF_CONVAL'!O61&lt;&gt;INT('OFF_CONVAL'!O61),LEN(TEXT(ABS('OFF_CONVAL'!O61),"0"))&gt;15),TRUE)),1,0)</f>
        <v/>
      </c>
      <c r="P61">
        <f>IF(AND('OFF_CONVAL'!P61&lt;&gt;"",OR(LEN('OFF_CONVAL'!P61)&gt;3,COUNTIF(CL_MONEDAISO,'OFF_CONVAL'!P61)=0)),1,0)</f>
        <v/>
      </c>
      <c r="Q61">
        <f>IF(AND('OFF_CONVAL'!Q61&lt;&gt;"",NOT(ISNUMBER('OFF_CONVAL'!Q61))),1,0)</f>
        <v/>
      </c>
    </row>
    <row r="62">
      <c r="A62">
        <f>IF(AND('OFF_CONVAL'!A62&lt;&gt;"",NOT(ISNUMBER('OFF_CONVAL'!A62))),1,0)</f>
        <v/>
      </c>
      <c r="B62">
        <f>IF(AND('OFF_CONVAL'!B62&lt;&gt;"",LEN('OFF_CONVAL'!B62)&gt;20),1,0)</f>
        <v/>
      </c>
      <c r="C62">
        <f>IF(AND('OFF_CONVAL'!C62&lt;&gt;"",OR(LEN('OFF_CONVAL'!C62)&gt;1,COUNTIF(CL_POSICIONOPERACION_V4,'OFF_CONVAL'!C62)=0)),1,0)</f>
        <v/>
      </c>
      <c r="D62">
        <f>IF(AND('OFF_CONVAL'!D62&lt;&gt;"",OR(LEN('OFF_CONVAL'!D62)&gt;2,COUNTIF(CL_OBJ_OPE_V1,'OFF_CONVAL'!D62)=0)),1,0)</f>
        <v/>
      </c>
      <c r="E62">
        <f>IF(AND('OFF_CONVAL'!E62&lt;&gt;"",COUNTIF(CL_PAQ_EST_DER_V1,'OFF_CONVAL'!E62)=0),1,0)</f>
        <v/>
      </c>
      <c r="F62">
        <f>IF(AND('OFF_CONVAL'!F62&lt;&gt;"",LEN('OFF_CONVAL'!F62)&gt;20),1,0)</f>
        <v/>
      </c>
      <c r="G62">
        <f>IF(AND('OFF_CONVAL'!G62&lt;&gt;"",IF(ISNUMBER('OFF_CONVAL'!G62),OR('OFF_CONVAL'!G62&lt;&gt;INT('OFF_CONVAL'!G62),LEN(TEXT(ABS('OFF_CONVAL'!G62),"0"))&gt;3),TRUE)),1,0)</f>
        <v/>
      </c>
      <c r="H62">
        <f>IF(AND('OFF_CONVAL'!H62&lt;&gt;"",IF(ISNUMBER('OFF_CONVAL'!H62),OR('OFF_CONVAL'!H62&lt;&gt;INT('OFF_CONVAL'!H62),LEN(TEXT(ABS('OFF_CONVAL'!H62),"0"))&gt;15),TRUE)),1,0)</f>
        <v/>
      </c>
      <c r="I62">
        <f>IF(AND('OFF_CONVAL'!I62&lt;&gt;"",OR(LEN('OFF_CONVAL'!I62)&gt;3,COUNTIF(CL_MONEDAISO,'OFF_CONVAL'!I62)=0)),1,0)</f>
        <v/>
      </c>
      <c r="J62">
        <f>IF(AND('OFF_CONVAL'!J62&lt;&gt;"",IF(ISNUMBER('OFF_CONVAL'!J62),OR('OFF_CONVAL'!J62&lt;&gt;INT('OFF_CONVAL'!J62),LEN(TEXT(ABS('OFF_CONVAL'!J62),"0"))&gt;15),TRUE)),1,0)</f>
        <v/>
      </c>
      <c r="K62">
        <f>IF(AND('OFF_CONVAL'!K62&lt;&gt;"",OR(LEN('OFF_CONVAL'!K62)&gt;3,COUNTIF(CL_MONEDAISO,'OFF_CONVAL'!K62)=0)),1,0)</f>
        <v/>
      </c>
      <c r="L62">
        <f>IF(AND('OFF_CONVAL'!L62&lt;&gt;"",IF(ISNUMBER('OFF_CONVAL'!L62),OR('OFF_CONVAL'!L62&lt;&gt;INT('OFF_CONVAL'!L62),LEN(TEXT(ABS('OFF_CONVAL'!L62),"0"))&gt;5),TRUE)),1,0)</f>
        <v/>
      </c>
      <c r="M62">
        <f>IF(AND('OFF_CONVAL'!M62&lt;&gt;"",IF(ISNUMBER('OFF_CONVAL'!M62),OR('OFF_CONVAL'!M62&lt;&gt;INT('OFF_CONVAL'!M62),LEN(TEXT(ABS('OFF_CONVAL'!M62),"0"))&gt;5),TRUE)),1,0)</f>
        <v/>
      </c>
      <c r="N62">
        <f>IF(AND('OFF_CONVAL'!N62&lt;&gt;"",LEN('OFF_CONVAL'!N62)&gt;20),1,0)</f>
        <v/>
      </c>
      <c r="O62">
        <f>IF(AND('OFF_CONVAL'!O62&lt;&gt;"",IF(ISNUMBER('OFF_CONVAL'!O62),OR('OFF_CONVAL'!O62&lt;&gt;INT('OFF_CONVAL'!O62),LEN(TEXT(ABS('OFF_CONVAL'!O62),"0"))&gt;15),TRUE)),1,0)</f>
        <v/>
      </c>
      <c r="P62">
        <f>IF(AND('OFF_CONVAL'!P62&lt;&gt;"",OR(LEN('OFF_CONVAL'!P62)&gt;3,COUNTIF(CL_MONEDAISO,'OFF_CONVAL'!P62)=0)),1,0)</f>
        <v/>
      </c>
      <c r="Q62">
        <f>IF(AND('OFF_CONVAL'!Q62&lt;&gt;"",NOT(ISNUMBER('OFF_CONVAL'!Q62))),1,0)</f>
        <v/>
      </c>
    </row>
    <row r="63">
      <c r="A63">
        <f>IF(AND('OFF_CONVAL'!A63&lt;&gt;"",NOT(ISNUMBER('OFF_CONVAL'!A63))),1,0)</f>
        <v/>
      </c>
      <c r="B63">
        <f>IF(AND('OFF_CONVAL'!B63&lt;&gt;"",LEN('OFF_CONVAL'!B63)&gt;20),1,0)</f>
        <v/>
      </c>
      <c r="C63">
        <f>IF(AND('OFF_CONVAL'!C63&lt;&gt;"",OR(LEN('OFF_CONVAL'!C63)&gt;1,COUNTIF(CL_POSICIONOPERACION_V4,'OFF_CONVAL'!C63)=0)),1,0)</f>
        <v/>
      </c>
      <c r="D63">
        <f>IF(AND('OFF_CONVAL'!D63&lt;&gt;"",OR(LEN('OFF_CONVAL'!D63)&gt;2,COUNTIF(CL_OBJ_OPE_V1,'OFF_CONVAL'!D63)=0)),1,0)</f>
        <v/>
      </c>
      <c r="E63">
        <f>IF(AND('OFF_CONVAL'!E63&lt;&gt;"",COUNTIF(CL_PAQ_EST_DER_V1,'OFF_CONVAL'!E63)=0),1,0)</f>
        <v/>
      </c>
      <c r="F63">
        <f>IF(AND('OFF_CONVAL'!F63&lt;&gt;"",LEN('OFF_CONVAL'!F63)&gt;20),1,0)</f>
        <v/>
      </c>
      <c r="G63">
        <f>IF(AND('OFF_CONVAL'!G63&lt;&gt;"",IF(ISNUMBER('OFF_CONVAL'!G63),OR('OFF_CONVAL'!G63&lt;&gt;INT('OFF_CONVAL'!G63),LEN(TEXT(ABS('OFF_CONVAL'!G63),"0"))&gt;3),TRUE)),1,0)</f>
        <v/>
      </c>
      <c r="H63">
        <f>IF(AND('OFF_CONVAL'!H63&lt;&gt;"",IF(ISNUMBER('OFF_CONVAL'!H63),OR('OFF_CONVAL'!H63&lt;&gt;INT('OFF_CONVAL'!H63),LEN(TEXT(ABS('OFF_CONVAL'!H63),"0"))&gt;15),TRUE)),1,0)</f>
        <v/>
      </c>
      <c r="I63">
        <f>IF(AND('OFF_CONVAL'!I63&lt;&gt;"",OR(LEN('OFF_CONVAL'!I63)&gt;3,COUNTIF(CL_MONEDAISO,'OFF_CONVAL'!I63)=0)),1,0)</f>
        <v/>
      </c>
      <c r="J63">
        <f>IF(AND('OFF_CONVAL'!J63&lt;&gt;"",IF(ISNUMBER('OFF_CONVAL'!J63),OR('OFF_CONVAL'!J63&lt;&gt;INT('OFF_CONVAL'!J63),LEN(TEXT(ABS('OFF_CONVAL'!J63),"0"))&gt;15),TRUE)),1,0)</f>
        <v/>
      </c>
      <c r="K63">
        <f>IF(AND('OFF_CONVAL'!K63&lt;&gt;"",OR(LEN('OFF_CONVAL'!K63)&gt;3,COUNTIF(CL_MONEDAISO,'OFF_CONVAL'!K63)=0)),1,0)</f>
        <v/>
      </c>
      <c r="L63">
        <f>IF(AND('OFF_CONVAL'!L63&lt;&gt;"",IF(ISNUMBER('OFF_CONVAL'!L63),OR('OFF_CONVAL'!L63&lt;&gt;INT('OFF_CONVAL'!L63),LEN(TEXT(ABS('OFF_CONVAL'!L63),"0"))&gt;5),TRUE)),1,0)</f>
        <v/>
      </c>
      <c r="M63">
        <f>IF(AND('OFF_CONVAL'!M63&lt;&gt;"",IF(ISNUMBER('OFF_CONVAL'!M63),OR('OFF_CONVAL'!M63&lt;&gt;INT('OFF_CONVAL'!M63),LEN(TEXT(ABS('OFF_CONVAL'!M63),"0"))&gt;5),TRUE)),1,0)</f>
        <v/>
      </c>
      <c r="N63">
        <f>IF(AND('OFF_CONVAL'!N63&lt;&gt;"",LEN('OFF_CONVAL'!N63)&gt;20),1,0)</f>
        <v/>
      </c>
      <c r="O63">
        <f>IF(AND('OFF_CONVAL'!O63&lt;&gt;"",IF(ISNUMBER('OFF_CONVAL'!O63),OR('OFF_CONVAL'!O63&lt;&gt;INT('OFF_CONVAL'!O63),LEN(TEXT(ABS('OFF_CONVAL'!O63),"0"))&gt;15),TRUE)),1,0)</f>
        <v/>
      </c>
      <c r="P63">
        <f>IF(AND('OFF_CONVAL'!P63&lt;&gt;"",OR(LEN('OFF_CONVAL'!P63)&gt;3,COUNTIF(CL_MONEDAISO,'OFF_CONVAL'!P63)=0)),1,0)</f>
        <v/>
      </c>
      <c r="Q63">
        <f>IF(AND('OFF_CONVAL'!Q63&lt;&gt;"",NOT(ISNUMBER('OFF_CONVAL'!Q63))),1,0)</f>
        <v/>
      </c>
    </row>
    <row r="64">
      <c r="A64">
        <f>IF(AND('OFF_CONVAL'!A64&lt;&gt;"",NOT(ISNUMBER('OFF_CONVAL'!A64))),1,0)</f>
        <v/>
      </c>
      <c r="B64">
        <f>IF(AND('OFF_CONVAL'!B64&lt;&gt;"",LEN('OFF_CONVAL'!B64)&gt;20),1,0)</f>
        <v/>
      </c>
      <c r="C64">
        <f>IF(AND('OFF_CONVAL'!C64&lt;&gt;"",OR(LEN('OFF_CONVAL'!C64)&gt;1,COUNTIF(CL_POSICIONOPERACION_V4,'OFF_CONVAL'!C64)=0)),1,0)</f>
        <v/>
      </c>
      <c r="D64">
        <f>IF(AND('OFF_CONVAL'!D64&lt;&gt;"",OR(LEN('OFF_CONVAL'!D64)&gt;2,COUNTIF(CL_OBJ_OPE_V1,'OFF_CONVAL'!D64)=0)),1,0)</f>
        <v/>
      </c>
      <c r="E64">
        <f>IF(AND('OFF_CONVAL'!E64&lt;&gt;"",COUNTIF(CL_PAQ_EST_DER_V1,'OFF_CONVAL'!E64)=0),1,0)</f>
        <v/>
      </c>
      <c r="F64">
        <f>IF(AND('OFF_CONVAL'!F64&lt;&gt;"",LEN('OFF_CONVAL'!F64)&gt;20),1,0)</f>
        <v/>
      </c>
      <c r="G64">
        <f>IF(AND('OFF_CONVAL'!G64&lt;&gt;"",IF(ISNUMBER('OFF_CONVAL'!G64),OR('OFF_CONVAL'!G64&lt;&gt;INT('OFF_CONVAL'!G64),LEN(TEXT(ABS('OFF_CONVAL'!G64),"0"))&gt;3),TRUE)),1,0)</f>
        <v/>
      </c>
      <c r="H64">
        <f>IF(AND('OFF_CONVAL'!H64&lt;&gt;"",IF(ISNUMBER('OFF_CONVAL'!H64),OR('OFF_CONVAL'!H64&lt;&gt;INT('OFF_CONVAL'!H64),LEN(TEXT(ABS('OFF_CONVAL'!H64),"0"))&gt;15),TRUE)),1,0)</f>
        <v/>
      </c>
      <c r="I64">
        <f>IF(AND('OFF_CONVAL'!I64&lt;&gt;"",OR(LEN('OFF_CONVAL'!I64)&gt;3,COUNTIF(CL_MONEDAISO,'OFF_CONVAL'!I64)=0)),1,0)</f>
        <v/>
      </c>
      <c r="J64">
        <f>IF(AND('OFF_CONVAL'!J64&lt;&gt;"",IF(ISNUMBER('OFF_CONVAL'!J64),OR('OFF_CONVAL'!J64&lt;&gt;INT('OFF_CONVAL'!J64),LEN(TEXT(ABS('OFF_CONVAL'!J64),"0"))&gt;15),TRUE)),1,0)</f>
        <v/>
      </c>
      <c r="K64">
        <f>IF(AND('OFF_CONVAL'!K64&lt;&gt;"",OR(LEN('OFF_CONVAL'!K64)&gt;3,COUNTIF(CL_MONEDAISO,'OFF_CONVAL'!K64)=0)),1,0)</f>
        <v/>
      </c>
      <c r="L64">
        <f>IF(AND('OFF_CONVAL'!L64&lt;&gt;"",IF(ISNUMBER('OFF_CONVAL'!L64),OR('OFF_CONVAL'!L64&lt;&gt;INT('OFF_CONVAL'!L64),LEN(TEXT(ABS('OFF_CONVAL'!L64),"0"))&gt;5),TRUE)),1,0)</f>
        <v/>
      </c>
      <c r="M64">
        <f>IF(AND('OFF_CONVAL'!M64&lt;&gt;"",IF(ISNUMBER('OFF_CONVAL'!M64),OR('OFF_CONVAL'!M64&lt;&gt;INT('OFF_CONVAL'!M64),LEN(TEXT(ABS('OFF_CONVAL'!M64),"0"))&gt;5),TRUE)),1,0)</f>
        <v/>
      </c>
      <c r="N64">
        <f>IF(AND('OFF_CONVAL'!N64&lt;&gt;"",LEN('OFF_CONVAL'!N64)&gt;20),1,0)</f>
        <v/>
      </c>
      <c r="O64">
        <f>IF(AND('OFF_CONVAL'!O64&lt;&gt;"",IF(ISNUMBER('OFF_CONVAL'!O64),OR('OFF_CONVAL'!O64&lt;&gt;INT('OFF_CONVAL'!O64),LEN(TEXT(ABS('OFF_CONVAL'!O64),"0"))&gt;15),TRUE)),1,0)</f>
        <v/>
      </c>
      <c r="P64">
        <f>IF(AND('OFF_CONVAL'!P64&lt;&gt;"",OR(LEN('OFF_CONVAL'!P64)&gt;3,COUNTIF(CL_MONEDAISO,'OFF_CONVAL'!P64)=0)),1,0)</f>
        <v/>
      </c>
      <c r="Q64">
        <f>IF(AND('OFF_CONVAL'!Q64&lt;&gt;"",NOT(ISNUMBER('OFF_CONVAL'!Q64))),1,0)</f>
        <v/>
      </c>
    </row>
    <row r="65">
      <c r="A65">
        <f>IF(AND('OFF_CONVAL'!A65&lt;&gt;"",NOT(ISNUMBER('OFF_CONVAL'!A65))),1,0)</f>
        <v/>
      </c>
      <c r="B65">
        <f>IF(AND('OFF_CONVAL'!B65&lt;&gt;"",LEN('OFF_CONVAL'!B65)&gt;20),1,0)</f>
        <v/>
      </c>
      <c r="C65">
        <f>IF(AND('OFF_CONVAL'!C65&lt;&gt;"",OR(LEN('OFF_CONVAL'!C65)&gt;1,COUNTIF(CL_POSICIONOPERACION_V4,'OFF_CONVAL'!C65)=0)),1,0)</f>
        <v/>
      </c>
      <c r="D65">
        <f>IF(AND('OFF_CONVAL'!D65&lt;&gt;"",OR(LEN('OFF_CONVAL'!D65)&gt;2,COUNTIF(CL_OBJ_OPE_V1,'OFF_CONVAL'!D65)=0)),1,0)</f>
        <v/>
      </c>
      <c r="E65">
        <f>IF(AND('OFF_CONVAL'!E65&lt;&gt;"",COUNTIF(CL_PAQ_EST_DER_V1,'OFF_CONVAL'!E65)=0),1,0)</f>
        <v/>
      </c>
      <c r="F65">
        <f>IF(AND('OFF_CONVAL'!F65&lt;&gt;"",LEN('OFF_CONVAL'!F65)&gt;20),1,0)</f>
        <v/>
      </c>
      <c r="G65">
        <f>IF(AND('OFF_CONVAL'!G65&lt;&gt;"",IF(ISNUMBER('OFF_CONVAL'!G65),OR('OFF_CONVAL'!G65&lt;&gt;INT('OFF_CONVAL'!G65),LEN(TEXT(ABS('OFF_CONVAL'!G65),"0"))&gt;3),TRUE)),1,0)</f>
        <v/>
      </c>
      <c r="H65">
        <f>IF(AND('OFF_CONVAL'!H65&lt;&gt;"",IF(ISNUMBER('OFF_CONVAL'!H65),OR('OFF_CONVAL'!H65&lt;&gt;INT('OFF_CONVAL'!H65),LEN(TEXT(ABS('OFF_CONVAL'!H65),"0"))&gt;15),TRUE)),1,0)</f>
        <v/>
      </c>
      <c r="I65">
        <f>IF(AND('OFF_CONVAL'!I65&lt;&gt;"",OR(LEN('OFF_CONVAL'!I65)&gt;3,COUNTIF(CL_MONEDAISO,'OFF_CONVAL'!I65)=0)),1,0)</f>
        <v/>
      </c>
      <c r="J65">
        <f>IF(AND('OFF_CONVAL'!J65&lt;&gt;"",IF(ISNUMBER('OFF_CONVAL'!J65),OR('OFF_CONVAL'!J65&lt;&gt;INT('OFF_CONVAL'!J65),LEN(TEXT(ABS('OFF_CONVAL'!J65),"0"))&gt;15),TRUE)),1,0)</f>
        <v/>
      </c>
      <c r="K65">
        <f>IF(AND('OFF_CONVAL'!K65&lt;&gt;"",OR(LEN('OFF_CONVAL'!K65)&gt;3,COUNTIF(CL_MONEDAISO,'OFF_CONVAL'!K65)=0)),1,0)</f>
        <v/>
      </c>
      <c r="L65">
        <f>IF(AND('OFF_CONVAL'!L65&lt;&gt;"",IF(ISNUMBER('OFF_CONVAL'!L65),OR('OFF_CONVAL'!L65&lt;&gt;INT('OFF_CONVAL'!L65),LEN(TEXT(ABS('OFF_CONVAL'!L65),"0"))&gt;5),TRUE)),1,0)</f>
        <v/>
      </c>
      <c r="M65">
        <f>IF(AND('OFF_CONVAL'!M65&lt;&gt;"",IF(ISNUMBER('OFF_CONVAL'!M65),OR('OFF_CONVAL'!M65&lt;&gt;INT('OFF_CONVAL'!M65),LEN(TEXT(ABS('OFF_CONVAL'!M65),"0"))&gt;5),TRUE)),1,0)</f>
        <v/>
      </c>
      <c r="N65">
        <f>IF(AND('OFF_CONVAL'!N65&lt;&gt;"",LEN('OFF_CONVAL'!N65)&gt;20),1,0)</f>
        <v/>
      </c>
      <c r="O65">
        <f>IF(AND('OFF_CONVAL'!O65&lt;&gt;"",IF(ISNUMBER('OFF_CONVAL'!O65),OR('OFF_CONVAL'!O65&lt;&gt;INT('OFF_CONVAL'!O65),LEN(TEXT(ABS('OFF_CONVAL'!O65),"0"))&gt;15),TRUE)),1,0)</f>
        <v/>
      </c>
      <c r="P65">
        <f>IF(AND('OFF_CONVAL'!P65&lt;&gt;"",OR(LEN('OFF_CONVAL'!P65)&gt;3,COUNTIF(CL_MONEDAISO,'OFF_CONVAL'!P65)=0)),1,0)</f>
        <v/>
      </c>
      <c r="Q65">
        <f>IF(AND('OFF_CONVAL'!Q65&lt;&gt;"",NOT(ISNUMBER('OFF_CONVAL'!Q65))),1,0)</f>
        <v/>
      </c>
    </row>
    <row r="66">
      <c r="A66">
        <f>IF(AND('OFF_CONVAL'!A66&lt;&gt;"",NOT(ISNUMBER('OFF_CONVAL'!A66))),1,0)</f>
        <v/>
      </c>
      <c r="B66">
        <f>IF(AND('OFF_CONVAL'!B66&lt;&gt;"",LEN('OFF_CONVAL'!B66)&gt;20),1,0)</f>
        <v/>
      </c>
      <c r="C66">
        <f>IF(AND('OFF_CONVAL'!C66&lt;&gt;"",OR(LEN('OFF_CONVAL'!C66)&gt;1,COUNTIF(CL_POSICIONOPERACION_V4,'OFF_CONVAL'!C66)=0)),1,0)</f>
        <v/>
      </c>
      <c r="D66">
        <f>IF(AND('OFF_CONVAL'!D66&lt;&gt;"",OR(LEN('OFF_CONVAL'!D66)&gt;2,COUNTIF(CL_OBJ_OPE_V1,'OFF_CONVAL'!D66)=0)),1,0)</f>
        <v/>
      </c>
      <c r="E66">
        <f>IF(AND('OFF_CONVAL'!E66&lt;&gt;"",COUNTIF(CL_PAQ_EST_DER_V1,'OFF_CONVAL'!E66)=0),1,0)</f>
        <v/>
      </c>
      <c r="F66">
        <f>IF(AND('OFF_CONVAL'!F66&lt;&gt;"",LEN('OFF_CONVAL'!F66)&gt;20),1,0)</f>
        <v/>
      </c>
      <c r="G66">
        <f>IF(AND('OFF_CONVAL'!G66&lt;&gt;"",IF(ISNUMBER('OFF_CONVAL'!G66),OR('OFF_CONVAL'!G66&lt;&gt;INT('OFF_CONVAL'!G66),LEN(TEXT(ABS('OFF_CONVAL'!G66),"0"))&gt;3),TRUE)),1,0)</f>
        <v/>
      </c>
      <c r="H66">
        <f>IF(AND('OFF_CONVAL'!H66&lt;&gt;"",IF(ISNUMBER('OFF_CONVAL'!H66),OR('OFF_CONVAL'!H66&lt;&gt;INT('OFF_CONVAL'!H66),LEN(TEXT(ABS('OFF_CONVAL'!H66),"0"))&gt;15),TRUE)),1,0)</f>
        <v/>
      </c>
      <c r="I66">
        <f>IF(AND('OFF_CONVAL'!I66&lt;&gt;"",OR(LEN('OFF_CONVAL'!I66)&gt;3,COUNTIF(CL_MONEDAISO,'OFF_CONVAL'!I66)=0)),1,0)</f>
        <v/>
      </c>
      <c r="J66">
        <f>IF(AND('OFF_CONVAL'!J66&lt;&gt;"",IF(ISNUMBER('OFF_CONVAL'!J66),OR('OFF_CONVAL'!J66&lt;&gt;INT('OFF_CONVAL'!J66),LEN(TEXT(ABS('OFF_CONVAL'!J66),"0"))&gt;15),TRUE)),1,0)</f>
        <v/>
      </c>
      <c r="K66">
        <f>IF(AND('OFF_CONVAL'!K66&lt;&gt;"",OR(LEN('OFF_CONVAL'!K66)&gt;3,COUNTIF(CL_MONEDAISO,'OFF_CONVAL'!K66)=0)),1,0)</f>
        <v/>
      </c>
      <c r="L66">
        <f>IF(AND('OFF_CONVAL'!L66&lt;&gt;"",IF(ISNUMBER('OFF_CONVAL'!L66),OR('OFF_CONVAL'!L66&lt;&gt;INT('OFF_CONVAL'!L66),LEN(TEXT(ABS('OFF_CONVAL'!L66),"0"))&gt;5),TRUE)),1,0)</f>
        <v/>
      </c>
      <c r="M66">
        <f>IF(AND('OFF_CONVAL'!M66&lt;&gt;"",IF(ISNUMBER('OFF_CONVAL'!M66),OR('OFF_CONVAL'!M66&lt;&gt;INT('OFF_CONVAL'!M66),LEN(TEXT(ABS('OFF_CONVAL'!M66),"0"))&gt;5),TRUE)),1,0)</f>
        <v/>
      </c>
      <c r="N66">
        <f>IF(AND('OFF_CONVAL'!N66&lt;&gt;"",LEN('OFF_CONVAL'!N66)&gt;20),1,0)</f>
        <v/>
      </c>
      <c r="O66">
        <f>IF(AND('OFF_CONVAL'!O66&lt;&gt;"",IF(ISNUMBER('OFF_CONVAL'!O66),OR('OFF_CONVAL'!O66&lt;&gt;INT('OFF_CONVAL'!O66),LEN(TEXT(ABS('OFF_CONVAL'!O66),"0"))&gt;15),TRUE)),1,0)</f>
        <v/>
      </c>
      <c r="P66">
        <f>IF(AND('OFF_CONVAL'!P66&lt;&gt;"",OR(LEN('OFF_CONVAL'!P66)&gt;3,COUNTIF(CL_MONEDAISO,'OFF_CONVAL'!P66)=0)),1,0)</f>
        <v/>
      </c>
      <c r="Q66">
        <f>IF(AND('OFF_CONVAL'!Q66&lt;&gt;"",NOT(ISNUMBER('OFF_CONVAL'!Q66))),1,0)</f>
        <v/>
      </c>
    </row>
    <row r="67">
      <c r="A67">
        <f>IF(AND('OFF_CONVAL'!A67&lt;&gt;"",NOT(ISNUMBER('OFF_CONVAL'!A67))),1,0)</f>
        <v/>
      </c>
      <c r="B67">
        <f>IF(AND('OFF_CONVAL'!B67&lt;&gt;"",LEN('OFF_CONVAL'!B67)&gt;20),1,0)</f>
        <v/>
      </c>
      <c r="C67">
        <f>IF(AND('OFF_CONVAL'!C67&lt;&gt;"",OR(LEN('OFF_CONVAL'!C67)&gt;1,COUNTIF(CL_POSICIONOPERACION_V4,'OFF_CONVAL'!C67)=0)),1,0)</f>
        <v/>
      </c>
      <c r="D67">
        <f>IF(AND('OFF_CONVAL'!D67&lt;&gt;"",OR(LEN('OFF_CONVAL'!D67)&gt;2,COUNTIF(CL_OBJ_OPE_V1,'OFF_CONVAL'!D67)=0)),1,0)</f>
        <v/>
      </c>
      <c r="E67">
        <f>IF(AND('OFF_CONVAL'!E67&lt;&gt;"",COUNTIF(CL_PAQ_EST_DER_V1,'OFF_CONVAL'!E67)=0),1,0)</f>
        <v/>
      </c>
      <c r="F67">
        <f>IF(AND('OFF_CONVAL'!F67&lt;&gt;"",LEN('OFF_CONVAL'!F67)&gt;20),1,0)</f>
        <v/>
      </c>
      <c r="G67">
        <f>IF(AND('OFF_CONVAL'!G67&lt;&gt;"",IF(ISNUMBER('OFF_CONVAL'!G67),OR('OFF_CONVAL'!G67&lt;&gt;INT('OFF_CONVAL'!G67),LEN(TEXT(ABS('OFF_CONVAL'!G67),"0"))&gt;3),TRUE)),1,0)</f>
        <v/>
      </c>
      <c r="H67">
        <f>IF(AND('OFF_CONVAL'!H67&lt;&gt;"",IF(ISNUMBER('OFF_CONVAL'!H67),OR('OFF_CONVAL'!H67&lt;&gt;INT('OFF_CONVAL'!H67),LEN(TEXT(ABS('OFF_CONVAL'!H67),"0"))&gt;15),TRUE)),1,0)</f>
        <v/>
      </c>
      <c r="I67">
        <f>IF(AND('OFF_CONVAL'!I67&lt;&gt;"",OR(LEN('OFF_CONVAL'!I67)&gt;3,COUNTIF(CL_MONEDAISO,'OFF_CONVAL'!I67)=0)),1,0)</f>
        <v/>
      </c>
      <c r="J67">
        <f>IF(AND('OFF_CONVAL'!J67&lt;&gt;"",IF(ISNUMBER('OFF_CONVAL'!J67),OR('OFF_CONVAL'!J67&lt;&gt;INT('OFF_CONVAL'!J67),LEN(TEXT(ABS('OFF_CONVAL'!J67),"0"))&gt;15),TRUE)),1,0)</f>
        <v/>
      </c>
      <c r="K67">
        <f>IF(AND('OFF_CONVAL'!K67&lt;&gt;"",OR(LEN('OFF_CONVAL'!K67)&gt;3,COUNTIF(CL_MONEDAISO,'OFF_CONVAL'!K67)=0)),1,0)</f>
        <v/>
      </c>
      <c r="L67">
        <f>IF(AND('OFF_CONVAL'!L67&lt;&gt;"",IF(ISNUMBER('OFF_CONVAL'!L67),OR('OFF_CONVAL'!L67&lt;&gt;INT('OFF_CONVAL'!L67),LEN(TEXT(ABS('OFF_CONVAL'!L67),"0"))&gt;5),TRUE)),1,0)</f>
        <v/>
      </c>
      <c r="M67">
        <f>IF(AND('OFF_CONVAL'!M67&lt;&gt;"",IF(ISNUMBER('OFF_CONVAL'!M67),OR('OFF_CONVAL'!M67&lt;&gt;INT('OFF_CONVAL'!M67),LEN(TEXT(ABS('OFF_CONVAL'!M67),"0"))&gt;5),TRUE)),1,0)</f>
        <v/>
      </c>
      <c r="N67">
        <f>IF(AND('OFF_CONVAL'!N67&lt;&gt;"",LEN('OFF_CONVAL'!N67)&gt;20),1,0)</f>
        <v/>
      </c>
      <c r="O67">
        <f>IF(AND('OFF_CONVAL'!O67&lt;&gt;"",IF(ISNUMBER('OFF_CONVAL'!O67),OR('OFF_CONVAL'!O67&lt;&gt;INT('OFF_CONVAL'!O67),LEN(TEXT(ABS('OFF_CONVAL'!O67),"0"))&gt;15),TRUE)),1,0)</f>
        <v/>
      </c>
      <c r="P67">
        <f>IF(AND('OFF_CONVAL'!P67&lt;&gt;"",OR(LEN('OFF_CONVAL'!P67)&gt;3,COUNTIF(CL_MONEDAISO,'OFF_CONVAL'!P67)=0)),1,0)</f>
        <v/>
      </c>
      <c r="Q67">
        <f>IF(AND('OFF_CONVAL'!Q67&lt;&gt;"",NOT(ISNUMBER('OFF_CONVAL'!Q67))),1,0)</f>
        <v/>
      </c>
    </row>
    <row r="68">
      <c r="A68">
        <f>IF(AND('OFF_CONVAL'!A68&lt;&gt;"",NOT(ISNUMBER('OFF_CONVAL'!A68))),1,0)</f>
        <v/>
      </c>
      <c r="B68">
        <f>IF(AND('OFF_CONVAL'!B68&lt;&gt;"",LEN('OFF_CONVAL'!B68)&gt;20),1,0)</f>
        <v/>
      </c>
      <c r="C68">
        <f>IF(AND('OFF_CONVAL'!C68&lt;&gt;"",OR(LEN('OFF_CONVAL'!C68)&gt;1,COUNTIF(CL_POSICIONOPERACION_V4,'OFF_CONVAL'!C68)=0)),1,0)</f>
        <v/>
      </c>
      <c r="D68">
        <f>IF(AND('OFF_CONVAL'!D68&lt;&gt;"",OR(LEN('OFF_CONVAL'!D68)&gt;2,COUNTIF(CL_OBJ_OPE_V1,'OFF_CONVAL'!D68)=0)),1,0)</f>
        <v/>
      </c>
      <c r="E68">
        <f>IF(AND('OFF_CONVAL'!E68&lt;&gt;"",COUNTIF(CL_PAQ_EST_DER_V1,'OFF_CONVAL'!E68)=0),1,0)</f>
        <v/>
      </c>
      <c r="F68">
        <f>IF(AND('OFF_CONVAL'!F68&lt;&gt;"",LEN('OFF_CONVAL'!F68)&gt;20),1,0)</f>
        <v/>
      </c>
      <c r="G68">
        <f>IF(AND('OFF_CONVAL'!G68&lt;&gt;"",IF(ISNUMBER('OFF_CONVAL'!G68),OR('OFF_CONVAL'!G68&lt;&gt;INT('OFF_CONVAL'!G68),LEN(TEXT(ABS('OFF_CONVAL'!G68),"0"))&gt;3),TRUE)),1,0)</f>
        <v/>
      </c>
      <c r="H68">
        <f>IF(AND('OFF_CONVAL'!H68&lt;&gt;"",IF(ISNUMBER('OFF_CONVAL'!H68),OR('OFF_CONVAL'!H68&lt;&gt;INT('OFF_CONVAL'!H68),LEN(TEXT(ABS('OFF_CONVAL'!H68),"0"))&gt;15),TRUE)),1,0)</f>
        <v/>
      </c>
      <c r="I68">
        <f>IF(AND('OFF_CONVAL'!I68&lt;&gt;"",OR(LEN('OFF_CONVAL'!I68)&gt;3,COUNTIF(CL_MONEDAISO,'OFF_CONVAL'!I68)=0)),1,0)</f>
        <v/>
      </c>
      <c r="J68">
        <f>IF(AND('OFF_CONVAL'!J68&lt;&gt;"",IF(ISNUMBER('OFF_CONVAL'!J68),OR('OFF_CONVAL'!J68&lt;&gt;INT('OFF_CONVAL'!J68),LEN(TEXT(ABS('OFF_CONVAL'!J68),"0"))&gt;15),TRUE)),1,0)</f>
        <v/>
      </c>
      <c r="K68">
        <f>IF(AND('OFF_CONVAL'!K68&lt;&gt;"",OR(LEN('OFF_CONVAL'!K68)&gt;3,COUNTIF(CL_MONEDAISO,'OFF_CONVAL'!K68)=0)),1,0)</f>
        <v/>
      </c>
      <c r="L68">
        <f>IF(AND('OFF_CONVAL'!L68&lt;&gt;"",IF(ISNUMBER('OFF_CONVAL'!L68),OR('OFF_CONVAL'!L68&lt;&gt;INT('OFF_CONVAL'!L68),LEN(TEXT(ABS('OFF_CONVAL'!L68),"0"))&gt;5),TRUE)),1,0)</f>
        <v/>
      </c>
      <c r="M68">
        <f>IF(AND('OFF_CONVAL'!M68&lt;&gt;"",IF(ISNUMBER('OFF_CONVAL'!M68),OR('OFF_CONVAL'!M68&lt;&gt;INT('OFF_CONVAL'!M68),LEN(TEXT(ABS('OFF_CONVAL'!M68),"0"))&gt;5),TRUE)),1,0)</f>
        <v/>
      </c>
      <c r="N68">
        <f>IF(AND('OFF_CONVAL'!N68&lt;&gt;"",LEN('OFF_CONVAL'!N68)&gt;20),1,0)</f>
        <v/>
      </c>
      <c r="O68">
        <f>IF(AND('OFF_CONVAL'!O68&lt;&gt;"",IF(ISNUMBER('OFF_CONVAL'!O68),OR('OFF_CONVAL'!O68&lt;&gt;INT('OFF_CONVAL'!O68),LEN(TEXT(ABS('OFF_CONVAL'!O68),"0"))&gt;15),TRUE)),1,0)</f>
        <v/>
      </c>
      <c r="P68">
        <f>IF(AND('OFF_CONVAL'!P68&lt;&gt;"",OR(LEN('OFF_CONVAL'!P68)&gt;3,COUNTIF(CL_MONEDAISO,'OFF_CONVAL'!P68)=0)),1,0)</f>
        <v/>
      </c>
      <c r="Q68">
        <f>IF(AND('OFF_CONVAL'!Q68&lt;&gt;"",NOT(ISNUMBER('OFF_CONVAL'!Q68))),1,0)</f>
        <v/>
      </c>
    </row>
    <row r="69">
      <c r="A69">
        <f>IF(AND('OFF_CONVAL'!A69&lt;&gt;"",NOT(ISNUMBER('OFF_CONVAL'!A69))),1,0)</f>
        <v/>
      </c>
      <c r="B69">
        <f>IF(AND('OFF_CONVAL'!B69&lt;&gt;"",LEN('OFF_CONVAL'!B69)&gt;20),1,0)</f>
        <v/>
      </c>
      <c r="C69">
        <f>IF(AND('OFF_CONVAL'!C69&lt;&gt;"",OR(LEN('OFF_CONVAL'!C69)&gt;1,COUNTIF(CL_POSICIONOPERACION_V4,'OFF_CONVAL'!C69)=0)),1,0)</f>
        <v/>
      </c>
      <c r="D69">
        <f>IF(AND('OFF_CONVAL'!D69&lt;&gt;"",OR(LEN('OFF_CONVAL'!D69)&gt;2,COUNTIF(CL_OBJ_OPE_V1,'OFF_CONVAL'!D69)=0)),1,0)</f>
        <v/>
      </c>
      <c r="E69">
        <f>IF(AND('OFF_CONVAL'!E69&lt;&gt;"",COUNTIF(CL_PAQ_EST_DER_V1,'OFF_CONVAL'!E69)=0),1,0)</f>
        <v/>
      </c>
      <c r="F69">
        <f>IF(AND('OFF_CONVAL'!F69&lt;&gt;"",LEN('OFF_CONVAL'!F69)&gt;20),1,0)</f>
        <v/>
      </c>
      <c r="G69">
        <f>IF(AND('OFF_CONVAL'!G69&lt;&gt;"",IF(ISNUMBER('OFF_CONVAL'!G69),OR('OFF_CONVAL'!G69&lt;&gt;INT('OFF_CONVAL'!G69),LEN(TEXT(ABS('OFF_CONVAL'!G69),"0"))&gt;3),TRUE)),1,0)</f>
        <v/>
      </c>
      <c r="H69">
        <f>IF(AND('OFF_CONVAL'!H69&lt;&gt;"",IF(ISNUMBER('OFF_CONVAL'!H69),OR('OFF_CONVAL'!H69&lt;&gt;INT('OFF_CONVAL'!H69),LEN(TEXT(ABS('OFF_CONVAL'!H69),"0"))&gt;15),TRUE)),1,0)</f>
        <v/>
      </c>
      <c r="I69">
        <f>IF(AND('OFF_CONVAL'!I69&lt;&gt;"",OR(LEN('OFF_CONVAL'!I69)&gt;3,COUNTIF(CL_MONEDAISO,'OFF_CONVAL'!I69)=0)),1,0)</f>
        <v/>
      </c>
      <c r="J69">
        <f>IF(AND('OFF_CONVAL'!J69&lt;&gt;"",IF(ISNUMBER('OFF_CONVAL'!J69),OR('OFF_CONVAL'!J69&lt;&gt;INT('OFF_CONVAL'!J69),LEN(TEXT(ABS('OFF_CONVAL'!J69),"0"))&gt;15),TRUE)),1,0)</f>
        <v/>
      </c>
      <c r="K69">
        <f>IF(AND('OFF_CONVAL'!K69&lt;&gt;"",OR(LEN('OFF_CONVAL'!K69)&gt;3,COUNTIF(CL_MONEDAISO,'OFF_CONVAL'!K69)=0)),1,0)</f>
        <v/>
      </c>
      <c r="L69">
        <f>IF(AND('OFF_CONVAL'!L69&lt;&gt;"",IF(ISNUMBER('OFF_CONVAL'!L69),OR('OFF_CONVAL'!L69&lt;&gt;INT('OFF_CONVAL'!L69),LEN(TEXT(ABS('OFF_CONVAL'!L69),"0"))&gt;5),TRUE)),1,0)</f>
        <v/>
      </c>
      <c r="M69">
        <f>IF(AND('OFF_CONVAL'!M69&lt;&gt;"",IF(ISNUMBER('OFF_CONVAL'!M69),OR('OFF_CONVAL'!M69&lt;&gt;INT('OFF_CONVAL'!M69),LEN(TEXT(ABS('OFF_CONVAL'!M69),"0"))&gt;5),TRUE)),1,0)</f>
        <v/>
      </c>
      <c r="N69">
        <f>IF(AND('OFF_CONVAL'!N69&lt;&gt;"",LEN('OFF_CONVAL'!N69)&gt;20),1,0)</f>
        <v/>
      </c>
      <c r="O69">
        <f>IF(AND('OFF_CONVAL'!O69&lt;&gt;"",IF(ISNUMBER('OFF_CONVAL'!O69),OR('OFF_CONVAL'!O69&lt;&gt;INT('OFF_CONVAL'!O69),LEN(TEXT(ABS('OFF_CONVAL'!O69),"0"))&gt;15),TRUE)),1,0)</f>
        <v/>
      </c>
      <c r="P69">
        <f>IF(AND('OFF_CONVAL'!P69&lt;&gt;"",OR(LEN('OFF_CONVAL'!P69)&gt;3,COUNTIF(CL_MONEDAISO,'OFF_CONVAL'!P69)=0)),1,0)</f>
        <v/>
      </c>
      <c r="Q69">
        <f>IF(AND('OFF_CONVAL'!Q69&lt;&gt;"",NOT(ISNUMBER('OFF_CONVAL'!Q69))),1,0)</f>
        <v/>
      </c>
    </row>
    <row r="70">
      <c r="A70">
        <f>IF(AND('OFF_CONVAL'!A70&lt;&gt;"",NOT(ISNUMBER('OFF_CONVAL'!A70))),1,0)</f>
        <v/>
      </c>
      <c r="B70">
        <f>IF(AND('OFF_CONVAL'!B70&lt;&gt;"",LEN('OFF_CONVAL'!B70)&gt;20),1,0)</f>
        <v/>
      </c>
      <c r="C70">
        <f>IF(AND('OFF_CONVAL'!C70&lt;&gt;"",OR(LEN('OFF_CONVAL'!C70)&gt;1,COUNTIF(CL_POSICIONOPERACION_V4,'OFF_CONVAL'!C70)=0)),1,0)</f>
        <v/>
      </c>
      <c r="D70">
        <f>IF(AND('OFF_CONVAL'!D70&lt;&gt;"",OR(LEN('OFF_CONVAL'!D70)&gt;2,COUNTIF(CL_OBJ_OPE_V1,'OFF_CONVAL'!D70)=0)),1,0)</f>
        <v/>
      </c>
      <c r="E70">
        <f>IF(AND('OFF_CONVAL'!E70&lt;&gt;"",COUNTIF(CL_PAQ_EST_DER_V1,'OFF_CONVAL'!E70)=0),1,0)</f>
        <v/>
      </c>
      <c r="F70">
        <f>IF(AND('OFF_CONVAL'!F70&lt;&gt;"",LEN('OFF_CONVAL'!F70)&gt;20),1,0)</f>
        <v/>
      </c>
      <c r="G70">
        <f>IF(AND('OFF_CONVAL'!G70&lt;&gt;"",IF(ISNUMBER('OFF_CONVAL'!G70),OR('OFF_CONVAL'!G70&lt;&gt;INT('OFF_CONVAL'!G70),LEN(TEXT(ABS('OFF_CONVAL'!G70),"0"))&gt;3),TRUE)),1,0)</f>
        <v/>
      </c>
      <c r="H70">
        <f>IF(AND('OFF_CONVAL'!H70&lt;&gt;"",IF(ISNUMBER('OFF_CONVAL'!H70),OR('OFF_CONVAL'!H70&lt;&gt;INT('OFF_CONVAL'!H70),LEN(TEXT(ABS('OFF_CONVAL'!H70),"0"))&gt;15),TRUE)),1,0)</f>
        <v/>
      </c>
      <c r="I70">
        <f>IF(AND('OFF_CONVAL'!I70&lt;&gt;"",OR(LEN('OFF_CONVAL'!I70)&gt;3,COUNTIF(CL_MONEDAISO,'OFF_CONVAL'!I70)=0)),1,0)</f>
        <v/>
      </c>
      <c r="J70">
        <f>IF(AND('OFF_CONVAL'!J70&lt;&gt;"",IF(ISNUMBER('OFF_CONVAL'!J70),OR('OFF_CONVAL'!J70&lt;&gt;INT('OFF_CONVAL'!J70),LEN(TEXT(ABS('OFF_CONVAL'!J70),"0"))&gt;15),TRUE)),1,0)</f>
        <v/>
      </c>
      <c r="K70">
        <f>IF(AND('OFF_CONVAL'!K70&lt;&gt;"",OR(LEN('OFF_CONVAL'!K70)&gt;3,COUNTIF(CL_MONEDAISO,'OFF_CONVAL'!K70)=0)),1,0)</f>
        <v/>
      </c>
      <c r="L70">
        <f>IF(AND('OFF_CONVAL'!L70&lt;&gt;"",IF(ISNUMBER('OFF_CONVAL'!L70),OR('OFF_CONVAL'!L70&lt;&gt;INT('OFF_CONVAL'!L70),LEN(TEXT(ABS('OFF_CONVAL'!L70),"0"))&gt;5),TRUE)),1,0)</f>
        <v/>
      </c>
      <c r="M70">
        <f>IF(AND('OFF_CONVAL'!M70&lt;&gt;"",IF(ISNUMBER('OFF_CONVAL'!M70),OR('OFF_CONVAL'!M70&lt;&gt;INT('OFF_CONVAL'!M70),LEN(TEXT(ABS('OFF_CONVAL'!M70),"0"))&gt;5),TRUE)),1,0)</f>
        <v/>
      </c>
      <c r="N70">
        <f>IF(AND('OFF_CONVAL'!N70&lt;&gt;"",LEN('OFF_CONVAL'!N70)&gt;20),1,0)</f>
        <v/>
      </c>
      <c r="O70">
        <f>IF(AND('OFF_CONVAL'!O70&lt;&gt;"",IF(ISNUMBER('OFF_CONVAL'!O70),OR('OFF_CONVAL'!O70&lt;&gt;INT('OFF_CONVAL'!O70),LEN(TEXT(ABS('OFF_CONVAL'!O70),"0"))&gt;15),TRUE)),1,0)</f>
        <v/>
      </c>
      <c r="P70">
        <f>IF(AND('OFF_CONVAL'!P70&lt;&gt;"",OR(LEN('OFF_CONVAL'!P70)&gt;3,COUNTIF(CL_MONEDAISO,'OFF_CONVAL'!P70)=0)),1,0)</f>
        <v/>
      </c>
      <c r="Q70">
        <f>IF(AND('OFF_CONVAL'!Q70&lt;&gt;"",NOT(ISNUMBER('OFF_CONVAL'!Q70))),1,0)</f>
        <v/>
      </c>
    </row>
    <row r="71">
      <c r="A71">
        <f>IF(AND('OFF_CONVAL'!A71&lt;&gt;"",NOT(ISNUMBER('OFF_CONVAL'!A71))),1,0)</f>
        <v/>
      </c>
      <c r="B71">
        <f>IF(AND('OFF_CONVAL'!B71&lt;&gt;"",LEN('OFF_CONVAL'!B71)&gt;20),1,0)</f>
        <v/>
      </c>
      <c r="C71">
        <f>IF(AND('OFF_CONVAL'!C71&lt;&gt;"",OR(LEN('OFF_CONVAL'!C71)&gt;1,COUNTIF(CL_POSICIONOPERACION_V4,'OFF_CONVAL'!C71)=0)),1,0)</f>
        <v/>
      </c>
      <c r="D71">
        <f>IF(AND('OFF_CONVAL'!D71&lt;&gt;"",OR(LEN('OFF_CONVAL'!D71)&gt;2,COUNTIF(CL_OBJ_OPE_V1,'OFF_CONVAL'!D71)=0)),1,0)</f>
        <v/>
      </c>
      <c r="E71">
        <f>IF(AND('OFF_CONVAL'!E71&lt;&gt;"",COUNTIF(CL_PAQ_EST_DER_V1,'OFF_CONVAL'!E71)=0),1,0)</f>
        <v/>
      </c>
      <c r="F71">
        <f>IF(AND('OFF_CONVAL'!F71&lt;&gt;"",LEN('OFF_CONVAL'!F71)&gt;20),1,0)</f>
        <v/>
      </c>
      <c r="G71">
        <f>IF(AND('OFF_CONVAL'!G71&lt;&gt;"",IF(ISNUMBER('OFF_CONVAL'!G71),OR('OFF_CONVAL'!G71&lt;&gt;INT('OFF_CONVAL'!G71),LEN(TEXT(ABS('OFF_CONVAL'!G71),"0"))&gt;3),TRUE)),1,0)</f>
        <v/>
      </c>
      <c r="H71">
        <f>IF(AND('OFF_CONVAL'!H71&lt;&gt;"",IF(ISNUMBER('OFF_CONVAL'!H71),OR('OFF_CONVAL'!H71&lt;&gt;INT('OFF_CONVAL'!H71),LEN(TEXT(ABS('OFF_CONVAL'!H71),"0"))&gt;15),TRUE)),1,0)</f>
        <v/>
      </c>
      <c r="I71">
        <f>IF(AND('OFF_CONVAL'!I71&lt;&gt;"",OR(LEN('OFF_CONVAL'!I71)&gt;3,COUNTIF(CL_MONEDAISO,'OFF_CONVAL'!I71)=0)),1,0)</f>
        <v/>
      </c>
      <c r="J71">
        <f>IF(AND('OFF_CONVAL'!J71&lt;&gt;"",IF(ISNUMBER('OFF_CONVAL'!J71),OR('OFF_CONVAL'!J71&lt;&gt;INT('OFF_CONVAL'!J71),LEN(TEXT(ABS('OFF_CONVAL'!J71),"0"))&gt;15),TRUE)),1,0)</f>
        <v/>
      </c>
      <c r="K71">
        <f>IF(AND('OFF_CONVAL'!K71&lt;&gt;"",OR(LEN('OFF_CONVAL'!K71)&gt;3,COUNTIF(CL_MONEDAISO,'OFF_CONVAL'!K71)=0)),1,0)</f>
        <v/>
      </c>
      <c r="L71">
        <f>IF(AND('OFF_CONVAL'!L71&lt;&gt;"",IF(ISNUMBER('OFF_CONVAL'!L71),OR('OFF_CONVAL'!L71&lt;&gt;INT('OFF_CONVAL'!L71),LEN(TEXT(ABS('OFF_CONVAL'!L71),"0"))&gt;5),TRUE)),1,0)</f>
        <v/>
      </c>
      <c r="M71">
        <f>IF(AND('OFF_CONVAL'!M71&lt;&gt;"",IF(ISNUMBER('OFF_CONVAL'!M71),OR('OFF_CONVAL'!M71&lt;&gt;INT('OFF_CONVAL'!M71),LEN(TEXT(ABS('OFF_CONVAL'!M71),"0"))&gt;5),TRUE)),1,0)</f>
        <v/>
      </c>
      <c r="N71">
        <f>IF(AND('OFF_CONVAL'!N71&lt;&gt;"",LEN('OFF_CONVAL'!N71)&gt;20),1,0)</f>
        <v/>
      </c>
      <c r="O71">
        <f>IF(AND('OFF_CONVAL'!O71&lt;&gt;"",IF(ISNUMBER('OFF_CONVAL'!O71),OR('OFF_CONVAL'!O71&lt;&gt;INT('OFF_CONVAL'!O71),LEN(TEXT(ABS('OFF_CONVAL'!O71),"0"))&gt;15),TRUE)),1,0)</f>
        <v/>
      </c>
      <c r="P71">
        <f>IF(AND('OFF_CONVAL'!P71&lt;&gt;"",OR(LEN('OFF_CONVAL'!P71)&gt;3,COUNTIF(CL_MONEDAISO,'OFF_CONVAL'!P71)=0)),1,0)</f>
        <v/>
      </c>
      <c r="Q71">
        <f>IF(AND('OFF_CONVAL'!Q71&lt;&gt;"",NOT(ISNUMBER('OFF_CONVAL'!Q71))),1,0)</f>
        <v/>
      </c>
    </row>
    <row r="72">
      <c r="A72">
        <f>IF(AND('OFF_CONVAL'!A72&lt;&gt;"",NOT(ISNUMBER('OFF_CONVAL'!A72))),1,0)</f>
        <v/>
      </c>
      <c r="B72">
        <f>IF(AND('OFF_CONVAL'!B72&lt;&gt;"",LEN('OFF_CONVAL'!B72)&gt;20),1,0)</f>
        <v/>
      </c>
      <c r="C72">
        <f>IF(AND('OFF_CONVAL'!C72&lt;&gt;"",OR(LEN('OFF_CONVAL'!C72)&gt;1,COUNTIF(CL_POSICIONOPERACION_V4,'OFF_CONVAL'!C72)=0)),1,0)</f>
        <v/>
      </c>
      <c r="D72">
        <f>IF(AND('OFF_CONVAL'!D72&lt;&gt;"",OR(LEN('OFF_CONVAL'!D72)&gt;2,COUNTIF(CL_OBJ_OPE_V1,'OFF_CONVAL'!D72)=0)),1,0)</f>
        <v/>
      </c>
      <c r="E72">
        <f>IF(AND('OFF_CONVAL'!E72&lt;&gt;"",COUNTIF(CL_PAQ_EST_DER_V1,'OFF_CONVAL'!E72)=0),1,0)</f>
        <v/>
      </c>
      <c r="F72">
        <f>IF(AND('OFF_CONVAL'!F72&lt;&gt;"",LEN('OFF_CONVAL'!F72)&gt;20),1,0)</f>
        <v/>
      </c>
      <c r="G72">
        <f>IF(AND('OFF_CONVAL'!G72&lt;&gt;"",IF(ISNUMBER('OFF_CONVAL'!G72),OR('OFF_CONVAL'!G72&lt;&gt;INT('OFF_CONVAL'!G72),LEN(TEXT(ABS('OFF_CONVAL'!G72),"0"))&gt;3),TRUE)),1,0)</f>
        <v/>
      </c>
      <c r="H72">
        <f>IF(AND('OFF_CONVAL'!H72&lt;&gt;"",IF(ISNUMBER('OFF_CONVAL'!H72),OR('OFF_CONVAL'!H72&lt;&gt;INT('OFF_CONVAL'!H72),LEN(TEXT(ABS('OFF_CONVAL'!H72),"0"))&gt;15),TRUE)),1,0)</f>
        <v/>
      </c>
      <c r="I72">
        <f>IF(AND('OFF_CONVAL'!I72&lt;&gt;"",OR(LEN('OFF_CONVAL'!I72)&gt;3,COUNTIF(CL_MONEDAISO,'OFF_CONVAL'!I72)=0)),1,0)</f>
        <v/>
      </c>
      <c r="J72">
        <f>IF(AND('OFF_CONVAL'!J72&lt;&gt;"",IF(ISNUMBER('OFF_CONVAL'!J72),OR('OFF_CONVAL'!J72&lt;&gt;INT('OFF_CONVAL'!J72),LEN(TEXT(ABS('OFF_CONVAL'!J72),"0"))&gt;15),TRUE)),1,0)</f>
        <v/>
      </c>
      <c r="K72">
        <f>IF(AND('OFF_CONVAL'!K72&lt;&gt;"",OR(LEN('OFF_CONVAL'!K72)&gt;3,COUNTIF(CL_MONEDAISO,'OFF_CONVAL'!K72)=0)),1,0)</f>
        <v/>
      </c>
      <c r="L72">
        <f>IF(AND('OFF_CONVAL'!L72&lt;&gt;"",IF(ISNUMBER('OFF_CONVAL'!L72),OR('OFF_CONVAL'!L72&lt;&gt;INT('OFF_CONVAL'!L72),LEN(TEXT(ABS('OFF_CONVAL'!L72),"0"))&gt;5),TRUE)),1,0)</f>
        <v/>
      </c>
      <c r="M72">
        <f>IF(AND('OFF_CONVAL'!M72&lt;&gt;"",IF(ISNUMBER('OFF_CONVAL'!M72),OR('OFF_CONVAL'!M72&lt;&gt;INT('OFF_CONVAL'!M72),LEN(TEXT(ABS('OFF_CONVAL'!M72),"0"))&gt;5),TRUE)),1,0)</f>
        <v/>
      </c>
      <c r="N72">
        <f>IF(AND('OFF_CONVAL'!N72&lt;&gt;"",LEN('OFF_CONVAL'!N72)&gt;20),1,0)</f>
        <v/>
      </c>
      <c r="O72">
        <f>IF(AND('OFF_CONVAL'!O72&lt;&gt;"",IF(ISNUMBER('OFF_CONVAL'!O72),OR('OFF_CONVAL'!O72&lt;&gt;INT('OFF_CONVAL'!O72),LEN(TEXT(ABS('OFF_CONVAL'!O72),"0"))&gt;15),TRUE)),1,0)</f>
        <v/>
      </c>
      <c r="P72">
        <f>IF(AND('OFF_CONVAL'!P72&lt;&gt;"",OR(LEN('OFF_CONVAL'!P72)&gt;3,COUNTIF(CL_MONEDAISO,'OFF_CONVAL'!P72)=0)),1,0)</f>
        <v/>
      </c>
      <c r="Q72">
        <f>IF(AND('OFF_CONVAL'!Q72&lt;&gt;"",NOT(ISNUMBER('OFF_CONVAL'!Q72))),1,0)</f>
        <v/>
      </c>
    </row>
    <row r="73">
      <c r="A73">
        <f>IF(AND('OFF_CONVAL'!A73&lt;&gt;"",NOT(ISNUMBER('OFF_CONVAL'!A73))),1,0)</f>
        <v/>
      </c>
      <c r="B73">
        <f>IF(AND('OFF_CONVAL'!B73&lt;&gt;"",LEN('OFF_CONVAL'!B73)&gt;20),1,0)</f>
        <v/>
      </c>
      <c r="C73">
        <f>IF(AND('OFF_CONVAL'!C73&lt;&gt;"",OR(LEN('OFF_CONVAL'!C73)&gt;1,COUNTIF(CL_POSICIONOPERACION_V4,'OFF_CONVAL'!C73)=0)),1,0)</f>
        <v/>
      </c>
      <c r="D73">
        <f>IF(AND('OFF_CONVAL'!D73&lt;&gt;"",OR(LEN('OFF_CONVAL'!D73)&gt;2,COUNTIF(CL_OBJ_OPE_V1,'OFF_CONVAL'!D73)=0)),1,0)</f>
        <v/>
      </c>
      <c r="E73">
        <f>IF(AND('OFF_CONVAL'!E73&lt;&gt;"",COUNTIF(CL_PAQ_EST_DER_V1,'OFF_CONVAL'!E73)=0),1,0)</f>
        <v/>
      </c>
      <c r="F73">
        <f>IF(AND('OFF_CONVAL'!F73&lt;&gt;"",LEN('OFF_CONVAL'!F73)&gt;20),1,0)</f>
        <v/>
      </c>
      <c r="G73">
        <f>IF(AND('OFF_CONVAL'!G73&lt;&gt;"",IF(ISNUMBER('OFF_CONVAL'!G73),OR('OFF_CONVAL'!G73&lt;&gt;INT('OFF_CONVAL'!G73),LEN(TEXT(ABS('OFF_CONVAL'!G73),"0"))&gt;3),TRUE)),1,0)</f>
        <v/>
      </c>
      <c r="H73">
        <f>IF(AND('OFF_CONVAL'!H73&lt;&gt;"",IF(ISNUMBER('OFF_CONVAL'!H73),OR('OFF_CONVAL'!H73&lt;&gt;INT('OFF_CONVAL'!H73),LEN(TEXT(ABS('OFF_CONVAL'!H73),"0"))&gt;15),TRUE)),1,0)</f>
        <v/>
      </c>
      <c r="I73">
        <f>IF(AND('OFF_CONVAL'!I73&lt;&gt;"",OR(LEN('OFF_CONVAL'!I73)&gt;3,COUNTIF(CL_MONEDAISO,'OFF_CONVAL'!I73)=0)),1,0)</f>
        <v/>
      </c>
      <c r="J73">
        <f>IF(AND('OFF_CONVAL'!J73&lt;&gt;"",IF(ISNUMBER('OFF_CONVAL'!J73),OR('OFF_CONVAL'!J73&lt;&gt;INT('OFF_CONVAL'!J73),LEN(TEXT(ABS('OFF_CONVAL'!J73),"0"))&gt;15),TRUE)),1,0)</f>
        <v/>
      </c>
      <c r="K73">
        <f>IF(AND('OFF_CONVAL'!K73&lt;&gt;"",OR(LEN('OFF_CONVAL'!K73)&gt;3,COUNTIF(CL_MONEDAISO,'OFF_CONVAL'!K73)=0)),1,0)</f>
        <v/>
      </c>
      <c r="L73">
        <f>IF(AND('OFF_CONVAL'!L73&lt;&gt;"",IF(ISNUMBER('OFF_CONVAL'!L73),OR('OFF_CONVAL'!L73&lt;&gt;INT('OFF_CONVAL'!L73),LEN(TEXT(ABS('OFF_CONVAL'!L73),"0"))&gt;5),TRUE)),1,0)</f>
        <v/>
      </c>
      <c r="M73">
        <f>IF(AND('OFF_CONVAL'!M73&lt;&gt;"",IF(ISNUMBER('OFF_CONVAL'!M73),OR('OFF_CONVAL'!M73&lt;&gt;INT('OFF_CONVAL'!M73),LEN(TEXT(ABS('OFF_CONVAL'!M73),"0"))&gt;5),TRUE)),1,0)</f>
        <v/>
      </c>
      <c r="N73">
        <f>IF(AND('OFF_CONVAL'!N73&lt;&gt;"",LEN('OFF_CONVAL'!N73)&gt;20),1,0)</f>
        <v/>
      </c>
      <c r="O73">
        <f>IF(AND('OFF_CONVAL'!O73&lt;&gt;"",IF(ISNUMBER('OFF_CONVAL'!O73),OR('OFF_CONVAL'!O73&lt;&gt;INT('OFF_CONVAL'!O73),LEN(TEXT(ABS('OFF_CONVAL'!O73),"0"))&gt;15),TRUE)),1,0)</f>
        <v/>
      </c>
      <c r="P73">
        <f>IF(AND('OFF_CONVAL'!P73&lt;&gt;"",OR(LEN('OFF_CONVAL'!P73)&gt;3,COUNTIF(CL_MONEDAISO,'OFF_CONVAL'!P73)=0)),1,0)</f>
        <v/>
      </c>
      <c r="Q73">
        <f>IF(AND('OFF_CONVAL'!Q73&lt;&gt;"",NOT(ISNUMBER('OFF_CONVAL'!Q73))),1,0)</f>
        <v/>
      </c>
    </row>
    <row r="74">
      <c r="A74">
        <f>IF(AND('OFF_CONVAL'!A74&lt;&gt;"",NOT(ISNUMBER('OFF_CONVAL'!A74))),1,0)</f>
        <v/>
      </c>
      <c r="B74">
        <f>IF(AND('OFF_CONVAL'!B74&lt;&gt;"",LEN('OFF_CONVAL'!B74)&gt;20),1,0)</f>
        <v/>
      </c>
      <c r="C74">
        <f>IF(AND('OFF_CONVAL'!C74&lt;&gt;"",OR(LEN('OFF_CONVAL'!C74)&gt;1,COUNTIF(CL_POSICIONOPERACION_V4,'OFF_CONVAL'!C74)=0)),1,0)</f>
        <v/>
      </c>
      <c r="D74">
        <f>IF(AND('OFF_CONVAL'!D74&lt;&gt;"",OR(LEN('OFF_CONVAL'!D74)&gt;2,COUNTIF(CL_OBJ_OPE_V1,'OFF_CONVAL'!D74)=0)),1,0)</f>
        <v/>
      </c>
      <c r="E74">
        <f>IF(AND('OFF_CONVAL'!E74&lt;&gt;"",COUNTIF(CL_PAQ_EST_DER_V1,'OFF_CONVAL'!E74)=0),1,0)</f>
        <v/>
      </c>
      <c r="F74">
        <f>IF(AND('OFF_CONVAL'!F74&lt;&gt;"",LEN('OFF_CONVAL'!F74)&gt;20),1,0)</f>
        <v/>
      </c>
      <c r="G74">
        <f>IF(AND('OFF_CONVAL'!G74&lt;&gt;"",IF(ISNUMBER('OFF_CONVAL'!G74),OR('OFF_CONVAL'!G74&lt;&gt;INT('OFF_CONVAL'!G74),LEN(TEXT(ABS('OFF_CONVAL'!G74),"0"))&gt;3),TRUE)),1,0)</f>
        <v/>
      </c>
      <c r="H74">
        <f>IF(AND('OFF_CONVAL'!H74&lt;&gt;"",IF(ISNUMBER('OFF_CONVAL'!H74),OR('OFF_CONVAL'!H74&lt;&gt;INT('OFF_CONVAL'!H74),LEN(TEXT(ABS('OFF_CONVAL'!H74),"0"))&gt;15),TRUE)),1,0)</f>
        <v/>
      </c>
      <c r="I74">
        <f>IF(AND('OFF_CONVAL'!I74&lt;&gt;"",OR(LEN('OFF_CONVAL'!I74)&gt;3,COUNTIF(CL_MONEDAISO,'OFF_CONVAL'!I74)=0)),1,0)</f>
        <v/>
      </c>
      <c r="J74">
        <f>IF(AND('OFF_CONVAL'!J74&lt;&gt;"",IF(ISNUMBER('OFF_CONVAL'!J74),OR('OFF_CONVAL'!J74&lt;&gt;INT('OFF_CONVAL'!J74),LEN(TEXT(ABS('OFF_CONVAL'!J74),"0"))&gt;15),TRUE)),1,0)</f>
        <v/>
      </c>
      <c r="K74">
        <f>IF(AND('OFF_CONVAL'!K74&lt;&gt;"",OR(LEN('OFF_CONVAL'!K74)&gt;3,COUNTIF(CL_MONEDAISO,'OFF_CONVAL'!K74)=0)),1,0)</f>
        <v/>
      </c>
      <c r="L74">
        <f>IF(AND('OFF_CONVAL'!L74&lt;&gt;"",IF(ISNUMBER('OFF_CONVAL'!L74),OR('OFF_CONVAL'!L74&lt;&gt;INT('OFF_CONVAL'!L74),LEN(TEXT(ABS('OFF_CONVAL'!L74),"0"))&gt;5),TRUE)),1,0)</f>
        <v/>
      </c>
      <c r="M74">
        <f>IF(AND('OFF_CONVAL'!M74&lt;&gt;"",IF(ISNUMBER('OFF_CONVAL'!M74),OR('OFF_CONVAL'!M74&lt;&gt;INT('OFF_CONVAL'!M74),LEN(TEXT(ABS('OFF_CONVAL'!M74),"0"))&gt;5),TRUE)),1,0)</f>
        <v/>
      </c>
      <c r="N74">
        <f>IF(AND('OFF_CONVAL'!N74&lt;&gt;"",LEN('OFF_CONVAL'!N74)&gt;20),1,0)</f>
        <v/>
      </c>
      <c r="O74">
        <f>IF(AND('OFF_CONVAL'!O74&lt;&gt;"",IF(ISNUMBER('OFF_CONVAL'!O74),OR('OFF_CONVAL'!O74&lt;&gt;INT('OFF_CONVAL'!O74),LEN(TEXT(ABS('OFF_CONVAL'!O74),"0"))&gt;15),TRUE)),1,0)</f>
        <v/>
      </c>
      <c r="P74">
        <f>IF(AND('OFF_CONVAL'!P74&lt;&gt;"",OR(LEN('OFF_CONVAL'!P74)&gt;3,COUNTIF(CL_MONEDAISO,'OFF_CONVAL'!P74)=0)),1,0)</f>
        <v/>
      </c>
      <c r="Q74">
        <f>IF(AND('OFF_CONVAL'!Q74&lt;&gt;"",NOT(ISNUMBER('OFF_CONVAL'!Q74))),1,0)</f>
        <v/>
      </c>
    </row>
    <row r="75">
      <c r="A75">
        <f>IF(AND('OFF_CONVAL'!A75&lt;&gt;"",NOT(ISNUMBER('OFF_CONVAL'!A75))),1,0)</f>
        <v/>
      </c>
      <c r="B75">
        <f>IF(AND('OFF_CONVAL'!B75&lt;&gt;"",LEN('OFF_CONVAL'!B75)&gt;20),1,0)</f>
        <v/>
      </c>
      <c r="C75">
        <f>IF(AND('OFF_CONVAL'!C75&lt;&gt;"",OR(LEN('OFF_CONVAL'!C75)&gt;1,COUNTIF(CL_POSICIONOPERACION_V4,'OFF_CONVAL'!C75)=0)),1,0)</f>
        <v/>
      </c>
      <c r="D75">
        <f>IF(AND('OFF_CONVAL'!D75&lt;&gt;"",OR(LEN('OFF_CONVAL'!D75)&gt;2,COUNTIF(CL_OBJ_OPE_V1,'OFF_CONVAL'!D75)=0)),1,0)</f>
        <v/>
      </c>
      <c r="E75">
        <f>IF(AND('OFF_CONVAL'!E75&lt;&gt;"",COUNTIF(CL_PAQ_EST_DER_V1,'OFF_CONVAL'!E75)=0),1,0)</f>
        <v/>
      </c>
      <c r="F75">
        <f>IF(AND('OFF_CONVAL'!F75&lt;&gt;"",LEN('OFF_CONVAL'!F75)&gt;20),1,0)</f>
        <v/>
      </c>
      <c r="G75">
        <f>IF(AND('OFF_CONVAL'!G75&lt;&gt;"",IF(ISNUMBER('OFF_CONVAL'!G75),OR('OFF_CONVAL'!G75&lt;&gt;INT('OFF_CONVAL'!G75),LEN(TEXT(ABS('OFF_CONVAL'!G75),"0"))&gt;3),TRUE)),1,0)</f>
        <v/>
      </c>
      <c r="H75">
        <f>IF(AND('OFF_CONVAL'!H75&lt;&gt;"",IF(ISNUMBER('OFF_CONVAL'!H75),OR('OFF_CONVAL'!H75&lt;&gt;INT('OFF_CONVAL'!H75),LEN(TEXT(ABS('OFF_CONVAL'!H75),"0"))&gt;15),TRUE)),1,0)</f>
        <v/>
      </c>
      <c r="I75">
        <f>IF(AND('OFF_CONVAL'!I75&lt;&gt;"",OR(LEN('OFF_CONVAL'!I75)&gt;3,COUNTIF(CL_MONEDAISO,'OFF_CONVAL'!I75)=0)),1,0)</f>
        <v/>
      </c>
      <c r="J75">
        <f>IF(AND('OFF_CONVAL'!J75&lt;&gt;"",IF(ISNUMBER('OFF_CONVAL'!J75),OR('OFF_CONVAL'!J75&lt;&gt;INT('OFF_CONVAL'!J75),LEN(TEXT(ABS('OFF_CONVAL'!J75),"0"))&gt;15),TRUE)),1,0)</f>
        <v/>
      </c>
      <c r="K75">
        <f>IF(AND('OFF_CONVAL'!K75&lt;&gt;"",OR(LEN('OFF_CONVAL'!K75)&gt;3,COUNTIF(CL_MONEDAISO,'OFF_CONVAL'!K75)=0)),1,0)</f>
        <v/>
      </c>
      <c r="L75">
        <f>IF(AND('OFF_CONVAL'!L75&lt;&gt;"",IF(ISNUMBER('OFF_CONVAL'!L75),OR('OFF_CONVAL'!L75&lt;&gt;INT('OFF_CONVAL'!L75),LEN(TEXT(ABS('OFF_CONVAL'!L75),"0"))&gt;5),TRUE)),1,0)</f>
        <v/>
      </c>
      <c r="M75">
        <f>IF(AND('OFF_CONVAL'!M75&lt;&gt;"",IF(ISNUMBER('OFF_CONVAL'!M75),OR('OFF_CONVAL'!M75&lt;&gt;INT('OFF_CONVAL'!M75),LEN(TEXT(ABS('OFF_CONVAL'!M75),"0"))&gt;5),TRUE)),1,0)</f>
        <v/>
      </c>
      <c r="N75">
        <f>IF(AND('OFF_CONVAL'!N75&lt;&gt;"",LEN('OFF_CONVAL'!N75)&gt;20),1,0)</f>
        <v/>
      </c>
      <c r="O75">
        <f>IF(AND('OFF_CONVAL'!O75&lt;&gt;"",IF(ISNUMBER('OFF_CONVAL'!O75),OR('OFF_CONVAL'!O75&lt;&gt;INT('OFF_CONVAL'!O75),LEN(TEXT(ABS('OFF_CONVAL'!O75),"0"))&gt;15),TRUE)),1,0)</f>
        <v/>
      </c>
      <c r="P75">
        <f>IF(AND('OFF_CONVAL'!P75&lt;&gt;"",OR(LEN('OFF_CONVAL'!P75)&gt;3,COUNTIF(CL_MONEDAISO,'OFF_CONVAL'!P75)=0)),1,0)</f>
        <v/>
      </c>
      <c r="Q75">
        <f>IF(AND('OFF_CONVAL'!Q75&lt;&gt;"",NOT(ISNUMBER('OFF_CONVAL'!Q75))),1,0)</f>
        <v/>
      </c>
    </row>
    <row r="76">
      <c r="A76">
        <f>IF(AND('OFF_CONVAL'!A76&lt;&gt;"",NOT(ISNUMBER('OFF_CONVAL'!A76))),1,0)</f>
        <v/>
      </c>
      <c r="B76">
        <f>IF(AND('OFF_CONVAL'!B76&lt;&gt;"",LEN('OFF_CONVAL'!B76)&gt;20),1,0)</f>
        <v/>
      </c>
      <c r="C76">
        <f>IF(AND('OFF_CONVAL'!C76&lt;&gt;"",OR(LEN('OFF_CONVAL'!C76)&gt;1,COUNTIF(CL_POSICIONOPERACION_V4,'OFF_CONVAL'!C76)=0)),1,0)</f>
        <v/>
      </c>
      <c r="D76">
        <f>IF(AND('OFF_CONVAL'!D76&lt;&gt;"",OR(LEN('OFF_CONVAL'!D76)&gt;2,COUNTIF(CL_OBJ_OPE_V1,'OFF_CONVAL'!D76)=0)),1,0)</f>
        <v/>
      </c>
      <c r="E76">
        <f>IF(AND('OFF_CONVAL'!E76&lt;&gt;"",COUNTIF(CL_PAQ_EST_DER_V1,'OFF_CONVAL'!E76)=0),1,0)</f>
        <v/>
      </c>
      <c r="F76">
        <f>IF(AND('OFF_CONVAL'!F76&lt;&gt;"",LEN('OFF_CONVAL'!F76)&gt;20),1,0)</f>
        <v/>
      </c>
      <c r="G76">
        <f>IF(AND('OFF_CONVAL'!G76&lt;&gt;"",IF(ISNUMBER('OFF_CONVAL'!G76),OR('OFF_CONVAL'!G76&lt;&gt;INT('OFF_CONVAL'!G76),LEN(TEXT(ABS('OFF_CONVAL'!G76),"0"))&gt;3),TRUE)),1,0)</f>
        <v/>
      </c>
      <c r="H76">
        <f>IF(AND('OFF_CONVAL'!H76&lt;&gt;"",IF(ISNUMBER('OFF_CONVAL'!H76),OR('OFF_CONVAL'!H76&lt;&gt;INT('OFF_CONVAL'!H76),LEN(TEXT(ABS('OFF_CONVAL'!H76),"0"))&gt;15),TRUE)),1,0)</f>
        <v/>
      </c>
      <c r="I76">
        <f>IF(AND('OFF_CONVAL'!I76&lt;&gt;"",OR(LEN('OFF_CONVAL'!I76)&gt;3,COUNTIF(CL_MONEDAISO,'OFF_CONVAL'!I76)=0)),1,0)</f>
        <v/>
      </c>
      <c r="J76">
        <f>IF(AND('OFF_CONVAL'!J76&lt;&gt;"",IF(ISNUMBER('OFF_CONVAL'!J76),OR('OFF_CONVAL'!J76&lt;&gt;INT('OFF_CONVAL'!J76),LEN(TEXT(ABS('OFF_CONVAL'!J76),"0"))&gt;15),TRUE)),1,0)</f>
        <v/>
      </c>
      <c r="K76">
        <f>IF(AND('OFF_CONVAL'!K76&lt;&gt;"",OR(LEN('OFF_CONVAL'!K76)&gt;3,COUNTIF(CL_MONEDAISO,'OFF_CONVAL'!K76)=0)),1,0)</f>
        <v/>
      </c>
      <c r="L76">
        <f>IF(AND('OFF_CONVAL'!L76&lt;&gt;"",IF(ISNUMBER('OFF_CONVAL'!L76),OR('OFF_CONVAL'!L76&lt;&gt;INT('OFF_CONVAL'!L76),LEN(TEXT(ABS('OFF_CONVAL'!L76),"0"))&gt;5),TRUE)),1,0)</f>
        <v/>
      </c>
      <c r="M76">
        <f>IF(AND('OFF_CONVAL'!M76&lt;&gt;"",IF(ISNUMBER('OFF_CONVAL'!M76),OR('OFF_CONVAL'!M76&lt;&gt;INT('OFF_CONVAL'!M76),LEN(TEXT(ABS('OFF_CONVAL'!M76),"0"))&gt;5),TRUE)),1,0)</f>
        <v/>
      </c>
      <c r="N76">
        <f>IF(AND('OFF_CONVAL'!N76&lt;&gt;"",LEN('OFF_CONVAL'!N76)&gt;20),1,0)</f>
        <v/>
      </c>
      <c r="O76">
        <f>IF(AND('OFF_CONVAL'!O76&lt;&gt;"",IF(ISNUMBER('OFF_CONVAL'!O76),OR('OFF_CONVAL'!O76&lt;&gt;INT('OFF_CONVAL'!O76),LEN(TEXT(ABS('OFF_CONVAL'!O76),"0"))&gt;15),TRUE)),1,0)</f>
        <v/>
      </c>
      <c r="P76">
        <f>IF(AND('OFF_CONVAL'!P76&lt;&gt;"",OR(LEN('OFF_CONVAL'!P76)&gt;3,COUNTIF(CL_MONEDAISO,'OFF_CONVAL'!P76)=0)),1,0)</f>
        <v/>
      </c>
      <c r="Q76">
        <f>IF(AND('OFF_CONVAL'!Q76&lt;&gt;"",NOT(ISNUMBER('OFF_CONVAL'!Q76))),1,0)</f>
        <v/>
      </c>
    </row>
    <row r="77">
      <c r="A77">
        <f>IF(AND('OFF_CONVAL'!A77&lt;&gt;"",NOT(ISNUMBER('OFF_CONVAL'!A77))),1,0)</f>
        <v/>
      </c>
      <c r="B77">
        <f>IF(AND('OFF_CONVAL'!B77&lt;&gt;"",LEN('OFF_CONVAL'!B77)&gt;20),1,0)</f>
        <v/>
      </c>
      <c r="C77">
        <f>IF(AND('OFF_CONVAL'!C77&lt;&gt;"",OR(LEN('OFF_CONVAL'!C77)&gt;1,COUNTIF(CL_POSICIONOPERACION_V4,'OFF_CONVAL'!C77)=0)),1,0)</f>
        <v/>
      </c>
      <c r="D77">
        <f>IF(AND('OFF_CONVAL'!D77&lt;&gt;"",OR(LEN('OFF_CONVAL'!D77)&gt;2,COUNTIF(CL_OBJ_OPE_V1,'OFF_CONVAL'!D77)=0)),1,0)</f>
        <v/>
      </c>
      <c r="E77">
        <f>IF(AND('OFF_CONVAL'!E77&lt;&gt;"",COUNTIF(CL_PAQ_EST_DER_V1,'OFF_CONVAL'!E77)=0),1,0)</f>
        <v/>
      </c>
      <c r="F77">
        <f>IF(AND('OFF_CONVAL'!F77&lt;&gt;"",LEN('OFF_CONVAL'!F77)&gt;20),1,0)</f>
        <v/>
      </c>
      <c r="G77">
        <f>IF(AND('OFF_CONVAL'!G77&lt;&gt;"",IF(ISNUMBER('OFF_CONVAL'!G77),OR('OFF_CONVAL'!G77&lt;&gt;INT('OFF_CONVAL'!G77),LEN(TEXT(ABS('OFF_CONVAL'!G77),"0"))&gt;3),TRUE)),1,0)</f>
        <v/>
      </c>
      <c r="H77">
        <f>IF(AND('OFF_CONVAL'!H77&lt;&gt;"",IF(ISNUMBER('OFF_CONVAL'!H77),OR('OFF_CONVAL'!H77&lt;&gt;INT('OFF_CONVAL'!H77),LEN(TEXT(ABS('OFF_CONVAL'!H77),"0"))&gt;15),TRUE)),1,0)</f>
        <v/>
      </c>
      <c r="I77">
        <f>IF(AND('OFF_CONVAL'!I77&lt;&gt;"",OR(LEN('OFF_CONVAL'!I77)&gt;3,COUNTIF(CL_MONEDAISO,'OFF_CONVAL'!I77)=0)),1,0)</f>
        <v/>
      </c>
      <c r="J77">
        <f>IF(AND('OFF_CONVAL'!J77&lt;&gt;"",IF(ISNUMBER('OFF_CONVAL'!J77),OR('OFF_CONVAL'!J77&lt;&gt;INT('OFF_CONVAL'!J77),LEN(TEXT(ABS('OFF_CONVAL'!J77),"0"))&gt;15),TRUE)),1,0)</f>
        <v/>
      </c>
      <c r="K77">
        <f>IF(AND('OFF_CONVAL'!K77&lt;&gt;"",OR(LEN('OFF_CONVAL'!K77)&gt;3,COUNTIF(CL_MONEDAISO,'OFF_CONVAL'!K77)=0)),1,0)</f>
        <v/>
      </c>
      <c r="L77">
        <f>IF(AND('OFF_CONVAL'!L77&lt;&gt;"",IF(ISNUMBER('OFF_CONVAL'!L77),OR('OFF_CONVAL'!L77&lt;&gt;INT('OFF_CONVAL'!L77),LEN(TEXT(ABS('OFF_CONVAL'!L77),"0"))&gt;5),TRUE)),1,0)</f>
        <v/>
      </c>
      <c r="M77">
        <f>IF(AND('OFF_CONVAL'!M77&lt;&gt;"",IF(ISNUMBER('OFF_CONVAL'!M77),OR('OFF_CONVAL'!M77&lt;&gt;INT('OFF_CONVAL'!M77),LEN(TEXT(ABS('OFF_CONVAL'!M77),"0"))&gt;5),TRUE)),1,0)</f>
        <v/>
      </c>
      <c r="N77">
        <f>IF(AND('OFF_CONVAL'!N77&lt;&gt;"",LEN('OFF_CONVAL'!N77)&gt;20),1,0)</f>
        <v/>
      </c>
      <c r="O77">
        <f>IF(AND('OFF_CONVAL'!O77&lt;&gt;"",IF(ISNUMBER('OFF_CONVAL'!O77),OR('OFF_CONVAL'!O77&lt;&gt;INT('OFF_CONVAL'!O77),LEN(TEXT(ABS('OFF_CONVAL'!O77),"0"))&gt;15),TRUE)),1,0)</f>
        <v/>
      </c>
      <c r="P77">
        <f>IF(AND('OFF_CONVAL'!P77&lt;&gt;"",OR(LEN('OFF_CONVAL'!P77)&gt;3,COUNTIF(CL_MONEDAISO,'OFF_CONVAL'!P77)=0)),1,0)</f>
        <v/>
      </c>
      <c r="Q77">
        <f>IF(AND('OFF_CONVAL'!Q77&lt;&gt;"",NOT(ISNUMBER('OFF_CONVAL'!Q77))),1,0)</f>
        <v/>
      </c>
    </row>
    <row r="78">
      <c r="A78">
        <f>IF(AND('OFF_CONVAL'!A78&lt;&gt;"",NOT(ISNUMBER('OFF_CONVAL'!A78))),1,0)</f>
        <v/>
      </c>
      <c r="B78">
        <f>IF(AND('OFF_CONVAL'!B78&lt;&gt;"",LEN('OFF_CONVAL'!B78)&gt;20),1,0)</f>
        <v/>
      </c>
      <c r="C78">
        <f>IF(AND('OFF_CONVAL'!C78&lt;&gt;"",OR(LEN('OFF_CONVAL'!C78)&gt;1,COUNTIF(CL_POSICIONOPERACION_V4,'OFF_CONVAL'!C78)=0)),1,0)</f>
        <v/>
      </c>
      <c r="D78">
        <f>IF(AND('OFF_CONVAL'!D78&lt;&gt;"",OR(LEN('OFF_CONVAL'!D78)&gt;2,COUNTIF(CL_OBJ_OPE_V1,'OFF_CONVAL'!D78)=0)),1,0)</f>
        <v/>
      </c>
      <c r="E78">
        <f>IF(AND('OFF_CONVAL'!E78&lt;&gt;"",COUNTIF(CL_PAQ_EST_DER_V1,'OFF_CONVAL'!E78)=0),1,0)</f>
        <v/>
      </c>
      <c r="F78">
        <f>IF(AND('OFF_CONVAL'!F78&lt;&gt;"",LEN('OFF_CONVAL'!F78)&gt;20),1,0)</f>
        <v/>
      </c>
      <c r="G78">
        <f>IF(AND('OFF_CONVAL'!G78&lt;&gt;"",IF(ISNUMBER('OFF_CONVAL'!G78),OR('OFF_CONVAL'!G78&lt;&gt;INT('OFF_CONVAL'!G78),LEN(TEXT(ABS('OFF_CONVAL'!G78),"0"))&gt;3),TRUE)),1,0)</f>
        <v/>
      </c>
      <c r="H78">
        <f>IF(AND('OFF_CONVAL'!H78&lt;&gt;"",IF(ISNUMBER('OFF_CONVAL'!H78),OR('OFF_CONVAL'!H78&lt;&gt;INT('OFF_CONVAL'!H78),LEN(TEXT(ABS('OFF_CONVAL'!H78),"0"))&gt;15),TRUE)),1,0)</f>
        <v/>
      </c>
      <c r="I78">
        <f>IF(AND('OFF_CONVAL'!I78&lt;&gt;"",OR(LEN('OFF_CONVAL'!I78)&gt;3,COUNTIF(CL_MONEDAISO,'OFF_CONVAL'!I78)=0)),1,0)</f>
        <v/>
      </c>
      <c r="J78">
        <f>IF(AND('OFF_CONVAL'!J78&lt;&gt;"",IF(ISNUMBER('OFF_CONVAL'!J78),OR('OFF_CONVAL'!J78&lt;&gt;INT('OFF_CONVAL'!J78),LEN(TEXT(ABS('OFF_CONVAL'!J78),"0"))&gt;15),TRUE)),1,0)</f>
        <v/>
      </c>
      <c r="K78">
        <f>IF(AND('OFF_CONVAL'!K78&lt;&gt;"",OR(LEN('OFF_CONVAL'!K78)&gt;3,COUNTIF(CL_MONEDAISO,'OFF_CONVAL'!K78)=0)),1,0)</f>
        <v/>
      </c>
      <c r="L78">
        <f>IF(AND('OFF_CONVAL'!L78&lt;&gt;"",IF(ISNUMBER('OFF_CONVAL'!L78),OR('OFF_CONVAL'!L78&lt;&gt;INT('OFF_CONVAL'!L78),LEN(TEXT(ABS('OFF_CONVAL'!L78),"0"))&gt;5),TRUE)),1,0)</f>
        <v/>
      </c>
      <c r="M78">
        <f>IF(AND('OFF_CONVAL'!M78&lt;&gt;"",IF(ISNUMBER('OFF_CONVAL'!M78),OR('OFF_CONVAL'!M78&lt;&gt;INT('OFF_CONVAL'!M78),LEN(TEXT(ABS('OFF_CONVAL'!M78),"0"))&gt;5),TRUE)),1,0)</f>
        <v/>
      </c>
      <c r="N78">
        <f>IF(AND('OFF_CONVAL'!N78&lt;&gt;"",LEN('OFF_CONVAL'!N78)&gt;20),1,0)</f>
        <v/>
      </c>
      <c r="O78">
        <f>IF(AND('OFF_CONVAL'!O78&lt;&gt;"",IF(ISNUMBER('OFF_CONVAL'!O78),OR('OFF_CONVAL'!O78&lt;&gt;INT('OFF_CONVAL'!O78),LEN(TEXT(ABS('OFF_CONVAL'!O78),"0"))&gt;15),TRUE)),1,0)</f>
        <v/>
      </c>
      <c r="P78">
        <f>IF(AND('OFF_CONVAL'!P78&lt;&gt;"",OR(LEN('OFF_CONVAL'!P78)&gt;3,COUNTIF(CL_MONEDAISO,'OFF_CONVAL'!P78)=0)),1,0)</f>
        <v/>
      </c>
      <c r="Q78">
        <f>IF(AND('OFF_CONVAL'!Q78&lt;&gt;"",NOT(ISNUMBER('OFF_CONVAL'!Q78))),1,0)</f>
        <v/>
      </c>
    </row>
    <row r="79">
      <c r="A79">
        <f>IF(AND('OFF_CONVAL'!A79&lt;&gt;"",NOT(ISNUMBER('OFF_CONVAL'!A79))),1,0)</f>
        <v/>
      </c>
      <c r="B79">
        <f>IF(AND('OFF_CONVAL'!B79&lt;&gt;"",LEN('OFF_CONVAL'!B79)&gt;20),1,0)</f>
        <v/>
      </c>
      <c r="C79">
        <f>IF(AND('OFF_CONVAL'!C79&lt;&gt;"",OR(LEN('OFF_CONVAL'!C79)&gt;1,COUNTIF(CL_POSICIONOPERACION_V4,'OFF_CONVAL'!C79)=0)),1,0)</f>
        <v/>
      </c>
      <c r="D79">
        <f>IF(AND('OFF_CONVAL'!D79&lt;&gt;"",OR(LEN('OFF_CONVAL'!D79)&gt;2,COUNTIF(CL_OBJ_OPE_V1,'OFF_CONVAL'!D79)=0)),1,0)</f>
        <v/>
      </c>
      <c r="E79">
        <f>IF(AND('OFF_CONVAL'!E79&lt;&gt;"",COUNTIF(CL_PAQ_EST_DER_V1,'OFF_CONVAL'!E79)=0),1,0)</f>
        <v/>
      </c>
      <c r="F79">
        <f>IF(AND('OFF_CONVAL'!F79&lt;&gt;"",LEN('OFF_CONVAL'!F79)&gt;20),1,0)</f>
        <v/>
      </c>
      <c r="G79">
        <f>IF(AND('OFF_CONVAL'!G79&lt;&gt;"",IF(ISNUMBER('OFF_CONVAL'!G79),OR('OFF_CONVAL'!G79&lt;&gt;INT('OFF_CONVAL'!G79),LEN(TEXT(ABS('OFF_CONVAL'!G79),"0"))&gt;3),TRUE)),1,0)</f>
        <v/>
      </c>
      <c r="H79">
        <f>IF(AND('OFF_CONVAL'!H79&lt;&gt;"",IF(ISNUMBER('OFF_CONVAL'!H79),OR('OFF_CONVAL'!H79&lt;&gt;INT('OFF_CONVAL'!H79),LEN(TEXT(ABS('OFF_CONVAL'!H79),"0"))&gt;15),TRUE)),1,0)</f>
        <v/>
      </c>
      <c r="I79">
        <f>IF(AND('OFF_CONVAL'!I79&lt;&gt;"",OR(LEN('OFF_CONVAL'!I79)&gt;3,COUNTIF(CL_MONEDAISO,'OFF_CONVAL'!I79)=0)),1,0)</f>
        <v/>
      </c>
      <c r="J79">
        <f>IF(AND('OFF_CONVAL'!J79&lt;&gt;"",IF(ISNUMBER('OFF_CONVAL'!J79),OR('OFF_CONVAL'!J79&lt;&gt;INT('OFF_CONVAL'!J79),LEN(TEXT(ABS('OFF_CONVAL'!J79),"0"))&gt;15),TRUE)),1,0)</f>
        <v/>
      </c>
      <c r="K79">
        <f>IF(AND('OFF_CONVAL'!K79&lt;&gt;"",OR(LEN('OFF_CONVAL'!K79)&gt;3,COUNTIF(CL_MONEDAISO,'OFF_CONVAL'!K79)=0)),1,0)</f>
        <v/>
      </c>
      <c r="L79">
        <f>IF(AND('OFF_CONVAL'!L79&lt;&gt;"",IF(ISNUMBER('OFF_CONVAL'!L79),OR('OFF_CONVAL'!L79&lt;&gt;INT('OFF_CONVAL'!L79),LEN(TEXT(ABS('OFF_CONVAL'!L79),"0"))&gt;5),TRUE)),1,0)</f>
        <v/>
      </c>
      <c r="M79">
        <f>IF(AND('OFF_CONVAL'!M79&lt;&gt;"",IF(ISNUMBER('OFF_CONVAL'!M79),OR('OFF_CONVAL'!M79&lt;&gt;INT('OFF_CONVAL'!M79),LEN(TEXT(ABS('OFF_CONVAL'!M79),"0"))&gt;5),TRUE)),1,0)</f>
        <v/>
      </c>
      <c r="N79">
        <f>IF(AND('OFF_CONVAL'!N79&lt;&gt;"",LEN('OFF_CONVAL'!N79)&gt;20),1,0)</f>
        <v/>
      </c>
      <c r="O79">
        <f>IF(AND('OFF_CONVAL'!O79&lt;&gt;"",IF(ISNUMBER('OFF_CONVAL'!O79),OR('OFF_CONVAL'!O79&lt;&gt;INT('OFF_CONVAL'!O79),LEN(TEXT(ABS('OFF_CONVAL'!O79),"0"))&gt;15),TRUE)),1,0)</f>
        <v/>
      </c>
      <c r="P79">
        <f>IF(AND('OFF_CONVAL'!P79&lt;&gt;"",OR(LEN('OFF_CONVAL'!P79)&gt;3,COUNTIF(CL_MONEDAISO,'OFF_CONVAL'!P79)=0)),1,0)</f>
        <v/>
      </c>
      <c r="Q79">
        <f>IF(AND('OFF_CONVAL'!Q79&lt;&gt;"",NOT(ISNUMBER('OFF_CONVAL'!Q79))),1,0)</f>
        <v/>
      </c>
    </row>
    <row r="80">
      <c r="A80">
        <f>IF(AND('OFF_CONVAL'!A80&lt;&gt;"",NOT(ISNUMBER('OFF_CONVAL'!A80))),1,0)</f>
        <v/>
      </c>
      <c r="B80">
        <f>IF(AND('OFF_CONVAL'!B80&lt;&gt;"",LEN('OFF_CONVAL'!B80)&gt;20),1,0)</f>
        <v/>
      </c>
      <c r="C80">
        <f>IF(AND('OFF_CONVAL'!C80&lt;&gt;"",OR(LEN('OFF_CONVAL'!C80)&gt;1,COUNTIF(CL_POSICIONOPERACION_V4,'OFF_CONVAL'!C80)=0)),1,0)</f>
        <v/>
      </c>
      <c r="D80">
        <f>IF(AND('OFF_CONVAL'!D80&lt;&gt;"",OR(LEN('OFF_CONVAL'!D80)&gt;2,COUNTIF(CL_OBJ_OPE_V1,'OFF_CONVAL'!D80)=0)),1,0)</f>
        <v/>
      </c>
      <c r="E80">
        <f>IF(AND('OFF_CONVAL'!E80&lt;&gt;"",COUNTIF(CL_PAQ_EST_DER_V1,'OFF_CONVAL'!E80)=0),1,0)</f>
        <v/>
      </c>
      <c r="F80">
        <f>IF(AND('OFF_CONVAL'!F80&lt;&gt;"",LEN('OFF_CONVAL'!F80)&gt;20),1,0)</f>
        <v/>
      </c>
      <c r="G80">
        <f>IF(AND('OFF_CONVAL'!G80&lt;&gt;"",IF(ISNUMBER('OFF_CONVAL'!G80),OR('OFF_CONVAL'!G80&lt;&gt;INT('OFF_CONVAL'!G80),LEN(TEXT(ABS('OFF_CONVAL'!G80),"0"))&gt;3),TRUE)),1,0)</f>
        <v/>
      </c>
      <c r="H80">
        <f>IF(AND('OFF_CONVAL'!H80&lt;&gt;"",IF(ISNUMBER('OFF_CONVAL'!H80),OR('OFF_CONVAL'!H80&lt;&gt;INT('OFF_CONVAL'!H80),LEN(TEXT(ABS('OFF_CONVAL'!H80),"0"))&gt;15),TRUE)),1,0)</f>
        <v/>
      </c>
      <c r="I80">
        <f>IF(AND('OFF_CONVAL'!I80&lt;&gt;"",OR(LEN('OFF_CONVAL'!I80)&gt;3,COUNTIF(CL_MONEDAISO,'OFF_CONVAL'!I80)=0)),1,0)</f>
        <v/>
      </c>
      <c r="J80">
        <f>IF(AND('OFF_CONVAL'!J80&lt;&gt;"",IF(ISNUMBER('OFF_CONVAL'!J80),OR('OFF_CONVAL'!J80&lt;&gt;INT('OFF_CONVAL'!J80),LEN(TEXT(ABS('OFF_CONVAL'!J80),"0"))&gt;15),TRUE)),1,0)</f>
        <v/>
      </c>
      <c r="K80">
        <f>IF(AND('OFF_CONVAL'!K80&lt;&gt;"",OR(LEN('OFF_CONVAL'!K80)&gt;3,COUNTIF(CL_MONEDAISO,'OFF_CONVAL'!K80)=0)),1,0)</f>
        <v/>
      </c>
      <c r="L80">
        <f>IF(AND('OFF_CONVAL'!L80&lt;&gt;"",IF(ISNUMBER('OFF_CONVAL'!L80),OR('OFF_CONVAL'!L80&lt;&gt;INT('OFF_CONVAL'!L80),LEN(TEXT(ABS('OFF_CONVAL'!L80),"0"))&gt;5),TRUE)),1,0)</f>
        <v/>
      </c>
      <c r="M80">
        <f>IF(AND('OFF_CONVAL'!M80&lt;&gt;"",IF(ISNUMBER('OFF_CONVAL'!M80),OR('OFF_CONVAL'!M80&lt;&gt;INT('OFF_CONVAL'!M80),LEN(TEXT(ABS('OFF_CONVAL'!M80),"0"))&gt;5),TRUE)),1,0)</f>
        <v/>
      </c>
      <c r="N80">
        <f>IF(AND('OFF_CONVAL'!N80&lt;&gt;"",LEN('OFF_CONVAL'!N80)&gt;20),1,0)</f>
        <v/>
      </c>
      <c r="O80">
        <f>IF(AND('OFF_CONVAL'!O80&lt;&gt;"",IF(ISNUMBER('OFF_CONVAL'!O80),OR('OFF_CONVAL'!O80&lt;&gt;INT('OFF_CONVAL'!O80),LEN(TEXT(ABS('OFF_CONVAL'!O80),"0"))&gt;15),TRUE)),1,0)</f>
        <v/>
      </c>
      <c r="P80">
        <f>IF(AND('OFF_CONVAL'!P80&lt;&gt;"",OR(LEN('OFF_CONVAL'!P80)&gt;3,COUNTIF(CL_MONEDAISO,'OFF_CONVAL'!P80)=0)),1,0)</f>
        <v/>
      </c>
      <c r="Q80">
        <f>IF(AND('OFF_CONVAL'!Q80&lt;&gt;"",NOT(ISNUMBER('OFF_CONVAL'!Q80))),1,0)</f>
        <v/>
      </c>
    </row>
    <row r="81">
      <c r="A81">
        <f>IF(AND('OFF_CONVAL'!A81&lt;&gt;"",NOT(ISNUMBER('OFF_CONVAL'!A81))),1,0)</f>
        <v/>
      </c>
      <c r="B81">
        <f>IF(AND('OFF_CONVAL'!B81&lt;&gt;"",LEN('OFF_CONVAL'!B81)&gt;20),1,0)</f>
        <v/>
      </c>
      <c r="C81">
        <f>IF(AND('OFF_CONVAL'!C81&lt;&gt;"",OR(LEN('OFF_CONVAL'!C81)&gt;1,COUNTIF(CL_POSICIONOPERACION_V4,'OFF_CONVAL'!C81)=0)),1,0)</f>
        <v/>
      </c>
      <c r="D81">
        <f>IF(AND('OFF_CONVAL'!D81&lt;&gt;"",OR(LEN('OFF_CONVAL'!D81)&gt;2,COUNTIF(CL_OBJ_OPE_V1,'OFF_CONVAL'!D81)=0)),1,0)</f>
        <v/>
      </c>
      <c r="E81">
        <f>IF(AND('OFF_CONVAL'!E81&lt;&gt;"",COUNTIF(CL_PAQ_EST_DER_V1,'OFF_CONVAL'!E81)=0),1,0)</f>
        <v/>
      </c>
      <c r="F81">
        <f>IF(AND('OFF_CONVAL'!F81&lt;&gt;"",LEN('OFF_CONVAL'!F81)&gt;20),1,0)</f>
        <v/>
      </c>
      <c r="G81">
        <f>IF(AND('OFF_CONVAL'!G81&lt;&gt;"",IF(ISNUMBER('OFF_CONVAL'!G81),OR('OFF_CONVAL'!G81&lt;&gt;INT('OFF_CONVAL'!G81),LEN(TEXT(ABS('OFF_CONVAL'!G81),"0"))&gt;3),TRUE)),1,0)</f>
        <v/>
      </c>
      <c r="H81">
        <f>IF(AND('OFF_CONVAL'!H81&lt;&gt;"",IF(ISNUMBER('OFF_CONVAL'!H81),OR('OFF_CONVAL'!H81&lt;&gt;INT('OFF_CONVAL'!H81),LEN(TEXT(ABS('OFF_CONVAL'!H81),"0"))&gt;15),TRUE)),1,0)</f>
        <v/>
      </c>
      <c r="I81">
        <f>IF(AND('OFF_CONVAL'!I81&lt;&gt;"",OR(LEN('OFF_CONVAL'!I81)&gt;3,COUNTIF(CL_MONEDAISO,'OFF_CONVAL'!I81)=0)),1,0)</f>
        <v/>
      </c>
      <c r="J81">
        <f>IF(AND('OFF_CONVAL'!J81&lt;&gt;"",IF(ISNUMBER('OFF_CONVAL'!J81),OR('OFF_CONVAL'!J81&lt;&gt;INT('OFF_CONVAL'!J81),LEN(TEXT(ABS('OFF_CONVAL'!J81),"0"))&gt;15),TRUE)),1,0)</f>
        <v/>
      </c>
      <c r="K81">
        <f>IF(AND('OFF_CONVAL'!K81&lt;&gt;"",OR(LEN('OFF_CONVAL'!K81)&gt;3,COUNTIF(CL_MONEDAISO,'OFF_CONVAL'!K81)=0)),1,0)</f>
        <v/>
      </c>
      <c r="L81">
        <f>IF(AND('OFF_CONVAL'!L81&lt;&gt;"",IF(ISNUMBER('OFF_CONVAL'!L81),OR('OFF_CONVAL'!L81&lt;&gt;INT('OFF_CONVAL'!L81),LEN(TEXT(ABS('OFF_CONVAL'!L81),"0"))&gt;5),TRUE)),1,0)</f>
        <v/>
      </c>
      <c r="M81">
        <f>IF(AND('OFF_CONVAL'!M81&lt;&gt;"",IF(ISNUMBER('OFF_CONVAL'!M81),OR('OFF_CONVAL'!M81&lt;&gt;INT('OFF_CONVAL'!M81),LEN(TEXT(ABS('OFF_CONVAL'!M81),"0"))&gt;5),TRUE)),1,0)</f>
        <v/>
      </c>
      <c r="N81">
        <f>IF(AND('OFF_CONVAL'!N81&lt;&gt;"",LEN('OFF_CONVAL'!N81)&gt;20),1,0)</f>
        <v/>
      </c>
      <c r="O81">
        <f>IF(AND('OFF_CONVAL'!O81&lt;&gt;"",IF(ISNUMBER('OFF_CONVAL'!O81),OR('OFF_CONVAL'!O81&lt;&gt;INT('OFF_CONVAL'!O81),LEN(TEXT(ABS('OFF_CONVAL'!O81),"0"))&gt;15),TRUE)),1,0)</f>
        <v/>
      </c>
      <c r="P81">
        <f>IF(AND('OFF_CONVAL'!P81&lt;&gt;"",OR(LEN('OFF_CONVAL'!P81)&gt;3,COUNTIF(CL_MONEDAISO,'OFF_CONVAL'!P81)=0)),1,0)</f>
        <v/>
      </c>
      <c r="Q81">
        <f>IF(AND('OFF_CONVAL'!Q81&lt;&gt;"",NOT(ISNUMBER('OFF_CONVAL'!Q81))),1,0)</f>
        <v/>
      </c>
    </row>
    <row r="82">
      <c r="A82">
        <f>IF(AND('OFF_CONVAL'!A82&lt;&gt;"",NOT(ISNUMBER('OFF_CONVAL'!A82))),1,0)</f>
        <v/>
      </c>
      <c r="B82">
        <f>IF(AND('OFF_CONVAL'!B82&lt;&gt;"",LEN('OFF_CONVAL'!B82)&gt;20),1,0)</f>
        <v/>
      </c>
      <c r="C82">
        <f>IF(AND('OFF_CONVAL'!C82&lt;&gt;"",OR(LEN('OFF_CONVAL'!C82)&gt;1,COUNTIF(CL_POSICIONOPERACION_V4,'OFF_CONVAL'!C82)=0)),1,0)</f>
        <v/>
      </c>
      <c r="D82">
        <f>IF(AND('OFF_CONVAL'!D82&lt;&gt;"",OR(LEN('OFF_CONVAL'!D82)&gt;2,COUNTIF(CL_OBJ_OPE_V1,'OFF_CONVAL'!D82)=0)),1,0)</f>
        <v/>
      </c>
      <c r="E82">
        <f>IF(AND('OFF_CONVAL'!E82&lt;&gt;"",COUNTIF(CL_PAQ_EST_DER_V1,'OFF_CONVAL'!E82)=0),1,0)</f>
        <v/>
      </c>
      <c r="F82">
        <f>IF(AND('OFF_CONVAL'!F82&lt;&gt;"",LEN('OFF_CONVAL'!F82)&gt;20),1,0)</f>
        <v/>
      </c>
      <c r="G82">
        <f>IF(AND('OFF_CONVAL'!G82&lt;&gt;"",IF(ISNUMBER('OFF_CONVAL'!G82),OR('OFF_CONVAL'!G82&lt;&gt;INT('OFF_CONVAL'!G82),LEN(TEXT(ABS('OFF_CONVAL'!G82),"0"))&gt;3),TRUE)),1,0)</f>
        <v/>
      </c>
      <c r="H82">
        <f>IF(AND('OFF_CONVAL'!H82&lt;&gt;"",IF(ISNUMBER('OFF_CONVAL'!H82),OR('OFF_CONVAL'!H82&lt;&gt;INT('OFF_CONVAL'!H82),LEN(TEXT(ABS('OFF_CONVAL'!H82),"0"))&gt;15),TRUE)),1,0)</f>
        <v/>
      </c>
      <c r="I82">
        <f>IF(AND('OFF_CONVAL'!I82&lt;&gt;"",OR(LEN('OFF_CONVAL'!I82)&gt;3,COUNTIF(CL_MONEDAISO,'OFF_CONVAL'!I82)=0)),1,0)</f>
        <v/>
      </c>
      <c r="J82">
        <f>IF(AND('OFF_CONVAL'!J82&lt;&gt;"",IF(ISNUMBER('OFF_CONVAL'!J82),OR('OFF_CONVAL'!J82&lt;&gt;INT('OFF_CONVAL'!J82),LEN(TEXT(ABS('OFF_CONVAL'!J82),"0"))&gt;15),TRUE)),1,0)</f>
        <v/>
      </c>
      <c r="K82">
        <f>IF(AND('OFF_CONVAL'!K82&lt;&gt;"",OR(LEN('OFF_CONVAL'!K82)&gt;3,COUNTIF(CL_MONEDAISO,'OFF_CONVAL'!K82)=0)),1,0)</f>
        <v/>
      </c>
      <c r="L82">
        <f>IF(AND('OFF_CONVAL'!L82&lt;&gt;"",IF(ISNUMBER('OFF_CONVAL'!L82),OR('OFF_CONVAL'!L82&lt;&gt;INT('OFF_CONVAL'!L82),LEN(TEXT(ABS('OFF_CONVAL'!L82),"0"))&gt;5),TRUE)),1,0)</f>
        <v/>
      </c>
      <c r="M82">
        <f>IF(AND('OFF_CONVAL'!M82&lt;&gt;"",IF(ISNUMBER('OFF_CONVAL'!M82),OR('OFF_CONVAL'!M82&lt;&gt;INT('OFF_CONVAL'!M82),LEN(TEXT(ABS('OFF_CONVAL'!M82),"0"))&gt;5),TRUE)),1,0)</f>
        <v/>
      </c>
      <c r="N82">
        <f>IF(AND('OFF_CONVAL'!N82&lt;&gt;"",LEN('OFF_CONVAL'!N82)&gt;20),1,0)</f>
        <v/>
      </c>
      <c r="O82">
        <f>IF(AND('OFF_CONVAL'!O82&lt;&gt;"",IF(ISNUMBER('OFF_CONVAL'!O82),OR('OFF_CONVAL'!O82&lt;&gt;INT('OFF_CONVAL'!O82),LEN(TEXT(ABS('OFF_CONVAL'!O82),"0"))&gt;15),TRUE)),1,0)</f>
        <v/>
      </c>
      <c r="P82">
        <f>IF(AND('OFF_CONVAL'!P82&lt;&gt;"",OR(LEN('OFF_CONVAL'!P82)&gt;3,COUNTIF(CL_MONEDAISO,'OFF_CONVAL'!P82)=0)),1,0)</f>
        <v/>
      </c>
      <c r="Q82">
        <f>IF(AND('OFF_CONVAL'!Q82&lt;&gt;"",NOT(ISNUMBER('OFF_CONVAL'!Q82))),1,0)</f>
        <v/>
      </c>
    </row>
    <row r="83">
      <c r="A83">
        <f>IF(AND('OFF_CONVAL'!A83&lt;&gt;"",NOT(ISNUMBER('OFF_CONVAL'!A83))),1,0)</f>
        <v/>
      </c>
      <c r="B83">
        <f>IF(AND('OFF_CONVAL'!B83&lt;&gt;"",LEN('OFF_CONVAL'!B83)&gt;20),1,0)</f>
        <v/>
      </c>
      <c r="C83">
        <f>IF(AND('OFF_CONVAL'!C83&lt;&gt;"",OR(LEN('OFF_CONVAL'!C83)&gt;1,COUNTIF(CL_POSICIONOPERACION_V4,'OFF_CONVAL'!C83)=0)),1,0)</f>
        <v/>
      </c>
      <c r="D83">
        <f>IF(AND('OFF_CONVAL'!D83&lt;&gt;"",OR(LEN('OFF_CONVAL'!D83)&gt;2,COUNTIF(CL_OBJ_OPE_V1,'OFF_CONVAL'!D83)=0)),1,0)</f>
        <v/>
      </c>
      <c r="E83">
        <f>IF(AND('OFF_CONVAL'!E83&lt;&gt;"",COUNTIF(CL_PAQ_EST_DER_V1,'OFF_CONVAL'!E83)=0),1,0)</f>
        <v/>
      </c>
      <c r="F83">
        <f>IF(AND('OFF_CONVAL'!F83&lt;&gt;"",LEN('OFF_CONVAL'!F83)&gt;20),1,0)</f>
        <v/>
      </c>
      <c r="G83">
        <f>IF(AND('OFF_CONVAL'!G83&lt;&gt;"",IF(ISNUMBER('OFF_CONVAL'!G83),OR('OFF_CONVAL'!G83&lt;&gt;INT('OFF_CONVAL'!G83),LEN(TEXT(ABS('OFF_CONVAL'!G83),"0"))&gt;3),TRUE)),1,0)</f>
        <v/>
      </c>
      <c r="H83">
        <f>IF(AND('OFF_CONVAL'!H83&lt;&gt;"",IF(ISNUMBER('OFF_CONVAL'!H83),OR('OFF_CONVAL'!H83&lt;&gt;INT('OFF_CONVAL'!H83),LEN(TEXT(ABS('OFF_CONVAL'!H83),"0"))&gt;15),TRUE)),1,0)</f>
        <v/>
      </c>
      <c r="I83">
        <f>IF(AND('OFF_CONVAL'!I83&lt;&gt;"",OR(LEN('OFF_CONVAL'!I83)&gt;3,COUNTIF(CL_MONEDAISO,'OFF_CONVAL'!I83)=0)),1,0)</f>
        <v/>
      </c>
      <c r="J83">
        <f>IF(AND('OFF_CONVAL'!J83&lt;&gt;"",IF(ISNUMBER('OFF_CONVAL'!J83),OR('OFF_CONVAL'!J83&lt;&gt;INT('OFF_CONVAL'!J83),LEN(TEXT(ABS('OFF_CONVAL'!J83),"0"))&gt;15),TRUE)),1,0)</f>
        <v/>
      </c>
      <c r="K83">
        <f>IF(AND('OFF_CONVAL'!K83&lt;&gt;"",OR(LEN('OFF_CONVAL'!K83)&gt;3,COUNTIF(CL_MONEDAISO,'OFF_CONVAL'!K83)=0)),1,0)</f>
        <v/>
      </c>
      <c r="L83">
        <f>IF(AND('OFF_CONVAL'!L83&lt;&gt;"",IF(ISNUMBER('OFF_CONVAL'!L83),OR('OFF_CONVAL'!L83&lt;&gt;INT('OFF_CONVAL'!L83),LEN(TEXT(ABS('OFF_CONVAL'!L83),"0"))&gt;5),TRUE)),1,0)</f>
        <v/>
      </c>
      <c r="M83">
        <f>IF(AND('OFF_CONVAL'!M83&lt;&gt;"",IF(ISNUMBER('OFF_CONVAL'!M83),OR('OFF_CONVAL'!M83&lt;&gt;INT('OFF_CONVAL'!M83),LEN(TEXT(ABS('OFF_CONVAL'!M83),"0"))&gt;5),TRUE)),1,0)</f>
        <v/>
      </c>
      <c r="N83">
        <f>IF(AND('OFF_CONVAL'!N83&lt;&gt;"",LEN('OFF_CONVAL'!N83)&gt;20),1,0)</f>
        <v/>
      </c>
      <c r="O83">
        <f>IF(AND('OFF_CONVAL'!O83&lt;&gt;"",IF(ISNUMBER('OFF_CONVAL'!O83),OR('OFF_CONVAL'!O83&lt;&gt;INT('OFF_CONVAL'!O83),LEN(TEXT(ABS('OFF_CONVAL'!O83),"0"))&gt;15),TRUE)),1,0)</f>
        <v/>
      </c>
      <c r="P83">
        <f>IF(AND('OFF_CONVAL'!P83&lt;&gt;"",OR(LEN('OFF_CONVAL'!P83)&gt;3,COUNTIF(CL_MONEDAISO,'OFF_CONVAL'!P83)=0)),1,0)</f>
        <v/>
      </c>
      <c r="Q83">
        <f>IF(AND('OFF_CONVAL'!Q83&lt;&gt;"",NOT(ISNUMBER('OFF_CONVAL'!Q83))),1,0)</f>
        <v/>
      </c>
    </row>
    <row r="84">
      <c r="A84">
        <f>IF(AND('OFF_CONVAL'!A84&lt;&gt;"",NOT(ISNUMBER('OFF_CONVAL'!A84))),1,0)</f>
        <v/>
      </c>
      <c r="B84">
        <f>IF(AND('OFF_CONVAL'!B84&lt;&gt;"",LEN('OFF_CONVAL'!B84)&gt;20),1,0)</f>
        <v/>
      </c>
      <c r="C84">
        <f>IF(AND('OFF_CONVAL'!C84&lt;&gt;"",OR(LEN('OFF_CONVAL'!C84)&gt;1,COUNTIF(CL_POSICIONOPERACION_V4,'OFF_CONVAL'!C84)=0)),1,0)</f>
        <v/>
      </c>
      <c r="D84">
        <f>IF(AND('OFF_CONVAL'!D84&lt;&gt;"",OR(LEN('OFF_CONVAL'!D84)&gt;2,COUNTIF(CL_OBJ_OPE_V1,'OFF_CONVAL'!D84)=0)),1,0)</f>
        <v/>
      </c>
      <c r="E84">
        <f>IF(AND('OFF_CONVAL'!E84&lt;&gt;"",COUNTIF(CL_PAQ_EST_DER_V1,'OFF_CONVAL'!E84)=0),1,0)</f>
        <v/>
      </c>
      <c r="F84">
        <f>IF(AND('OFF_CONVAL'!F84&lt;&gt;"",LEN('OFF_CONVAL'!F84)&gt;20),1,0)</f>
        <v/>
      </c>
      <c r="G84">
        <f>IF(AND('OFF_CONVAL'!G84&lt;&gt;"",IF(ISNUMBER('OFF_CONVAL'!G84),OR('OFF_CONVAL'!G84&lt;&gt;INT('OFF_CONVAL'!G84),LEN(TEXT(ABS('OFF_CONVAL'!G84),"0"))&gt;3),TRUE)),1,0)</f>
        <v/>
      </c>
      <c r="H84">
        <f>IF(AND('OFF_CONVAL'!H84&lt;&gt;"",IF(ISNUMBER('OFF_CONVAL'!H84),OR('OFF_CONVAL'!H84&lt;&gt;INT('OFF_CONVAL'!H84),LEN(TEXT(ABS('OFF_CONVAL'!H84),"0"))&gt;15),TRUE)),1,0)</f>
        <v/>
      </c>
      <c r="I84">
        <f>IF(AND('OFF_CONVAL'!I84&lt;&gt;"",OR(LEN('OFF_CONVAL'!I84)&gt;3,COUNTIF(CL_MONEDAISO,'OFF_CONVAL'!I84)=0)),1,0)</f>
        <v/>
      </c>
      <c r="J84">
        <f>IF(AND('OFF_CONVAL'!J84&lt;&gt;"",IF(ISNUMBER('OFF_CONVAL'!J84),OR('OFF_CONVAL'!J84&lt;&gt;INT('OFF_CONVAL'!J84),LEN(TEXT(ABS('OFF_CONVAL'!J84),"0"))&gt;15),TRUE)),1,0)</f>
        <v/>
      </c>
      <c r="K84">
        <f>IF(AND('OFF_CONVAL'!K84&lt;&gt;"",OR(LEN('OFF_CONVAL'!K84)&gt;3,COUNTIF(CL_MONEDAISO,'OFF_CONVAL'!K84)=0)),1,0)</f>
        <v/>
      </c>
      <c r="L84">
        <f>IF(AND('OFF_CONVAL'!L84&lt;&gt;"",IF(ISNUMBER('OFF_CONVAL'!L84),OR('OFF_CONVAL'!L84&lt;&gt;INT('OFF_CONVAL'!L84),LEN(TEXT(ABS('OFF_CONVAL'!L84),"0"))&gt;5),TRUE)),1,0)</f>
        <v/>
      </c>
      <c r="M84">
        <f>IF(AND('OFF_CONVAL'!M84&lt;&gt;"",IF(ISNUMBER('OFF_CONVAL'!M84),OR('OFF_CONVAL'!M84&lt;&gt;INT('OFF_CONVAL'!M84),LEN(TEXT(ABS('OFF_CONVAL'!M84),"0"))&gt;5),TRUE)),1,0)</f>
        <v/>
      </c>
      <c r="N84">
        <f>IF(AND('OFF_CONVAL'!N84&lt;&gt;"",LEN('OFF_CONVAL'!N84)&gt;20),1,0)</f>
        <v/>
      </c>
      <c r="O84">
        <f>IF(AND('OFF_CONVAL'!O84&lt;&gt;"",IF(ISNUMBER('OFF_CONVAL'!O84),OR('OFF_CONVAL'!O84&lt;&gt;INT('OFF_CONVAL'!O84),LEN(TEXT(ABS('OFF_CONVAL'!O84),"0"))&gt;15),TRUE)),1,0)</f>
        <v/>
      </c>
      <c r="P84">
        <f>IF(AND('OFF_CONVAL'!P84&lt;&gt;"",OR(LEN('OFF_CONVAL'!P84)&gt;3,COUNTIF(CL_MONEDAISO,'OFF_CONVAL'!P84)=0)),1,0)</f>
        <v/>
      </c>
      <c r="Q84">
        <f>IF(AND('OFF_CONVAL'!Q84&lt;&gt;"",NOT(ISNUMBER('OFF_CONVAL'!Q84))),1,0)</f>
        <v/>
      </c>
    </row>
    <row r="85">
      <c r="A85">
        <f>IF(AND('OFF_CONVAL'!A85&lt;&gt;"",NOT(ISNUMBER('OFF_CONVAL'!A85))),1,0)</f>
        <v/>
      </c>
      <c r="B85">
        <f>IF(AND('OFF_CONVAL'!B85&lt;&gt;"",LEN('OFF_CONVAL'!B85)&gt;20),1,0)</f>
        <v/>
      </c>
      <c r="C85">
        <f>IF(AND('OFF_CONVAL'!C85&lt;&gt;"",OR(LEN('OFF_CONVAL'!C85)&gt;1,COUNTIF(CL_POSICIONOPERACION_V4,'OFF_CONVAL'!C85)=0)),1,0)</f>
        <v/>
      </c>
      <c r="D85">
        <f>IF(AND('OFF_CONVAL'!D85&lt;&gt;"",OR(LEN('OFF_CONVAL'!D85)&gt;2,COUNTIF(CL_OBJ_OPE_V1,'OFF_CONVAL'!D85)=0)),1,0)</f>
        <v/>
      </c>
      <c r="E85">
        <f>IF(AND('OFF_CONVAL'!E85&lt;&gt;"",COUNTIF(CL_PAQ_EST_DER_V1,'OFF_CONVAL'!E85)=0),1,0)</f>
        <v/>
      </c>
      <c r="F85">
        <f>IF(AND('OFF_CONVAL'!F85&lt;&gt;"",LEN('OFF_CONVAL'!F85)&gt;20),1,0)</f>
        <v/>
      </c>
      <c r="G85">
        <f>IF(AND('OFF_CONVAL'!G85&lt;&gt;"",IF(ISNUMBER('OFF_CONVAL'!G85),OR('OFF_CONVAL'!G85&lt;&gt;INT('OFF_CONVAL'!G85),LEN(TEXT(ABS('OFF_CONVAL'!G85),"0"))&gt;3),TRUE)),1,0)</f>
        <v/>
      </c>
      <c r="H85">
        <f>IF(AND('OFF_CONVAL'!H85&lt;&gt;"",IF(ISNUMBER('OFF_CONVAL'!H85),OR('OFF_CONVAL'!H85&lt;&gt;INT('OFF_CONVAL'!H85),LEN(TEXT(ABS('OFF_CONVAL'!H85),"0"))&gt;15),TRUE)),1,0)</f>
        <v/>
      </c>
      <c r="I85">
        <f>IF(AND('OFF_CONVAL'!I85&lt;&gt;"",OR(LEN('OFF_CONVAL'!I85)&gt;3,COUNTIF(CL_MONEDAISO,'OFF_CONVAL'!I85)=0)),1,0)</f>
        <v/>
      </c>
      <c r="J85">
        <f>IF(AND('OFF_CONVAL'!J85&lt;&gt;"",IF(ISNUMBER('OFF_CONVAL'!J85),OR('OFF_CONVAL'!J85&lt;&gt;INT('OFF_CONVAL'!J85),LEN(TEXT(ABS('OFF_CONVAL'!J85),"0"))&gt;15),TRUE)),1,0)</f>
        <v/>
      </c>
      <c r="K85">
        <f>IF(AND('OFF_CONVAL'!K85&lt;&gt;"",OR(LEN('OFF_CONVAL'!K85)&gt;3,COUNTIF(CL_MONEDAISO,'OFF_CONVAL'!K85)=0)),1,0)</f>
        <v/>
      </c>
      <c r="L85">
        <f>IF(AND('OFF_CONVAL'!L85&lt;&gt;"",IF(ISNUMBER('OFF_CONVAL'!L85),OR('OFF_CONVAL'!L85&lt;&gt;INT('OFF_CONVAL'!L85),LEN(TEXT(ABS('OFF_CONVAL'!L85),"0"))&gt;5),TRUE)),1,0)</f>
        <v/>
      </c>
      <c r="M85">
        <f>IF(AND('OFF_CONVAL'!M85&lt;&gt;"",IF(ISNUMBER('OFF_CONVAL'!M85),OR('OFF_CONVAL'!M85&lt;&gt;INT('OFF_CONVAL'!M85),LEN(TEXT(ABS('OFF_CONVAL'!M85),"0"))&gt;5),TRUE)),1,0)</f>
        <v/>
      </c>
      <c r="N85">
        <f>IF(AND('OFF_CONVAL'!N85&lt;&gt;"",LEN('OFF_CONVAL'!N85)&gt;20),1,0)</f>
        <v/>
      </c>
      <c r="O85">
        <f>IF(AND('OFF_CONVAL'!O85&lt;&gt;"",IF(ISNUMBER('OFF_CONVAL'!O85),OR('OFF_CONVAL'!O85&lt;&gt;INT('OFF_CONVAL'!O85),LEN(TEXT(ABS('OFF_CONVAL'!O85),"0"))&gt;15),TRUE)),1,0)</f>
        <v/>
      </c>
      <c r="P85">
        <f>IF(AND('OFF_CONVAL'!P85&lt;&gt;"",OR(LEN('OFF_CONVAL'!P85)&gt;3,COUNTIF(CL_MONEDAISO,'OFF_CONVAL'!P85)=0)),1,0)</f>
        <v/>
      </c>
      <c r="Q85">
        <f>IF(AND('OFF_CONVAL'!Q85&lt;&gt;"",NOT(ISNUMBER('OFF_CONVAL'!Q85))),1,0)</f>
        <v/>
      </c>
    </row>
    <row r="86">
      <c r="A86">
        <f>IF(AND('OFF_CONVAL'!A86&lt;&gt;"",NOT(ISNUMBER('OFF_CONVAL'!A86))),1,0)</f>
        <v/>
      </c>
      <c r="B86">
        <f>IF(AND('OFF_CONVAL'!B86&lt;&gt;"",LEN('OFF_CONVAL'!B86)&gt;20),1,0)</f>
        <v/>
      </c>
      <c r="C86">
        <f>IF(AND('OFF_CONVAL'!C86&lt;&gt;"",OR(LEN('OFF_CONVAL'!C86)&gt;1,COUNTIF(CL_POSICIONOPERACION_V4,'OFF_CONVAL'!C86)=0)),1,0)</f>
        <v/>
      </c>
      <c r="D86">
        <f>IF(AND('OFF_CONVAL'!D86&lt;&gt;"",OR(LEN('OFF_CONVAL'!D86)&gt;2,COUNTIF(CL_OBJ_OPE_V1,'OFF_CONVAL'!D86)=0)),1,0)</f>
        <v/>
      </c>
      <c r="E86">
        <f>IF(AND('OFF_CONVAL'!E86&lt;&gt;"",COUNTIF(CL_PAQ_EST_DER_V1,'OFF_CONVAL'!E86)=0),1,0)</f>
        <v/>
      </c>
      <c r="F86">
        <f>IF(AND('OFF_CONVAL'!F86&lt;&gt;"",LEN('OFF_CONVAL'!F86)&gt;20),1,0)</f>
        <v/>
      </c>
      <c r="G86">
        <f>IF(AND('OFF_CONVAL'!G86&lt;&gt;"",IF(ISNUMBER('OFF_CONVAL'!G86),OR('OFF_CONVAL'!G86&lt;&gt;INT('OFF_CONVAL'!G86),LEN(TEXT(ABS('OFF_CONVAL'!G86),"0"))&gt;3),TRUE)),1,0)</f>
        <v/>
      </c>
      <c r="H86">
        <f>IF(AND('OFF_CONVAL'!H86&lt;&gt;"",IF(ISNUMBER('OFF_CONVAL'!H86),OR('OFF_CONVAL'!H86&lt;&gt;INT('OFF_CONVAL'!H86),LEN(TEXT(ABS('OFF_CONVAL'!H86),"0"))&gt;15),TRUE)),1,0)</f>
        <v/>
      </c>
      <c r="I86">
        <f>IF(AND('OFF_CONVAL'!I86&lt;&gt;"",OR(LEN('OFF_CONVAL'!I86)&gt;3,COUNTIF(CL_MONEDAISO,'OFF_CONVAL'!I86)=0)),1,0)</f>
        <v/>
      </c>
      <c r="J86">
        <f>IF(AND('OFF_CONVAL'!J86&lt;&gt;"",IF(ISNUMBER('OFF_CONVAL'!J86),OR('OFF_CONVAL'!J86&lt;&gt;INT('OFF_CONVAL'!J86),LEN(TEXT(ABS('OFF_CONVAL'!J86),"0"))&gt;15),TRUE)),1,0)</f>
        <v/>
      </c>
      <c r="K86">
        <f>IF(AND('OFF_CONVAL'!K86&lt;&gt;"",OR(LEN('OFF_CONVAL'!K86)&gt;3,COUNTIF(CL_MONEDAISO,'OFF_CONVAL'!K86)=0)),1,0)</f>
        <v/>
      </c>
      <c r="L86">
        <f>IF(AND('OFF_CONVAL'!L86&lt;&gt;"",IF(ISNUMBER('OFF_CONVAL'!L86),OR('OFF_CONVAL'!L86&lt;&gt;INT('OFF_CONVAL'!L86),LEN(TEXT(ABS('OFF_CONVAL'!L86),"0"))&gt;5),TRUE)),1,0)</f>
        <v/>
      </c>
      <c r="M86">
        <f>IF(AND('OFF_CONVAL'!M86&lt;&gt;"",IF(ISNUMBER('OFF_CONVAL'!M86),OR('OFF_CONVAL'!M86&lt;&gt;INT('OFF_CONVAL'!M86),LEN(TEXT(ABS('OFF_CONVAL'!M86),"0"))&gt;5),TRUE)),1,0)</f>
        <v/>
      </c>
      <c r="N86">
        <f>IF(AND('OFF_CONVAL'!N86&lt;&gt;"",LEN('OFF_CONVAL'!N86)&gt;20),1,0)</f>
        <v/>
      </c>
      <c r="O86">
        <f>IF(AND('OFF_CONVAL'!O86&lt;&gt;"",IF(ISNUMBER('OFF_CONVAL'!O86),OR('OFF_CONVAL'!O86&lt;&gt;INT('OFF_CONVAL'!O86),LEN(TEXT(ABS('OFF_CONVAL'!O86),"0"))&gt;15),TRUE)),1,0)</f>
        <v/>
      </c>
      <c r="P86">
        <f>IF(AND('OFF_CONVAL'!P86&lt;&gt;"",OR(LEN('OFF_CONVAL'!P86)&gt;3,COUNTIF(CL_MONEDAISO,'OFF_CONVAL'!P86)=0)),1,0)</f>
        <v/>
      </c>
      <c r="Q86">
        <f>IF(AND('OFF_CONVAL'!Q86&lt;&gt;"",NOT(ISNUMBER('OFF_CONVAL'!Q86))),1,0)</f>
        <v/>
      </c>
    </row>
    <row r="87">
      <c r="A87">
        <f>IF(AND('OFF_CONVAL'!A87&lt;&gt;"",NOT(ISNUMBER('OFF_CONVAL'!A87))),1,0)</f>
        <v/>
      </c>
      <c r="B87">
        <f>IF(AND('OFF_CONVAL'!B87&lt;&gt;"",LEN('OFF_CONVAL'!B87)&gt;20),1,0)</f>
        <v/>
      </c>
      <c r="C87">
        <f>IF(AND('OFF_CONVAL'!C87&lt;&gt;"",OR(LEN('OFF_CONVAL'!C87)&gt;1,COUNTIF(CL_POSICIONOPERACION_V4,'OFF_CONVAL'!C87)=0)),1,0)</f>
        <v/>
      </c>
      <c r="D87">
        <f>IF(AND('OFF_CONVAL'!D87&lt;&gt;"",OR(LEN('OFF_CONVAL'!D87)&gt;2,COUNTIF(CL_OBJ_OPE_V1,'OFF_CONVAL'!D87)=0)),1,0)</f>
        <v/>
      </c>
      <c r="E87">
        <f>IF(AND('OFF_CONVAL'!E87&lt;&gt;"",COUNTIF(CL_PAQ_EST_DER_V1,'OFF_CONVAL'!E87)=0),1,0)</f>
        <v/>
      </c>
      <c r="F87">
        <f>IF(AND('OFF_CONVAL'!F87&lt;&gt;"",LEN('OFF_CONVAL'!F87)&gt;20),1,0)</f>
        <v/>
      </c>
      <c r="G87">
        <f>IF(AND('OFF_CONVAL'!G87&lt;&gt;"",IF(ISNUMBER('OFF_CONVAL'!G87),OR('OFF_CONVAL'!G87&lt;&gt;INT('OFF_CONVAL'!G87),LEN(TEXT(ABS('OFF_CONVAL'!G87),"0"))&gt;3),TRUE)),1,0)</f>
        <v/>
      </c>
      <c r="H87">
        <f>IF(AND('OFF_CONVAL'!H87&lt;&gt;"",IF(ISNUMBER('OFF_CONVAL'!H87),OR('OFF_CONVAL'!H87&lt;&gt;INT('OFF_CONVAL'!H87),LEN(TEXT(ABS('OFF_CONVAL'!H87),"0"))&gt;15),TRUE)),1,0)</f>
        <v/>
      </c>
      <c r="I87">
        <f>IF(AND('OFF_CONVAL'!I87&lt;&gt;"",OR(LEN('OFF_CONVAL'!I87)&gt;3,COUNTIF(CL_MONEDAISO,'OFF_CONVAL'!I87)=0)),1,0)</f>
        <v/>
      </c>
      <c r="J87">
        <f>IF(AND('OFF_CONVAL'!J87&lt;&gt;"",IF(ISNUMBER('OFF_CONVAL'!J87),OR('OFF_CONVAL'!J87&lt;&gt;INT('OFF_CONVAL'!J87),LEN(TEXT(ABS('OFF_CONVAL'!J87),"0"))&gt;15),TRUE)),1,0)</f>
        <v/>
      </c>
      <c r="K87">
        <f>IF(AND('OFF_CONVAL'!K87&lt;&gt;"",OR(LEN('OFF_CONVAL'!K87)&gt;3,COUNTIF(CL_MONEDAISO,'OFF_CONVAL'!K87)=0)),1,0)</f>
        <v/>
      </c>
      <c r="L87">
        <f>IF(AND('OFF_CONVAL'!L87&lt;&gt;"",IF(ISNUMBER('OFF_CONVAL'!L87),OR('OFF_CONVAL'!L87&lt;&gt;INT('OFF_CONVAL'!L87),LEN(TEXT(ABS('OFF_CONVAL'!L87),"0"))&gt;5),TRUE)),1,0)</f>
        <v/>
      </c>
      <c r="M87">
        <f>IF(AND('OFF_CONVAL'!M87&lt;&gt;"",IF(ISNUMBER('OFF_CONVAL'!M87),OR('OFF_CONVAL'!M87&lt;&gt;INT('OFF_CONVAL'!M87),LEN(TEXT(ABS('OFF_CONVAL'!M87),"0"))&gt;5),TRUE)),1,0)</f>
        <v/>
      </c>
      <c r="N87">
        <f>IF(AND('OFF_CONVAL'!N87&lt;&gt;"",LEN('OFF_CONVAL'!N87)&gt;20),1,0)</f>
        <v/>
      </c>
      <c r="O87">
        <f>IF(AND('OFF_CONVAL'!O87&lt;&gt;"",IF(ISNUMBER('OFF_CONVAL'!O87),OR('OFF_CONVAL'!O87&lt;&gt;INT('OFF_CONVAL'!O87),LEN(TEXT(ABS('OFF_CONVAL'!O87),"0"))&gt;15),TRUE)),1,0)</f>
        <v/>
      </c>
      <c r="P87">
        <f>IF(AND('OFF_CONVAL'!P87&lt;&gt;"",OR(LEN('OFF_CONVAL'!P87)&gt;3,COUNTIF(CL_MONEDAISO,'OFF_CONVAL'!P87)=0)),1,0)</f>
        <v/>
      </c>
      <c r="Q87">
        <f>IF(AND('OFF_CONVAL'!Q87&lt;&gt;"",NOT(ISNUMBER('OFF_CONVAL'!Q87))),1,0)</f>
        <v/>
      </c>
    </row>
    <row r="88">
      <c r="A88">
        <f>IF(AND('OFF_CONVAL'!A88&lt;&gt;"",NOT(ISNUMBER('OFF_CONVAL'!A88))),1,0)</f>
        <v/>
      </c>
      <c r="B88">
        <f>IF(AND('OFF_CONVAL'!B88&lt;&gt;"",LEN('OFF_CONVAL'!B88)&gt;20),1,0)</f>
        <v/>
      </c>
      <c r="C88">
        <f>IF(AND('OFF_CONVAL'!C88&lt;&gt;"",OR(LEN('OFF_CONVAL'!C88)&gt;1,COUNTIF(CL_POSICIONOPERACION_V4,'OFF_CONVAL'!C88)=0)),1,0)</f>
        <v/>
      </c>
      <c r="D88">
        <f>IF(AND('OFF_CONVAL'!D88&lt;&gt;"",OR(LEN('OFF_CONVAL'!D88)&gt;2,COUNTIF(CL_OBJ_OPE_V1,'OFF_CONVAL'!D88)=0)),1,0)</f>
        <v/>
      </c>
      <c r="E88">
        <f>IF(AND('OFF_CONVAL'!E88&lt;&gt;"",COUNTIF(CL_PAQ_EST_DER_V1,'OFF_CONVAL'!E88)=0),1,0)</f>
        <v/>
      </c>
      <c r="F88">
        <f>IF(AND('OFF_CONVAL'!F88&lt;&gt;"",LEN('OFF_CONVAL'!F88)&gt;20),1,0)</f>
        <v/>
      </c>
      <c r="G88">
        <f>IF(AND('OFF_CONVAL'!G88&lt;&gt;"",IF(ISNUMBER('OFF_CONVAL'!G88),OR('OFF_CONVAL'!G88&lt;&gt;INT('OFF_CONVAL'!G88),LEN(TEXT(ABS('OFF_CONVAL'!G88),"0"))&gt;3),TRUE)),1,0)</f>
        <v/>
      </c>
      <c r="H88">
        <f>IF(AND('OFF_CONVAL'!H88&lt;&gt;"",IF(ISNUMBER('OFF_CONVAL'!H88),OR('OFF_CONVAL'!H88&lt;&gt;INT('OFF_CONVAL'!H88),LEN(TEXT(ABS('OFF_CONVAL'!H88),"0"))&gt;15),TRUE)),1,0)</f>
        <v/>
      </c>
      <c r="I88">
        <f>IF(AND('OFF_CONVAL'!I88&lt;&gt;"",OR(LEN('OFF_CONVAL'!I88)&gt;3,COUNTIF(CL_MONEDAISO,'OFF_CONVAL'!I88)=0)),1,0)</f>
        <v/>
      </c>
      <c r="J88">
        <f>IF(AND('OFF_CONVAL'!J88&lt;&gt;"",IF(ISNUMBER('OFF_CONVAL'!J88),OR('OFF_CONVAL'!J88&lt;&gt;INT('OFF_CONVAL'!J88),LEN(TEXT(ABS('OFF_CONVAL'!J88),"0"))&gt;15),TRUE)),1,0)</f>
        <v/>
      </c>
      <c r="K88">
        <f>IF(AND('OFF_CONVAL'!K88&lt;&gt;"",OR(LEN('OFF_CONVAL'!K88)&gt;3,COUNTIF(CL_MONEDAISO,'OFF_CONVAL'!K88)=0)),1,0)</f>
        <v/>
      </c>
      <c r="L88">
        <f>IF(AND('OFF_CONVAL'!L88&lt;&gt;"",IF(ISNUMBER('OFF_CONVAL'!L88),OR('OFF_CONVAL'!L88&lt;&gt;INT('OFF_CONVAL'!L88),LEN(TEXT(ABS('OFF_CONVAL'!L88),"0"))&gt;5),TRUE)),1,0)</f>
        <v/>
      </c>
      <c r="M88">
        <f>IF(AND('OFF_CONVAL'!M88&lt;&gt;"",IF(ISNUMBER('OFF_CONVAL'!M88),OR('OFF_CONVAL'!M88&lt;&gt;INT('OFF_CONVAL'!M88),LEN(TEXT(ABS('OFF_CONVAL'!M88),"0"))&gt;5),TRUE)),1,0)</f>
        <v/>
      </c>
      <c r="N88">
        <f>IF(AND('OFF_CONVAL'!N88&lt;&gt;"",LEN('OFF_CONVAL'!N88)&gt;20),1,0)</f>
        <v/>
      </c>
      <c r="O88">
        <f>IF(AND('OFF_CONVAL'!O88&lt;&gt;"",IF(ISNUMBER('OFF_CONVAL'!O88),OR('OFF_CONVAL'!O88&lt;&gt;INT('OFF_CONVAL'!O88),LEN(TEXT(ABS('OFF_CONVAL'!O88),"0"))&gt;15),TRUE)),1,0)</f>
        <v/>
      </c>
      <c r="P88">
        <f>IF(AND('OFF_CONVAL'!P88&lt;&gt;"",OR(LEN('OFF_CONVAL'!P88)&gt;3,COUNTIF(CL_MONEDAISO,'OFF_CONVAL'!P88)=0)),1,0)</f>
        <v/>
      </c>
      <c r="Q88">
        <f>IF(AND('OFF_CONVAL'!Q88&lt;&gt;"",NOT(ISNUMBER('OFF_CONVAL'!Q88))),1,0)</f>
        <v/>
      </c>
    </row>
    <row r="89">
      <c r="A89">
        <f>IF(AND('OFF_CONVAL'!A89&lt;&gt;"",NOT(ISNUMBER('OFF_CONVAL'!A89))),1,0)</f>
        <v/>
      </c>
      <c r="B89">
        <f>IF(AND('OFF_CONVAL'!B89&lt;&gt;"",LEN('OFF_CONVAL'!B89)&gt;20),1,0)</f>
        <v/>
      </c>
      <c r="C89">
        <f>IF(AND('OFF_CONVAL'!C89&lt;&gt;"",OR(LEN('OFF_CONVAL'!C89)&gt;1,COUNTIF(CL_POSICIONOPERACION_V4,'OFF_CONVAL'!C89)=0)),1,0)</f>
        <v/>
      </c>
      <c r="D89">
        <f>IF(AND('OFF_CONVAL'!D89&lt;&gt;"",OR(LEN('OFF_CONVAL'!D89)&gt;2,COUNTIF(CL_OBJ_OPE_V1,'OFF_CONVAL'!D89)=0)),1,0)</f>
        <v/>
      </c>
      <c r="E89">
        <f>IF(AND('OFF_CONVAL'!E89&lt;&gt;"",COUNTIF(CL_PAQ_EST_DER_V1,'OFF_CONVAL'!E89)=0),1,0)</f>
        <v/>
      </c>
      <c r="F89">
        <f>IF(AND('OFF_CONVAL'!F89&lt;&gt;"",LEN('OFF_CONVAL'!F89)&gt;20),1,0)</f>
        <v/>
      </c>
      <c r="G89">
        <f>IF(AND('OFF_CONVAL'!G89&lt;&gt;"",IF(ISNUMBER('OFF_CONVAL'!G89),OR('OFF_CONVAL'!G89&lt;&gt;INT('OFF_CONVAL'!G89),LEN(TEXT(ABS('OFF_CONVAL'!G89),"0"))&gt;3),TRUE)),1,0)</f>
        <v/>
      </c>
      <c r="H89">
        <f>IF(AND('OFF_CONVAL'!H89&lt;&gt;"",IF(ISNUMBER('OFF_CONVAL'!H89),OR('OFF_CONVAL'!H89&lt;&gt;INT('OFF_CONVAL'!H89),LEN(TEXT(ABS('OFF_CONVAL'!H89),"0"))&gt;15),TRUE)),1,0)</f>
        <v/>
      </c>
      <c r="I89">
        <f>IF(AND('OFF_CONVAL'!I89&lt;&gt;"",OR(LEN('OFF_CONVAL'!I89)&gt;3,COUNTIF(CL_MONEDAISO,'OFF_CONVAL'!I89)=0)),1,0)</f>
        <v/>
      </c>
      <c r="J89">
        <f>IF(AND('OFF_CONVAL'!J89&lt;&gt;"",IF(ISNUMBER('OFF_CONVAL'!J89),OR('OFF_CONVAL'!J89&lt;&gt;INT('OFF_CONVAL'!J89),LEN(TEXT(ABS('OFF_CONVAL'!J89),"0"))&gt;15),TRUE)),1,0)</f>
        <v/>
      </c>
      <c r="K89">
        <f>IF(AND('OFF_CONVAL'!K89&lt;&gt;"",OR(LEN('OFF_CONVAL'!K89)&gt;3,COUNTIF(CL_MONEDAISO,'OFF_CONVAL'!K89)=0)),1,0)</f>
        <v/>
      </c>
      <c r="L89">
        <f>IF(AND('OFF_CONVAL'!L89&lt;&gt;"",IF(ISNUMBER('OFF_CONVAL'!L89),OR('OFF_CONVAL'!L89&lt;&gt;INT('OFF_CONVAL'!L89),LEN(TEXT(ABS('OFF_CONVAL'!L89),"0"))&gt;5),TRUE)),1,0)</f>
        <v/>
      </c>
      <c r="M89">
        <f>IF(AND('OFF_CONVAL'!M89&lt;&gt;"",IF(ISNUMBER('OFF_CONVAL'!M89),OR('OFF_CONVAL'!M89&lt;&gt;INT('OFF_CONVAL'!M89),LEN(TEXT(ABS('OFF_CONVAL'!M89),"0"))&gt;5),TRUE)),1,0)</f>
        <v/>
      </c>
      <c r="N89">
        <f>IF(AND('OFF_CONVAL'!N89&lt;&gt;"",LEN('OFF_CONVAL'!N89)&gt;20),1,0)</f>
        <v/>
      </c>
      <c r="O89">
        <f>IF(AND('OFF_CONVAL'!O89&lt;&gt;"",IF(ISNUMBER('OFF_CONVAL'!O89),OR('OFF_CONVAL'!O89&lt;&gt;INT('OFF_CONVAL'!O89),LEN(TEXT(ABS('OFF_CONVAL'!O89),"0"))&gt;15),TRUE)),1,0)</f>
        <v/>
      </c>
      <c r="P89">
        <f>IF(AND('OFF_CONVAL'!P89&lt;&gt;"",OR(LEN('OFF_CONVAL'!P89)&gt;3,COUNTIF(CL_MONEDAISO,'OFF_CONVAL'!P89)=0)),1,0)</f>
        <v/>
      </c>
      <c r="Q89">
        <f>IF(AND('OFF_CONVAL'!Q89&lt;&gt;"",NOT(ISNUMBER('OFF_CONVAL'!Q89))),1,0)</f>
        <v/>
      </c>
    </row>
    <row r="90">
      <c r="A90">
        <f>IF(AND('OFF_CONVAL'!A90&lt;&gt;"",NOT(ISNUMBER('OFF_CONVAL'!A90))),1,0)</f>
        <v/>
      </c>
      <c r="B90">
        <f>IF(AND('OFF_CONVAL'!B90&lt;&gt;"",LEN('OFF_CONVAL'!B90)&gt;20),1,0)</f>
        <v/>
      </c>
      <c r="C90">
        <f>IF(AND('OFF_CONVAL'!C90&lt;&gt;"",OR(LEN('OFF_CONVAL'!C90)&gt;1,COUNTIF(CL_POSICIONOPERACION_V4,'OFF_CONVAL'!C90)=0)),1,0)</f>
        <v/>
      </c>
      <c r="D90">
        <f>IF(AND('OFF_CONVAL'!D90&lt;&gt;"",OR(LEN('OFF_CONVAL'!D90)&gt;2,COUNTIF(CL_OBJ_OPE_V1,'OFF_CONVAL'!D90)=0)),1,0)</f>
        <v/>
      </c>
      <c r="E90">
        <f>IF(AND('OFF_CONVAL'!E90&lt;&gt;"",COUNTIF(CL_PAQ_EST_DER_V1,'OFF_CONVAL'!E90)=0),1,0)</f>
        <v/>
      </c>
      <c r="F90">
        <f>IF(AND('OFF_CONVAL'!F90&lt;&gt;"",LEN('OFF_CONVAL'!F90)&gt;20),1,0)</f>
        <v/>
      </c>
      <c r="G90">
        <f>IF(AND('OFF_CONVAL'!G90&lt;&gt;"",IF(ISNUMBER('OFF_CONVAL'!G90),OR('OFF_CONVAL'!G90&lt;&gt;INT('OFF_CONVAL'!G90),LEN(TEXT(ABS('OFF_CONVAL'!G90),"0"))&gt;3),TRUE)),1,0)</f>
        <v/>
      </c>
      <c r="H90">
        <f>IF(AND('OFF_CONVAL'!H90&lt;&gt;"",IF(ISNUMBER('OFF_CONVAL'!H90),OR('OFF_CONVAL'!H90&lt;&gt;INT('OFF_CONVAL'!H90),LEN(TEXT(ABS('OFF_CONVAL'!H90),"0"))&gt;15),TRUE)),1,0)</f>
        <v/>
      </c>
      <c r="I90">
        <f>IF(AND('OFF_CONVAL'!I90&lt;&gt;"",OR(LEN('OFF_CONVAL'!I90)&gt;3,COUNTIF(CL_MONEDAISO,'OFF_CONVAL'!I90)=0)),1,0)</f>
        <v/>
      </c>
      <c r="J90">
        <f>IF(AND('OFF_CONVAL'!J90&lt;&gt;"",IF(ISNUMBER('OFF_CONVAL'!J90),OR('OFF_CONVAL'!J90&lt;&gt;INT('OFF_CONVAL'!J90),LEN(TEXT(ABS('OFF_CONVAL'!J90),"0"))&gt;15),TRUE)),1,0)</f>
        <v/>
      </c>
      <c r="K90">
        <f>IF(AND('OFF_CONVAL'!K90&lt;&gt;"",OR(LEN('OFF_CONVAL'!K90)&gt;3,COUNTIF(CL_MONEDAISO,'OFF_CONVAL'!K90)=0)),1,0)</f>
        <v/>
      </c>
      <c r="L90">
        <f>IF(AND('OFF_CONVAL'!L90&lt;&gt;"",IF(ISNUMBER('OFF_CONVAL'!L90),OR('OFF_CONVAL'!L90&lt;&gt;INT('OFF_CONVAL'!L90),LEN(TEXT(ABS('OFF_CONVAL'!L90),"0"))&gt;5),TRUE)),1,0)</f>
        <v/>
      </c>
      <c r="M90">
        <f>IF(AND('OFF_CONVAL'!M90&lt;&gt;"",IF(ISNUMBER('OFF_CONVAL'!M90),OR('OFF_CONVAL'!M90&lt;&gt;INT('OFF_CONVAL'!M90),LEN(TEXT(ABS('OFF_CONVAL'!M90),"0"))&gt;5),TRUE)),1,0)</f>
        <v/>
      </c>
      <c r="N90">
        <f>IF(AND('OFF_CONVAL'!N90&lt;&gt;"",LEN('OFF_CONVAL'!N90)&gt;20),1,0)</f>
        <v/>
      </c>
      <c r="O90">
        <f>IF(AND('OFF_CONVAL'!O90&lt;&gt;"",IF(ISNUMBER('OFF_CONVAL'!O90),OR('OFF_CONVAL'!O90&lt;&gt;INT('OFF_CONVAL'!O90),LEN(TEXT(ABS('OFF_CONVAL'!O90),"0"))&gt;15),TRUE)),1,0)</f>
        <v/>
      </c>
      <c r="P90">
        <f>IF(AND('OFF_CONVAL'!P90&lt;&gt;"",OR(LEN('OFF_CONVAL'!P90)&gt;3,COUNTIF(CL_MONEDAISO,'OFF_CONVAL'!P90)=0)),1,0)</f>
        <v/>
      </c>
      <c r="Q90">
        <f>IF(AND('OFF_CONVAL'!Q90&lt;&gt;"",NOT(ISNUMBER('OFF_CONVAL'!Q90))),1,0)</f>
        <v/>
      </c>
    </row>
    <row r="91">
      <c r="A91">
        <f>IF(AND('OFF_CONVAL'!A91&lt;&gt;"",NOT(ISNUMBER('OFF_CONVAL'!A91))),1,0)</f>
        <v/>
      </c>
      <c r="B91">
        <f>IF(AND('OFF_CONVAL'!B91&lt;&gt;"",LEN('OFF_CONVAL'!B91)&gt;20),1,0)</f>
        <v/>
      </c>
      <c r="C91">
        <f>IF(AND('OFF_CONVAL'!C91&lt;&gt;"",OR(LEN('OFF_CONVAL'!C91)&gt;1,COUNTIF(CL_POSICIONOPERACION_V4,'OFF_CONVAL'!C91)=0)),1,0)</f>
        <v/>
      </c>
      <c r="D91">
        <f>IF(AND('OFF_CONVAL'!D91&lt;&gt;"",OR(LEN('OFF_CONVAL'!D91)&gt;2,COUNTIF(CL_OBJ_OPE_V1,'OFF_CONVAL'!D91)=0)),1,0)</f>
        <v/>
      </c>
      <c r="E91">
        <f>IF(AND('OFF_CONVAL'!E91&lt;&gt;"",COUNTIF(CL_PAQ_EST_DER_V1,'OFF_CONVAL'!E91)=0),1,0)</f>
        <v/>
      </c>
      <c r="F91">
        <f>IF(AND('OFF_CONVAL'!F91&lt;&gt;"",LEN('OFF_CONVAL'!F91)&gt;20),1,0)</f>
        <v/>
      </c>
      <c r="G91">
        <f>IF(AND('OFF_CONVAL'!G91&lt;&gt;"",IF(ISNUMBER('OFF_CONVAL'!G91),OR('OFF_CONVAL'!G91&lt;&gt;INT('OFF_CONVAL'!G91),LEN(TEXT(ABS('OFF_CONVAL'!G91),"0"))&gt;3),TRUE)),1,0)</f>
        <v/>
      </c>
      <c r="H91">
        <f>IF(AND('OFF_CONVAL'!H91&lt;&gt;"",IF(ISNUMBER('OFF_CONVAL'!H91),OR('OFF_CONVAL'!H91&lt;&gt;INT('OFF_CONVAL'!H91),LEN(TEXT(ABS('OFF_CONVAL'!H91),"0"))&gt;15),TRUE)),1,0)</f>
        <v/>
      </c>
      <c r="I91">
        <f>IF(AND('OFF_CONVAL'!I91&lt;&gt;"",OR(LEN('OFF_CONVAL'!I91)&gt;3,COUNTIF(CL_MONEDAISO,'OFF_CONVAL'!I91)=0)),1,0)</f>
        <v/>
      </c>
      <c r="J91">
        <f>IF(AND('OFF_CONVAL'!J91&lt;&gt;"",IF(ISNUMBER('OFF_CONVAL'!J91),OR('OFF_CONVAL'!J91&lt;&gt;INT('OFF_CONVAL'!J91),LEN(TEXT(ABS('OFF_CONVAL'!J91),"0"))&gt;15),TRUE)),1,0)</f>
        <v/>
      </c>
      <c r="K91">
        <f>IF(AND('OFF_CONVAL'!K91&lt;&gt;"",OR(LEN('OFF_CONVAL'!K91)&gt;3,COUNTIF(CL_MONEDAISO,'OFF_CONVAL'!K91)=0)),1,0)</f>
        <v/>
      </c>
      <c r="L91">
        <f>IF(AND('OFF_CONVAL'!L91&lt;&gt;"",IF(ISNUMBER('OFF_CONVAL'!L91),OR('OFF_CONVAL'!L91&lt;&gt;INT('OFF_CONVAL'!L91),LEN(TEXT(ABS('OFF_CONVAL'!L91),"0"))&gt;5),TRUE)),1,0)</f>
        <v/>
      </c>
      <c r="M91">
        <f>IF(AND('OFF_CONVAL'!M91&lt;&gt;"",IF(ISNUMBER('OFF_CONVAL'!M91),OR('OFF_CONVAL'!M91&lt;&gt;INT('OFF_CONVAL'!M91),LEN(TEXT(ABS('OFF_CONVAL'!M91),"0"))&gt;5),TRUE)),1,0)</f>
        <v/>
      </c>
      <c r="N91">
        <f>IF(AND('OFF_CONVAL'!N91&lt;&gt;"",LEN('OFF_CONVAL'!N91)&gt;20),1,0)</f>
        <v/>
      </c>
      <c r="O91">
        <f>IF(AND('OFF_CONVAL'!O91&lt;&gt;"",IF(ISNUMBER('OFF_CONVAL'!O91),OR('OFF_CONVAL'!O91&lt;&gt;INT('OFF_CONVAL'!O91),LEN(TEXT(ABS('OFF_CONVAL'!O91),"0"))&gt;15),TRUE)),1,0)</f>
        <v/>
      </c>
      <c r="P91">
        <f>IF(AND('OFF_CONVAL'!P91&lt;&gt;"",OR(LEN('OFF_CONVAL'!P91)&gt;3,COUNTIF(CL_MONEDAISO,'OFF_CONVAL'!P91)=0)),1,0)</f>
        <v/>
      </c>
      <c r="Q91">
        <f>IF(AND('OFF_CONVAL'!Q91&lt;&gt;"",NOT(ISNUMBER('OFF_CONVAL'!Q91))),1,0)</f>
        <v/>
      </c>
    </row>
    <row r="92">
      <c r="A92">
        <f>IF(AND('OFF_CONVAL'!A92&lt;&gt;"",NOT(ISNUMBER('OFF_CONVAL'!A92))),1,0)</f>
        <v/>
      </c>
      <c r="B92">
        <f>IF(AND('OFF_CONVAL'!B92&lt;&gt;"",LEN('OFF_CONVAL'!B92)&gt;20),1,0)</f>
        <v/>
      </c>
      <c r="C92">
        <f>IF(AND('OFF_CONVAL'!C92&lt;&gt;"",OR(LEN('OFF_CONVAL'!C92)&gt;1,COUNTIF(CL_POSICIONOPERACION_V4,'OFF_CONVAL'!C92)=0)),1,0)</f>
        <v/>
      </c>
      <c r="D92">
        <f>IF(AND('OFF_CONVAL'!D92&lt;&gt;"",OR(LEN('OFF_CONVAL'!D92)&gt;2,COUNTIF(CL_OBJ_OPE_V1,'OFF_CONVAL'!D92)=0)),1,0)</f>
        <v/>
      </c>
      <c r="E92">
        <f>IF(AND('OFF_CONVAL'!E92&lt;&gt;"",COUNTIF(CL_PAQ_EST_DER_V1,'OFF_CONVAL'!E92)=0),1,0)</f>
        <v/>
      </c>
      <c r="F92">
        <f>IF(AND('OFF_CONVAL'!F92&lt;&gt;"",LEN('OFF_CONVAL'!F92)&gt;20),1,0)</f>
        <v/>
      </c>
      <c r="G92">
        <f>IF(AND('OFF_CONVAL'!G92&lt;&gt;"",IF(ISNUMBER('OFF_CONVAL'!G92),OR('OFF_CONVAL'!G92&lt;&gt;INT('OFF_CONVAL'!G92),LEN(TEXT(ABS('OFF_CONVAL'!G92),"0"))&gt;3),TRUE)),1,0)</f>
        <v/>
      </c>
      <c r="H92">
        <f>IF(AND('OFF_CONVAL'!H92&lt;&gt;"",IF(ISNUMBER('OFF_CONVAL'!H92),OR('OFF_CONVAL'!H92&lt;&gt;INT('OFF_CONVAL'!H92),LEN(TEXT(ABS('OFF_CONVAL'!H92),"0"))&gt;15),TRUE)),1,0)</f>
        <v/>
      </c>
      <c r="I92">
        <f>IF(AND('OFF_CONVAL'!I92&lt;&gt;"",OR(LEN('OFF_CONVAL'!I92)&gt;3,COUNTIF(CL_MONEDAISO,'OFF_CONVAL'!I92)=0)),1,0)</f>
        <v/>
      </c>
      <c r="J92">
        <f>IF(AND('OFF_CONVAL'!J92&lt;&gt;"",IF(ISNUMBER('OFF_CONVAL'!J92),OR('OFF_CONVAL'!J92&lt;&gt;INT('OFF_CONVAL'!J92),LEN(TEXT(ABS('OFF_CONVAL'!J92),"0"))&gt;15),TRUE)),1,0)</f>
        <v/>
      </c>
      <c r="K92">
        <f>IF(AND('OFF_CONVAL'!K92&lt;&gt;"",OR(LEN('OFF_CONVAL'!K92)&gt;3,COUNTIF(CL_MONEDAISO,'OFF_CONVAL'!K92)=0)),1,0)</f>
        <v/>
      </c>
      <c r="L92">
        <f>IF(AND('OFF_CONVAL'!L92&lt;&gt;"",IF(ISNUMBER('OFF_CONVAL'!L92),OR('OFF_CONVAL'!L92&lt;&gt;INT('OFF_CONVAL'!L92),LEN(TEXT(ABS('OFF_CONVAL'!L92),"0"))&gt;5),TRUE)),1,0)</f>
        <v/>
      </c>
      <c r="M92">
        <f>IF(AND('OFF_CONVAL'!M92&lt;&gt;"",IF(ISNUMBER('OFF_CONVAL'!M92),OR('OFF_CONVAL'!M92&lt;&gt;INT('OFF_CONVAL'!M92),LEN(TEXT(ABS('OFF_CONVAL'!M92),"0"))&gt;5),TRUE)),1,0)</f>
        <v/>
      </c>
      <c r="N92">
        <f>IF(AND('OFF_CONVAL'!N92&lt;&gt;"",LEN('OFF_CONVAL'!N92)&gt;20),1,0)</f>
        <v/>
      </c>
      <c r="O92">
        <f>IF(AND('OFF_CONVAL'!O92&lt;&gt;"",IF(ISNUMBER('OFF_CONVAL'!O92),OR('OFF_CONVAL'!O92&lt;&gt;INT('OFF_CONVAL'!O92),LEN(TEXT(ABS('OFF_CONVAL'!O92),"0"))&gt;15),TRUE)),1,0)</f>
        <v/>
      </c>
      <c r="P92">
        <f>IF(AND('OFF_CONVAL'!P92&lt;&gt;"",OR(LEN('OFF_CONVAL'!P92)&gt;3,COUNTIF(CL_MONEDAISO,'OFF_CONVAL'!P92)=0)),1,0)</f>
        <v/>
      </c>
      <c r="Q92">
        <f>IF(AND('OFF_CONVAL'!Q92&lt;&gt;"",NOT(ISNUMBER('OFF_CONVAL'!Q92))),1,0)</f>
        <v/>
      </c>
    </row>
    <row r="93">
      <c r="A93">
        <f>IF(AND('OFF_CONVAL'!A93&lt;&gt;"",NOT(ISNUMBER('OFF_CONVAL'!A93))),1,0)</f>
        <v/>
      </c>
      <c r="B93">
        <f>IF(AND('OFF_CONVAL'!B93&lt;&gt;"",LEN('OFF_CONVAL'!B93)&gt;20),1,0)</f>
        <v/>
      </c>
      <c r="C93">
        <f>IF(AND('OFF_CONVAL'!C93&lt;&gt;"",OR(LEN('OFF_CONVAL'!C93)&gt;1,COUNTIF(CL_POSICIONOPERACION_V4,'OFF_CONVAL'!C93)=0)),1,0)</f>
        <v/>
      </c>
      <c r="D93">
        <f>IF(AND('OFF_CONVAL'!D93&lt;&gt;"",OR(LEN('OFF_CONVAL'!D93)&gt;2,COUNTIF(CL_OBJ_OPE_V1,'OFF_CONVAL'!D93)=0)),1,0)</f>
        <v/>
      </c>
      <c r="E93">
        <f>IF(AND('OFF_CONVAL'!E93&lt;&gt;"",COUNTIF(CL_PAQ_EST_DER_V1,'OFF_CONVAL'!E93)=0),1,0)</f>
        <v/>
      </c>
      <c r="F93">
        <f>IF(AND('OFF_CONVAL'!F93&lt;&gt;"",LEN('OFF_CONVAL'!F93)&gt;20),1,0)</f>
        <v/>
      </c>
      <c r="G93">
        <f>IF(AND('OFF_CONVAL'!G93&lt;&gt;"",IF(ISNUMBER('OFF_CONVAL'!G93),OR('OFF_CONVAL'!G93&lt;&gt;INT('OFF_CONVAL'!G93),LEN(TEXT(ABS('OFF_CONVAL'!G93),"0"))&gt;3),TRUE)),1,0)</f>
        <v/>
      </c>
      <c r="H93">
        <f>IF(AND('OFF_CONVAL'!H93&lt;&gt;"",IF(ISNUMBER('OFF_CONVAL'!H93),OR('OFF_CONVAL'!H93&lt;&gt;INT('OFF_CONVAL'!H93),LEN(TEXT(ABS('OFF_CONVAL'!H93),"0"))&gt;15),TRUE)),1,0)</f>
        <v/>
      </c>
      <c r="I93">
        <f>IF(AND('OFF_CONVAL'!I93&lt;&gt;"",OR(LEN('OFF_CONVAL'!I93)&gt;3,COUNTIF(CL_MONEDAISO,'OFF_CONVAL'!I93)=0)),1,0)</f>
        <v/>
      </c>
      <c r="J93">
        <f>IF(AND('OFF_CONVAL'!J93&lt;&gt;"",IF(ISNUMBER('OFF_CONVAL'!J93),OR('OFF_CONVAL'!J93&lt;&gt;INT('OFF_CONVAL'!J93),LEN(TEXT(ABS('OFF_CONVAL'!J93),"0"))&gt;15),TRUE)),1,0)</f>
        <v/>
      </c>
      <c r="K93">
        <f>IF(AND('OFF_CONVAL'!K93&lt;&gt;"",OR(LEN('OFF_CONVAL'!K93)&gt;3,COUNTIF(CL_MONEDAISO,'OFF_CONVAL'!K93)=0)),1,0)</f>
        <v/>
      </c>
      <c r="L93">
        <f>IF(AND('OFF_CONVAL'!L93&lt;&gt;"",IF(ISNUMBER('OFF_CONVAL'!L93),OR('OFF_CONVAL'!L93&lt;&gt;INT('OFF_CONVAL'!L93),LEN(TEXT(ABS('OFF_CONVAL'!L93),"0"))&gt;5),TRUE)),1,0)</f>
        <v/>
      </c>
      <c r="M93">
        <f>IF(AND('OFF_CONVAL'!M93&lt;&gt;"",IF(ISNUMBER('OFF_CONVAL'!M93),OR('OFF_CONVAL'!M93&lt;&gt;INT('OFF_CONVAL'!M93),LEN(TEXT(ABS('OFF_CONVAL'!M93),"0"))&gt;5),TRUE)),1,0)</f>
        <v/>
      </c>
      <c r="N93">
        <f>IF(AND('OFF_CONVAL'!N93&lt;&gt;"",LEN('OFF_CONVAL'!N93)&gt;20),1,0)</f>
        <v/>
      </c>
      <c r="O93">
        <f>IF(AND('OFF_CONVAL'!O93&lt;&gt;"",IF(ISNUMBER('OFF_CONVAL'!O93),OR('OFF_CONVAL'!O93&lt;&gt;INT('OFF_CONVAL'!O93),LEN(TEXT(ABS('OFF_CONVAL'!O93),"0"))&gt;15),TRUE)),1,0)</f>
        <v/>
      </c>
      <c r="P93">
        <f>IF(AND('OFF_CONVAL'!P93&lt;&gt;"",OR(LEN('OFF_CONVAL'!P93)&gt;3,COUNTIF(CL_MONEDAISO,'OFF_CONVAL'!P93)=0)),1,0)</f>
        <v/>
      </c>
      <c r="Q93">
        <f>IF(AND('OFF_CONVAL'!Q93&lt;&gt;"",NOT(ISNUMBER('OFF_CONVAL'!Q93))),1,0)</f>
        <v/>
      </c>
    </row>
    <row r="94">
      <c r="A94">
        <f>IF(AND('OFF_CONVAL'!A94&lt;&gt;"",NOT(ISNUMBER('OFF_CONVAL'!A94))),1,0)</f>
        <v/>
      </c>
      <c r="B94">
        <f>IF(AND('OFF_CONVAL'!B94&lt;&gt;"",LEN('OFF_CONVAL'!B94)&gt;20),1,0)</f>
        <v/>
      </c>
      <c r="C94">
        <f>IF(AND('OFF_CONVAL'!C94&lt;&gt;"",OR(LEN('OFF_CONVAL'!C94)&gt;1,COUNTIF(CL_POSICIONOPERACION_V4,'OFF_CONVAL'!C94)=0)),1,0)</f>
        <v/>
      </c>
      <c r="D94">
        <f>IF(AND('OFF_CONVAL'!D94&lt;&gt;"",OR(LEN('OFF_CONVAL'!D94)&gt;2,COUNTIF(CL_OBJ_OPE_V1,'OFF_CONVAL'!D94)=0)),1,0)</f>
        <v/>
      </c>
      <c r="E94">
        <f>IF(AND('OFF_CONVAL'!E94&lt;&gt;"",COUNTIF(CL_PAQ_EST_DER_V1,'OFF_CONVAL'!E94)=0),1,0)</f>
        <v/>
      </c>
      <c r="F94">
        <f>IF(AND('OFF_CONVAL'!F94&lt;&gt;"",LEN('OFF_CONVAL'!F94)&gt;20),1,0)</f>
        <v/>
      </c>
      <c r="G94">
        <f>IF(AND('OFF_CONVAL'!G94&lt;&gt;"",IF(ISNUMBER('OFF_CONVAL'!G94),OR('OFF_CONVAL'!G94&lt;&gt;INT('OFF_CONVAL'!G94),LEN(TEXT(ABS('OFF_CONVAL'!G94),"0"))&gt;3),TRUE)),1,0)</f>
        <v/>
      </c>
      <c r="H94">
        <f>IF(AND('OFF_CONVAL'!H94&lt;&gt;"",IF(ISNUMBER('OFF_CONVAL'!H94),OR('OFF_CONVAL'!H94&lt;&gt;INT('OFF_CONVAL'!H94),LEN(TEXT(ABS('OFF_CONVAL'!H94),"0"))&gt;15),TRUE)),1,0)</f>
        <v/>
      </c>
      <c r="I94">
        <f>IF(AND('OFF_CONVAL'!I94&lt;&gt;"",OR(LEN('OFF_CONVAL'!I94)&gt;3,COUNTIF(CL_MONEDAISO,'OFF_CONVAL'!I94)=0)),1,0)</f>
        <v/>
      </c>
      <c r="J94">
        <f>IF(AND('OFF_CONVAL'!J94&lt;&gt;"",IF(ISNUMBER('OFF_CONVAL'!J94),OR('OFF_CONVAL'!J94&lt;&gt;INT('OFF_CONVAL'!J94),LEN(TEXT(ABS('OFF_CONVAL'!J94),"0"))&gt;15),TRUE)),1,0)</f>
        <v/>
      </c>
      <c r="K94">
        <f>IF(AND('OFF_CONVAL'!K94&lt;&gt;"",OR(LEN('OFF_CONVAL'!K94)&gt;3,COUNTIF(CL_MONEDAISO,'OFF_CONVAL'!K94)=0)),1,0)</f>
        <v/>
      </c>
      <c r="L94">
        <f>IF(AND('OFF_CONVAL'!L94&lt;&gt;"",IF(ISNUMBER('OFF_CONVAL'!L94),OR('OFF_CONVAL'!L94&lt;&gt;INT('OFF_CONVAL'!L94),LEN(TEXT(ABS('OFF_CONVAL'!L94),"0"))&gt;5),TRUE)),1,0)</f>
        <v/>
      </c>
      <c r="M94">
        <f>IF(AND('OFF_CONVAL'!M94&lt;&gt;"",IF(ISNUMBER('OFF_CONVAL'!M94),OR('OFF_CONVAL'!M94&lt;&gt;INT('OFF_CONVAL'!M94),LEN(TEXT(ABS('OFF_CONVAL'!M94),"0"))&gt;5),TRUE)),1,0)</f>
        <v/>
      </c>
      <c r="N94">
        <f>IF(AND('OFF_CONVAL'!N94&lt;&gt;"",LEN('OFF_CONVAL'!N94)&gt;20),1,0)</f>
        <v/>
      </c>
      <c r="O94">
        <f>IF(AND('OFF_CONVAL'!O94&lt;&gt;"",IF(ISNUMBER('OFF_CONVAL'!O94),OR('OFF_CONVAL'!O94&lt;&gt;INT('OFF_CONVAL'!O94),LEN(TEXT(ABS('OFF_CONVAL'!O94),"0"))&gt;15),TRUE)),1,0)</f>
        <v/>
      </c>
      <c r="P94">
        <f>IF(AND('OFF_CONVAL'!P94&lt;&gt;"",OR(LEN('OFF_CONVAL'!P94)&gt;3,COUNTIF(CL_MONEDAISO,'OFF_CONVAL'!P94)=0)),1,0)</f>
        <v/>
      </c>
      <c r="Q94">
        <f>IF(AND('OFF_CONVAL'!Q94&lt;&gt;"",NOT(ISNUMBER('OFF_CONVAL'!Q94))),1,0)</f>
        <v/>
      </c>
    </row>
    <row r="95">
      <c r="A95">
        <f>IF(AND('OFF_CONVAL'!A95&lt;&gt;"",NOT(ISNUMBER('OFF_CONVAL'!A95))),1,0)</f>
        <v/>
      </c>
      <c r="B95">
        <f>IF(AND('OFF_CONVAL'!B95&lt;&gt;"",LEN('OFF_CONVAL'!B95)&gt;20),1,0)</f>
        <v/>
      </c>
      <c r="C95">
        <f>IF(AND('OFF_CONVAL'!C95&lt;&gt;"",OR(LEN('OFF_CONVAL'!C95)&gt;1,COUNTIF(CL_POSICIONOPERACION_V4,'OFF_CONVAL'!C95)=0)),1,0)</f>
        <v/>
      </c>
      <c r="D95">
        <f>IF(AND('OFF_CONVAL'!D95&lt;&gt;"",OR(LEN('OFF_CONVAL'!D95)&gt;2,COUNTIF(CL_OBJ_OPE_V1,'OFF_CONVAL'!D95)=0)),1,0)</f>
        <v/>
      </c>
      <c r="E95">
        <f>IF(AND('OFF_CONVAL'!E95&lt;&gt;"",COUNTIF(CL_PAQ_EST_DER_V1,'OFF_CONVAL'!E95)=0),1,0)</f>
        <v/>
      </c>
      <c r="F95">
        <f>IF(AND('OFF_CONVAL'!F95&lt;&gt;"",LEN('OFF_CONVAL'!F95)&gt;20),1,0)</f>
        <v/>
      </c>
      <c r="G95">
        <f>IF(AND('OFF_CONVAL'!G95&lt;&gt;"",IF(ISNUMBER('OFF_CONVAL'!G95),OR('OFF_CONVAL'!G95&lt;&gt;INT('OFF_CONVAL'!G95),LEN(TEXT(ABS('OFF_CONVAL'!G95),"0"))&gt;3),TRUE)),1,0)</f>
        <v/>
      </c>
      <c r="H95">
        <f>IF(AND('OFF_CONVAL'!H95&lt;&gt;"",IF(ISNUMBER('OFF_CONVAL'!H95),OR('OFF_CONVAL'!H95&lt;&gt;INT('OFF_CONVAL'!H95),LEN(TEXT(ABS('OFF_CONVAL'!H95),"0"))&gt;15),TRUE)),1,0)</f>
        <v/>
      </c>
      <c r="I95">
        <f>IF(AND('OFF_CONVAL'!I95&lt;&gt;"",OR(LEN('OFF_CONVAL'!I95)&gt;3,COUNTIF(CL_MONEDAISO,'OFF_CONVAL'!I95)=0)),1,0)</f>
        <v/>
      </c>
      <c r="J95">
        <f>IF(AND('OFF_CONVAL'!J95&lt;&gt;"",IF(ISNUMBER('OFF_CONVAL'!J95),OR('OFF_CONVAL'!J95&lt;&gt;INT('OFF_CONVAL'!J95),LEN(TEXT(ABS('OFF_CONVAL'!J95),"0"))&gt;15),TRUE)),1,0)</f>
        <v/>
      </c>
      <c r="K95">
        <f>IF(AND('OFF_CONVAL'!K95&lt;&gt;"",OR(LEN('OFF_CONVAL'!K95)&gt;3,COUNTIF(CL_MONEDAISO,'OFF_CONVAL'!K95)=0)),1,0)</f>
        <v/>
      </c>
      <c r="L95">
        <f>IF(AND('OFF_CONVAL'!L95&lt;&gt;"",IF(ISNUMBER('OFF_CONVAL'!L95),OR('OFF_CONVAL'!L95&lt;&gt;INT('OFF_CONVAL'!L95),LEN(TEXT(ABS('OFF_CONVAL'!L95),"0"))&gt;5),TRUE)),1,0)</f>
        <v/>
      </c>
      <c r="M95">
        <f>IF(AND('OFF_CONVAL'!M95&lt;&gt;"",IF(ISNUMBER('OFF_CONVAL'!M95),OR('OFF_CONVAL'!M95&lt;&gt;INT('OFF_CONVAL'!M95),LEN(TEXT(ABS('OFF_CONVAL'!M95),"0"))&gt;5),TRUE)),1,0)</f>
        <v/>
      </c>
      <c r="N95">
        <f>IF(AND('OFF_CONVAL'!N95&lt;&gt;"",LEN('OFF_CONVAL'!N95)&gt;20),1,0)</f>
        <v/>
      </c>
      <c r="O95">
        <f>IF(AND('OFF_CONVAL'!O95&lt;&gt;"",IF(ISNUMBER('OFF_CONVAL'!O95),OR('OFF_CONVAL'!O95&lt;&gt;INT('OFF_CONVAL'!O95),LEN(TEXT(ABS('OFF_CONVAL'!O95),"0"))&gt;15),TRUE)),1,0)</f>
        <v/>
      </c>
      <c r="P95">
        <f>IF(AND('OFF_CONVAL'!P95&lt;&gt;"",OR(LEN('OFF_CONVAL'!P95)&gt;3,COUNTIF(CL_MONEDAISO,'OFF_CONVAL'!P95)=0)),1,0)</f>
        <v/>
      </c>
      <c r="Q95">
        <f>IF(AND('OFF_CONVAL'!Q95&lt;&gt;"",NOT(ISNUMBER('OFF_CONVAL'!Q95))),1,0)</f>
        <v/>
      </c>
    </row>
    <row r="96">
      <c r="A96">
        <f>IF(AND('OFF_CONVAL'!A96&lt;&gt;"",NOT(ISNUMBER('OFF_CONVAL'!A96))),1,0)</f>
        <v/>
      </c>
      <c r="B96">
        <f>IF(AND('OFF_CONVAL'!B96&lt;&gt;"",LEN('OFF_CONVAL'!B96)&gt;20),1,0)</f>
        <v/>
      </c>
      <c r="C96">
        <f>IF(AND('OFF_CONVAL'!C96&lt;&gt;"",OR(LEN('OFF_CONVAL'!C96)&gt;1,COUNTIF(CL_POSICIONOPERACION_V4,'OFF_CONVAL'!C96)=0)),1,0)</f>
        <v/>
      </c>
      <c r="D96">
        <f>IF(AND('OFF_CONVAL'!D96&lt;&gt;"",OR(LEN('OFF_CONVAL'!D96)&gt;2,COUNTIF(CL_OBJ_OPE_V1,'OFF_CONVAL'!D96)=0)),1,0)</f>
        <v/>
      </c>
      <c r="E96">
        <f>IF(AND('OFF_CONVAL'!E96&lt;&gt;"",COUNTIF(CL_PAQ_EST_DER_V1,'OFF_CONVAL'!E96)=0),1,0)</f>
        <v/>
      </c>
      <c r="F96">
        <f>IF(AND('OFF_CONVAL'!F96&lt;&gt;"",LEN('OFF_CONVAL'!F96)&gt;20),1,0)</f>
        <v/>
      </c>
      <c r="G96">
        <f>IF(AND('OFF_CONVAL'!G96&lt;&gt;"",IF(ISNUMBER('OFF_CONVAL'!G96),OR('OFF_CONVAL'!G96&lt;&gt;INT('OFF_CONVAL'!G96),LEN(TEXT(ABS('OFF_CONVAL'!G96),"0"))&gt;3),TRUE)),1,0)</f>
        <v/>
      </c>
      <c r="H96">
        <f>IF(AND('OFF_CONVAL'!H96&lt;&gt;"",IF(ISNUMBER('OFF_CONVAL'!H96),OR('OFF_CONVAL'!H96&lt;&gt;INT('OFF_CONVAL'!H96),LEN(TEXT(ABS('OFF_CONVAL'!H96),"0"))&gt;15),TRUE)),1,0)</f>
        <v/>
      </c>
      <c r="I96">
        <f>IF(AND('OFF_CONVAL'!I96&lt;&gt;"",OR(LEN('OFF_CONVAL'!I96)&gt;3,COUNTIF(CL_MONEDAISO,'OFF_CONVAL'!I96)=0)),1,0)</f>
        <v/>
      </c>
      <c r="J96">
        <f>IF(AND('OFF_CONVAL'!J96&lt;&gt;"",IF(ISNUMBER('OFF_CONVAL'!J96),OR('OFF_CONVAL'!J96&lt;&gt;INT('OFF_CONVAL'!J96),LEN(TEXT(ABS('OFF_CONVAL'!J96),"0"))&gt;15),TRUE)),1,0)</f>
        <v/>
      </c>
      <c r="K96">
        <f>IF(AND('OFF_CONVAL'!K96&lt;&gt;"",OR(LEN('OFF_CONVAL'!K96)&gt;3,COUNTIF(CL_MONEDAISO,'OFF_CONVAL'!K96)=0)),1,0)</f>
        <v/>
      </c>
      <c r="L96">
        <f>IF(AND('OFF_CONVAL'!L96&lt;&gt;"",IF(ISNUMBER('OFF_CONVAL'!L96),OR('OFF_CONVAL'!L96&lt;&gt;INT('OFF_CONVAL'!L96),LEN(TEXT(ABS('OFF_CONVAL'!L96),"0"))&gt;5),TRUE)),1,0)</f>
        <v/>
      </c>
      <c r="M96">
        <f>IF(AND('OFF_CONVAL'!M96&lt;&gt;"",IF(ISNUMBER('OFF_CONVAL'!M96),OR('OFF_CONVAL'!M96&lt;&gt;INT('OFF_CONVAL'!M96),LEN(TEXT(ABS('OFF_CONVAL'!M96),"0"))&gt;5),TRUE)),1,0)</f>
        <v/>
      </c>
      <c r="N96">
        <f>IF(AND('OFF_CONVAL'!N96&lt;&gt;"",LEN('OFF_CONVAL'!N96)&gt;20),1,0)</f>
        <v/>
      </c>
      <c r="O96">
        <f>IF(AND('OFF_CONVAL'!O96&lt;&gt;"",IF(ISNUMBER('OFF_CONVAL'!O96),OR('OFF_CONVAL'!O96&lt;&gt;INT('OFF_CONVAL'!O96),LEN(TEXT(ABS('OFF_CONVAL'!O96),"0"))&gt;15),TRUE)),1,0)</f>
        <v/>
      </c>
      <c r="P96">
        <f>IF(AND('OFF_CONVAL'!P96&lt;&gt;"",OR(LEN('OFF_CONVAL'!P96)&gt;3,COUNTIF(CL_MONEDAISO,'OFF_CONVAL'!P96)=0)),1,0)</f>
        <v/>
      </c>
      <c r="Q96">
        <f>IF(AND('OFF_CONVAL'!Q96&lt;&gt;"",NOT(ISNUMBER('OFF_CONVAL'!Q96))),1,0)</f>
        <v/>
      </c>
    </row>
    <row r="97">
      <c r="A97">
        <f>IF(AND('OFF_CONVAL'!A97&lt;&gt;"",NOT(ISNUMBER('OFF_CONVAL'!A97))),1,0)</f>
        <v/>
      </c>
      <c r="B97">
        <f>IF(AND('OFF_CONVAL'!B97&lt;&gt;"",LEN('OFF_CONVAL'!B97)&gt;20),1,0)</f>
        <v/>
      </c>
      <c r="C97">
        <f>IF(AND('OFF_CONVAL'!C97&lt;&gt;"",OR(LEN('OFF_CONVAL'!C97)&gt;1,COUNTIF(CL_POSICIONOPERACION_V4,'OFF_CONVAL'!C97)=0)),1,0)</f>
        <v/>
      </c>
      <c r="D97">
        <f>IF(AND('OFF_CONVAL'!D97&lt;&gt;"",OR(LEN('OFF_CONVAL'!D97)&gt;2,COUNTIF(CL_OBJ_OPE_V1,'OFF_CONVAL'!D97)=0)),1,0)</f>
        <v/>
      </c>
      <c r="E97">
        <f>IF(AND('OFF_CONVAL'!E97&lt;&gt;"",COUNTIF(CL_PAQ_EST_DER_V1,'OFF_CONVAL'!E97)=0),1,0)</f>
        <v/>
      </c>
      <c r="F97">
        <f>IF(AND('OFF_CONVAL'!F97&lt;&gt;"",LEN('OFF_CONVAL'!F97)&gt;20),1,0)</f>
        <v/>
      </c>
      <c r="G97">
        <f>IF(AND('OFF_CONVAL'!G97&lt;&gt;"",IF(ISNUMBER('OFF_CONVAL'!G97),OR('OFF_CONVAL'!G97&lt;&gt;INT('OFF_CONVAL'!G97),LEN(TEXT(ABS('OFF_CONVAL'!G97),"0"))&gt;3),TRUE)),1,0)</f>
        <v/>
      </c>
      <c r="H97">
        <f>IF(AND('OFF_CONVAL'!H97&lt;&gt;"",IF(ISNUMBER('OFF_CONVAL'!H97),OR('OFF_CONVAL'!H97&lt;&gt;INT('OFF_CONVAL'!H97),LEN(TEXT(ABS('OFF_CONVAL'!H97),"0"))&gt;15),TRUE)),1,0)</f>
        <v/>
      </c>
      <c r="I97">
        <f>IF(AND('OFF_CONVAL'!I97&lt;&gt;"",OR(LEN('OFF_CONVAL'!I97)&gt;3,COUNTIF(CL_MONEDAISO,'OFF_CONVAL'!I97)=0)),1,0)</f>
        <v/>
      </c>
      <c r="J97">
        <f>IF(AND('OFF_CONVAL'!J97&lt;&gt;"",IF(ISNUMBER('OFF_CONVAL'!J97),OR('OFF_CONVAL'!J97&lt;&gt;INT('OFF_CONVAL'!J97),LEN(TEXT(ABS('OFF_CONVAL'!J97),"0"))&gt;15),TRUE)),1,0)</f>
        <v/>
      </c>
      <c r="K97">
        <f>IF(AND('OFF_CONVAL'!K97&lt;&gt;"",OR(LEN('OFF_CONVAL'!K97)&gt;3,COUNTIF(CL_MONEDAISO,'OFF_CONVAL'!K97)=0)),1,0)</f>
        <v/>
      </c>
      <c r="L97">
        <f>IF(AND('OFF_CONVAL'!L97&lt;&gt;"",IF(ISNUMBER('OFF_CONVAL'!L97),OR('OFF_CONVAL'!L97&lt;&gt;INT('OFF_CONVAL'!L97),LEN(TEXT(ABS('OFF_CONVAL'!L97),"0"))&gt;5),TRUE)),1,0)</f>
        <v/>
      </c>
      <c r="M97">
        <f>IF(AND('OFF_CONVAL'!M97&lt;&gt;"",IF(ISNUMBER('OFF_CONVAL'!M97),OR('OFF_CONVAL'!M97&lt;&gt;INT('OFF_CONVAL'!M97),LEN(TEXT(ABS('OFF_CONVAL'!M97),"0"))&gt;5),TRUE)),1,0)</f>
        <v/>
      </c>
      <c r="N97">
        <f>IF(AND('OFF_CONVAL'!N97&lt;&gt;"",LEN('OFF_CONVAL'!N97)&gt;20),1,0)</f>
        <v/>
      </c>
      <c r="O97">
        <f>IF(AND('OFF_CONVAL'!O97&lt;&gt;"",IF(ISNUMBER('OFF_CONVAL'!O97),OR('OFF_CONVAL'!O97&lt;&gt;INT('OFF_CONVAL'!O97),LEN(TEXT(ABS('OFF_CONVAL'!O97),"0"))&gt;15),TRUE)),1,0)</f>
        <v/>
      </c>
      <c r="P97">
        <f>IF(AND('OFF_CONVAL'!P97&lt;&gt;"",OR(LEN('OFF_CONVAL'!P97)&gt;3,COUNTIF(CL_MONEDAISO,'OFF_CONVAL'!P97)=0)),1,0)</f>
        <v/>
      </c>
      <c r="Q97">
        <f>IF(AND('OFF_CONVAL'!Q97&lt;&gt;"",NOT(ISNUMBER('OFF_CONVAL'!Q97))),1,0)</f>
        <v/>
      </c>
    </row>
    <row r="98">
      <c r="A98">
        <f>IF(AND('OFF_CONVAL'!A98&lt;&gt;"",NOT(ISNUMBER('OFF_CONVAL'!A98))),1,0)</f>
        <v/>
      </c>
      <c r="B98">
        <f>IF(AND('OFF_CONVAL'!B98&lt;&gt;"",LEN('OFF_CONVAL'!B98)&gt;20),1,0)</f>
        <v/>
      </c>
      <c r="C98">
        <f>IF(AND('OFF_CONVAL'!C98&lt;&gt;"",OR(LEN('OFF_CONVAL'!C98)&gt;1,COUNTIF(CL_POSICIONOPERACION_V4,'OFF_CONVAL'!C98)=0)),1,0)</f>
        <v/>
      </c>
      <c r="D98">
        <f>IF(AND('OFF_CONVAL'!D98&lt;&gt;"",OR(LEN('OFF_CONVAL'!D98)&gt;2,COUNTIF(CL_OBJ_OPE_V1,'OFF_CONVAL'!D98)=0)),1,0)</f>
        <v/>
      </c>
      <c r="E98">
        <f>IF(AND('OFF_CONVAL'!E98&lt;&gt;"",COUNTIF(CL_PAQ_EST_DER_V1,'OFF_CONVAL'!E98)=0),1,0)</f>
        <v/>
      </c>
      <c r="F98">
        <f>IF(AND('OFF_CONVAL'!F98&lt;&gt;"",LEN('OFF_CONVAL'!F98)&gt;20),1,0)</f>
        <v/>
      </c>
      <c r="G98">
        <f>IF(AND('OFF_CONVAL'!G98&lt;&gt;"",IF(ISNUMBER('OFF_CONVAL'!G98),OR('OFF_CONVAL'!G98&lt;&gt;INT('OFF_CONVAL'!G98),LEN(TEXT(ABS('OFF_CONVAL'!G98),"0"))&gt;3),TRUE)),1,0)</f>
        <v/>
      </c>
      <c r="H98">
        <f>IF(AND('OFF_CONVAL'!H98&lt;&gt;"",IF(ISNUMBER('OFF_CONVAL'!H98),OR('OFF_CONVAL'!H98&lt;&gt;INT('OFF_CONVAL'!H98),LEN(TEXT(ABS('OFF_CONVAL'!H98),"0"))&gt;15),TRUE)),1,0)</f>
        <v/>
      </c>
      <c r="I98">
        <f>IF(AND('OFF_CONVAL'!I98&lt;&gt;"",OR(LEN('OFF_CONVAL'!I98)&gt;3,COUNTIF(CL_MONEDAISO,'OFF_CONVAL'!I98)=0)),1,0)</f>
        <v/>
      </c>
      <c r="J98">
        <f>IF(AND('OFF_CONVAL'!J98&lt;&gt;"",IF(ISNUMBER('OFF_CONVAL'!J98),OR('OFF_CONVAL'!J98&lt;&gt;INT('OFF_CONVAL'!J98),LEN(TEXT(ABS('OFF_CONVAL'!J98),"0"))&gt;15),TRUE)),1,0)</f>
        <v/>
      </c>
      <c r="K98">
        <f>IF(AND('OFF_CONVAL'!K98&lt;&gt;"",OR(LEN('OFF_CONVAL'!K98)&gt;3,COUNTIF(CL_MONEDAISO,'OFF_CONVAL'!K98)=0)),1,0)</f>
        <v/>
      </c>
      <c r="L98">
        <f>IF(AND('OFF_CONVAL'!L98&lt;&gt;"",IF(ISNUMBER('OFF_CONVAL'!L98),OR('OFF_CONVAL'!L98&lt;&gt;INT('OFF_CONVAL'!L98),LEN(TEXT(ABS('OFF_CONVAL'!L98),"0"))&gt;5),TRUE)),1,0)</f>
        <v/>
      </c>
      <c r="M98">
        <f>IF(AND('OFF_CONVAL'!M98&lt;&gt;"",IF(ISNUMBER('OFF_CONVAL'!M98),OR('OFF_CONVAL'!M98&lt;&gt;INT('OFF_CONVAL'!M98),LEN(TEXT(ABS('OFF_CONVAL'!M98),"0"))&gt;5),TRUE)),1,0)</f>
        <v/>
      </c>
      <c r="N98">
        <f>IF(AND('OFF_CONVAL'!N98&lt;&gt;"",LEN('OFF_CONVAL'!N98)&gt;20),1,0)</f>
        <v/>
      </c>
      <c r="O98">
        <f>IF(AND('OFF_CONVAL'!O98&lt;&gt;"",IF(ISNUMBER('OFF_CONVAL'!O98),OR('OFF_CONVAL'!O98&lt;&gt;INT('OFF_CONVAL'!O98),LEN(TEXT(ABS('OFF_CONVAL'!O98),"0"))&gt;15),TRUE)),1,0)</f>
        <v/>
      </c>
      <c r="P98">
        <f>IF(AND('OFF_CONVAL'!P98&lt;&gt;"",OR(LEN('OFF_CONVAL'!P98)&gt;3,COUNTIF(CL_MONEDAISO,'OFF_CONVAL'!P98)=0)),1,0)</f>
        <v/>
      </c>
      <c r="Q98">
        <f>IF(AND('OFF_CONVAL'!Q98&lt;&gt;"",NOT(ISNUMBER('OFF_CONVAL'!Q98))),1,0)</f>
        <v/>
      </c>
    </row>
    <row r="99">
      <c r="A99">
        <f>IF(AND('OFF_CONVAL'!A99&lt;&gt;"",NOT(ISNUMBER('OFF_CONVAL'!A99))),1,0)</f>
        <v/>
      </c>
      <c r="B99">
        <f>IF(AND('OFF_CONVAL'!B99&lt;&gt;"",LEN('OFF_CONVAL'!B99)&gt;20),1,0)</f>
        <v/>
      </c>
      <c r="C99">
        <f>IF(AND('OFF_CONVAL'!C99&lt;&gt;"",OR(LEN('OFF_CONVAL'!C99)&gt;1,COUNTIF(CL_POSICIONOPERACION_V4,'OFF_CONVAL'!C99)=0)),1,0)</f>
        <v/>
      </c>
      <c r="D99">
        <f>IF(AND('OFF_CONVAL'!D99&lt;&gt;"",OR(LEN('OFF_CONVAL'!D99)&gt;2,COUNTIF(CL_OBJ_OPE_V1,'OFF_CONVAL'!D99)=0)),1,0)</f>
        <v/>
      </c>
      <c r="E99">
        <f>IF(AND('OFF_CONVAL'!E99&lt;&gt;"",COUNTIF(CL_PAQ_EST_DER_V1,'OFF_CONVAL'!E99)=0),1,0)</f>
        <v/>
      </c>
      <c r="F99">
        <f>IF(AND('OFF_CONVAL'!F99&lt;&gt;"",LEN('OFF_CONVAL'!F99)&gt;20),1,0)</f>
        <v/>
      </c>
      <c r="G99">
        <f>IF(AND('OFF_CONVAL'!G99&lt;&gt;"",IF(ISNUMBER('OFF_CONVAL'!G99),OR('OFF_CONVAL'!G99&lt;&gt;INT('OFF_CONVAL'!G99),LEN(TEXT(ABS('OFF_CONVAL'!G99),"0"))&gt;3),TRUE)),1,0)</f>
        <v/>
      </c>
      <c r="H99">
        <f>IF(AND('OFF_CONVAL'!H99&lt;&gt;"",IF(ISNUMBER('OFF_CONVAL'!H99),OR('OFF_CONVAL'!H99&lt;&gt;INT('OFF_CONVAL'!H99),LEN(TEXT(ABS('OFF_CONVAL'!H99),"0"))&gt;15),TRUE)),1,0)</f>
        <v/>
      </c>
      <c r="I99">
        <f>IF(AND('OFF_CONVAL'!I99&lt;&gt;"",OR(LEN('OFF_CONVAL'!I99)&gt;3,COUNTIF(CL_MONEDAISO,'OFF_CONVAL'!I99)=0)),1,0)</f>
        <v/>
      </c>
      <c r="J99">
        <f>IF(AND('OFF_CONVAL'!J99&lt;&gt;"",IF(ISNUMBER('OFF_CONVAL'!J99),OR('OFF_CONVAL'!J99&lt;&gt;INT('OFF_CONVAL'!J99),LEN(TEXT(ABS('OFF_CONVAL'!J99),"0"))&gt;15),TRUE)),1,0)</f>
        <v/>
      </c>
      <c r="K99">
        <f>IF(AND('OFF_CONVAL'!K99&lt;&gt;"",OR(LEN('OFF_CONVAL'!K99)&gt;3,COUNTIF(CL_MONEDAISO,'OFF_CONVAL'!K99)=0)),1,0)</f>
        <v/>
      </c>
      <c r="L99">
        <f>IF(AND('OFF_CONVAL'!L99&lt;&gt;"",IF(ISNUMBER('OFF_CONVAL'!L99),OR('OFF_CONVAL'!L99&lt;&gt;INT('OFF_CONVAL'!L99),LEN(TEXT(ABS('OFF_CONVAL'!L99),"0"))&gt;5),TRUE)),1,0)</f>
        <v/>
      </c>
      <c r="M99">
        <f>IF(AND('OFF_CONVAL'!M99&lt;&gt;"",IF(ISNUMBER('OFF_CONVAL'!M99),OR('OFF_CONVAL'!M99&lt;&gt;INT('OFF_CONVAL'!M99),LEN(TEXT(ABS('OFF_CONVAL'!M99),"0"))&gt;5),TRUE)),1,0)</f>
        <v/>
      </c>
      <c r="N99">
        <f>IF(AND('OFF_CONVAL'!N99&lt;&gt;"",LEN('OFF_CONVAL'!N99)&gt;20),1,0)</f>
        <v/>
      </c>
      <c r="O99">
        <f>IF(AND('OFF_CONVAL'!O99&lt;&gt;"",IF(ISNUMBER('OFF_CONVAL'!O99),OR('OFF_CONVAL'!O99&lt;&gt;INT('OFF_CONVAL'!O99),LEN(TEXT(ABS('OFF_CONVAL'!O99),"0"))&gt;15),TRUE)),1,0)</f>
        <v/>
      </c>
      <c r="P99">
        <f>IF(AND('OFF_CONVAL'!P99&lt;&gt;"",OR(LEN('OFF_CONVAL'!P99)&gt;3,COUNTIF(CL_MONEDAISO,'OFF_CONVAL'!P99)=0)),1,0)</f>
        <v/>
      </c>
      <c r="Q99">
        <f>IF(AND('OFF_CONVAL'!Q99&lt;&gt;"",NOT(ISNUMBER('OFF_CONVAL'!Q99))),1,0)</f>
        <v/>
      </c>
    </row>
    <row r="100">
      <c r="A100">
        <f>IF(AND('OFF_CONVAL'!A100&lt;&gt;"",NOT(ISNUMBER('OFF_CONVAL'!A100))),1,0)</f>
        <v/>
      </c>
      <c r="B100">
        <f>IF(AND('OFF_CONVAL'!B100&lt;&gt;"",LEN('OFF_CONVAL'!B100)&gt;20),1,0)</f>
        <v/>
      </c>
      <c r="C100">
        <f>IF(AND('OFF_CONVAL'!C100&lt;&gt;"",OR(LEN('OFF_CONVAL'!C100)&gt;1,COUNTIF(CL_POSICIONOPERACION_V4,'OFF_CONVAL'!C100)=0)),1,0)</f>
        <v/>
      </c>
      <c r="D100">
        <f>IF(AND('OFF_CONVAL'!D100&lt;&gt;"",OR(LEN('OFF_CONVAL'!D100)&gt;2,COUNTIF(CL_OBJ_OPE_V1,'OFF_CONVAL'!D100)=0)),1,0)</f>
        <v/>
      </c>
      <c r="E100">
        <f>IF(AND('OFF_CONVAL'!E100&lt;&gt;"",COUNTIF(CL_PAQ_EST_DER_V1,'OFF_CONVAL'!E100)=0),1,0)</f>
        <v/>
      </c>
      <c r="F100">
        <f>IF(AND('OFF_CONVAL'!F100&lt;&gt;"",LEN('OFF_CONVAL'!F100)&gt;20),1,0)</f>
        <v/>
      </c>
      <c r="G100">
        <f>IF(AND('OFF_CONVAL'!G100&lt;&gt;"",IF(ISNUMBER('OFF_CONVAL'!G100),OR('OFF_CONVAL'!G100&lt;&gt;INT('OFF_CONVAL'!G100),LEN(TEXT(ABS('OFF_CONVAL'!G100),"0"))&gt;3),TRUE)),1,0)</f>
        <v/>
      </c>
      <c r="H100">
        <f>IF(AND('OFF_CONVAL'!H100&lt;&gt;"",IF(ISNUMBER('OFF_CONVAL'!H100),OR('OFF_CONVAL'!H100&lt;&gt;INT('OFF_CONVAL'!H100),LEN(TEXT(ABS('OFF_CONVAL'!H100),"0"))&gt;15),TRUE)),1,0)</f>
        <v/>
      </c>
      <c r="I100">
        <f>IF(AND('OFF_CONVAL'!I100&lt;&gt;"",OR(LEN('OFF_CONVAL'!I100)&gt;3,COUNTIF(CL_MONEDAISO,'OFF_CONVAL'!I100)=0)),1,0)</f>
        <v/>
      </c>
      <c r="J100">
        <f>IF(AND('OFF_CONVAL'!J100&lt;&gt;"",IF(ISNUMBER('OFF_CONVAL'!J100),OR('OFF_CONVAL'!J100&lt;&gt;INT('OFF_CONVAL'!J100),LEN(TEXT(ABS('OFF_CONVAL'!J100),"0"))&gt;15),TRUE)),1,0)</f>
        <v/>
      </c>
      <c r="K100">
        <f>IF(AND('OFF_CONVAL'!K100&lt;&gt;"",OR(LEN('OFF_CONVAL'!K100)&gt;3,COUNTIF(CL_MONEDAISO,'OFF_CONVAL'!K100)=0)),1,0)</f>
        <v/>
      </c>
      <c r="L100">
        <f>IF(AND('OFF_CONVAL'!L100&lt;&gt;"",IF(ISNUMBER('OFF_CONVAL'!L100),OR('OFF_CONVAL'!L100&lt;&gt;INT('OFF_CONVAL'!L100),LEN(TEXT(ABS('OFF_CONVAL'!L100),"0"))&gt;5),TRUE)),1,0)</f>
        <v/>
      </c>
      <c r="M100">
        <f>IF(AND('OFF_CONVAL'!M100&lt;&gt;"",IF(ISNUMBER('OFF_CONVAL'!M100),OR('OFF_CONVAL'!M100&lt;&gt;INT('OFF_CONVAL'!M100),LEN(TEXT(ABS('OFF_CONVAL'!M100),"0"))&gt;5),TRUE)),1,0)</f>
        <v/>
      </c>
      <c r="N100">
        <f>IF(AND('OFF_CONVAL'!N100&lt;&gt;"",LEN('OFF_CONVAL'!N100)&gt;20),1,0)</f>
        <v/>
      </c>
      <c r="O100">
        <f>IF(AND('OFF_CONVAL'!O100&lt;&gt;"",IF(ISNUMBER('OFF_CONVAL'!O100),OR('OFF_CONVAL'!O100&lt;&gt;INT('OFF_CONVAL'!O100),LEN(TEXT(ABS('OFF_CONVAL'!O100),"0"))&gt;15),TRUE)),1,0)</f>
        <v/>
      </c>
      <c r="P100">
        <f>IF(AND('OFF_CONVAL'!P100&lt;&gt;"",OR(LEN('OFF_CONVAL'!P100)&gt;3,COUNTIF(CL_MONEDAISO,'OFF_CONVAL'!P100)=0)),1,0)</f>
        <v/>
      </c>
      <c r="Q100">
        <f>IF(AND('OFF_CONVAL'!Q100&lt;&gt;"",NOT(ISNUMBER('OFF_CONVAL'!Q100))),1,0)</f>
        <v/>
      </c>
    </row>
    <row r="101">
      <c r="A101">
        <f>IF(AND('OFF_CONVAL'!A101&lt;&gt;"",NOT(ISNUMBER('OFF_CONVAL'!A101))),1,0)</f>
        <v/>
      </c>
      <c r="B101">
        <f>IF(AND('OFF_CONVAL'!B101&lt;&gt;"",LEN('OFF_CONVAL'!B101)&gt;20),1,0)</f>
        <v/>
      </c>
      <c r="C101">
        <f>IF(AND('OFF_CONVAL'!C101&lt;&gt;"",OR(LEN('OFF_CONVAL'!C101)&gt;1,COUNTIF(CL_POSICIONOPERACION_V4,'OFF_CONVAL'!C101)=0)),1,0)</f>
        <v/>
      </c>
      <c r="D101">
        <f>IF(AND('OFF_CONVAL'!D101&lt;&gt;"",OR(LEN('OFF_CONVAL'!D101)&gt;2,COUNTIF(CL_OBJ_OPE_V1,'OFF_CONVAL'!D101)=0)),1,0)</f>
        <v/>
      </c>
      <c r="E101">
        <f>IF(AND('OFF_CONVAL'!E101&lt;&gt;"",COUNTIF(CL_PAQ_EST_DER_V1,'OFF_CONVAL'!E101)=0),1,0)</f>
        <v/>
      </c>
      <c r="F101">
        <f>IF(AND('OFF_CONVAL'!F101&lt;&gt;"",LEN('OFF_CONVAL'!F101)&gt;20),1,0)</f>
        <v/>
      </c>
      <c r="G101">
        <f>IF(AND('OFF_CONVAL'!G101&lt;&gt;"",IF(ISNUMBER('OFF_CONVAL'!G101),OR('OFF_CONVAL'!G101&lt;&gt;INT('OFF_CONVAL'!G101),LEN(TEXT(ABS('OFF_CONVAL'!G101),"0"))&gt;3),TRUE)),1,0)</f>
        <v/>
      </c>
      <c r="H101">
        <f>IF(AND('OFF_CONVAL'!H101&lt;&gt;"",IF(ISNUMBER('OFF_CONVAL'!H101),OR('OFF_CONVAL'!H101&lt;&gt;INT('OFF_CONVAL'!H101),LEN(TEXT(ABS('OFF_CONVAL'!H101),"0"))&gt;15),TRUE)),1,0)</f>
        <v/>
      </c>
      <c r="I101">
        <f>IF(AND('OFF_CONVAL'!I101&lt;&gt;"",OR(LEN('OFF_CONVAL'!I101)&gt;3,COUNTIF(CL_MONEDAISO,'OFF_CONVAL'!I101)=0)),1,0)</f>
        <v/>
      </c>
      <c r="J101">
        <f>IF(AND('OFF_CONVAL'!J101&lt;&gt;"",IF(ISNUMBER('OFF_CONVAL'!J101),OR('OFF_CONVAL'!J101&lt;&gt;INT('OFF_CONVAL'!J101),LEN(TEXT(ABS('OFF_CONVAL'!J101),"0"))&gt;15),TRUE)),1,0)</f>
        <v/>
      </c>
      <c r="K101">
        <f>IF(AND('OFF_CONVAL'!K101&lt;&gt;"",OR(LEN('OFF_CONVAL'!K101)&gt;3,COUNTIF(CL_MONEDAISO,'OFF_CONVAL'!K101)=0)),1,0)</f>
        <v/>
      </c>
      <c r="L101">
        <f>IF(AND('OFF_CONVAL'!L101&lt;&gt;"",IF(ISNUMBER('OFF_CONVAL'!L101),OR('OFF_CONVAL'!L101&lt;&gt;INT('OFF_CONVAL'!L101),LEN(TEXT(ABS('OFF_CONVAL'!L101),"0"))&gt;5),TRUE)),1,0)</f>
        <v/>
      </c>
      <c r="M101">
        <f>IF(AND('OFF_CONVAL'!M101&lt;&gt;"",IF(ISNUMBER('OFF_CONVAL'!M101),OR('OFF_CONVAL'!M101&lt;&gt;INT('OFF_CONVAL'!M101),LEN(TEXT(ABS('OFF_CONVAL'!M101),"0"))&gt;5),TRUE)),1,0)</f>
        <v/>
      </c>
      <c r="N101">
        <f>IF(AND('OFF_CONVAL'!N101&lt;&gt;"",LEN('OFF_CONVAL'!N101)&gt;20),1,0)</f>
        <v/>
      </c>
      <c r="O101">
        <f>IF(AND('OFF_CONVAL'!O101&lt;&gt;"",IF(ISNUMBER('OFF_CONVAL'!O101),OR('OFF_CONVAL'!O101&lt;&gt;INT('OFF_CONVAL'!O101),LEN(TEXT(ABS('OFF_CONVAL'!O101),"0"))&gt;15),TRUE)),1,0)</f>
        <v/>
      </c>
      <c r="P101">
        <f>IF(AND('OFF_CONVAL'!P101&lt;&gt;"",OR(LEN('OFF_CONVAL'!P101)&gt;3,COUNTIF(CL_MONEDAISO,'OFF_CONVAL'!P101)=0)),1,0)</f>
        <v/>
      </c>
      <c r="Q101">
        <f>IF(AND('OFF_CONVAL'!Q101&lt;&gt;"",NOT(ISNUMBER('OFF_CONVAL'!Q101))),1,0)</f>
        <v/>
      </c>
    </row>
    <row r="102">
      <c r="A102">
        <f>IF(AND('OFF_CONVAL'!A102&lt;&gt;"",NOT(ISNUMBER('OFF_CONVAL'!A102))),1,0)</f>
        <v/>
      </c>
      <c r="B102">
        <f>IF(AND('OFF_CONVAL'!B102&lt;&gt;"",LEN('OFF_CONVAL'!B102)&gt;20),1,0)</f>
        <v/>
      </c>
      <c r="C102">
        <f>IF(AND('OFF_CONVAL'!C102&lt;&gt;"",OR(LEN('OFF_CONVAL'!C102)&gt;1,COUNTIF(CL_POSICIONOPERACION_V4,'OFF_CONVAL'!C102)=0)),1,0)</f>
        <v/>
      </c>
      <c r="D102">
        <f>IF(AND('OFF_CONVAL'!D102&lt;&gt;"",OR(LEN('OFF_CONVAL'!D102)&gt;2,COUNTIF(CL_OBJ_OPE_V1,'OFF_CONVAL'!D102)=0)),1,0)</f>
        <v/>
      </c>
      <c r="E102">
        <f>IF(AND('OFF_CONVAL'!E102&lt;&gt;"",COUNTIF(CL_PAQ_EST_DER_V1,'OFF_CONVAL'!E102)=0),1,0)</f>
        <v/>
      </c>
      <c r="F102">
        <f>IF(AND('OFF_CONVAL'!F102&lt;&gt;"",LEN('OFF_CONVAL'!F102)&gt;20),1,0)</f>
        <v/>
      </c>
      <c r="G102">
        <f>IF(AND('OFF_CONVAL'!G102&lt;&gt;"",IF(ISNUMBER('OFF_CONVAL'!G102),OR('OFF_CONVAL'!G102&lt;&gt;INT('OFF_CONVAL'!G102),LEN(TEXT(ABS('OFF_CONVAL'!G102),"0"))&gt;3),TRUE)),1,0)</f>
        <v/>
      </c>
      <c r="H102">
        <f>IF(AND('OFF_CONVAL'!H102&lt;&gt;"",IF(ISNUMBER('OFF_CONVAL'!H102),OR('OFF_CONVAL'!H102&lt;&gt;INT('OFF_CONVAL'!H102),LEN(TEXT(ABS('OFF_CONVAL'!H102),"0"))&gt;15),TRUE)),1,0)</f>
        <v/>
      </c>
      <c r="I102">
        <f>IF(AND('OFF_CONVAL'!I102&lt;&gt;"",OR(LEN('OFF_CONVAL'!I102)&gt;3,COUNTIF(CL_MONEDAISO,'OFF_CONVAL'!I102)=0)),1,0)</f>
        <v/>
      </c>
      <c r="J102">
        <f>IF(AND('OFF_CONVAL'!J102&lt;&gt;"",IF(ISNUMBER('OFF_CONVAL'!J102),OR('OFF_CONVAL'!J102&lt;&gt;INT('OFF_CONVAL'!J102),LEN(TEXT(ABS('OFF_CONVAL'!J102),"0"))&gt;15),TRUE)),1,0)</f>
        <v/>
      </c>
      <c r="K102">
        <f>IF(AND('OFF_CONVAL'!K102&lt;&gt;"",OR(LEN('OFF_CONVAL'!K102)&gt;3,COUNTIF(CL_MONEDAISO,'OFF_CONVAL'!K102)=0)),1,0)</f>
        <v/>
      </c>
      <c r="L102">
        <f>IF(AND('OFF_CONVAL'!L102&lt;&gt;"",IF(ISNUMBER('OFF_CONVAL'!L102),OR('OFF_CONVAL'!L102&lt;&gt;INT('OFF_CONVAL'!L102),LEN(TEXT(ABS('OFF_CONVAL'!L102),"0"))&gt;5),TRUE)),1,0)</f>
        <v/>
      </c>
      <c r="M102">
        <f>IF(AND('OFF_CONVAL'!M102&lt;&gt;"",IF(ISNUMBER('OFF_CONVAL'!M102),OR('OFF_CONVAL'!M102&lt;&gt;INT('OFF_CONVAL'!M102),LEN(TEXT(ABS('OFF_CONVAL'!M102),"0"))&gt;5),TRUE)),1,0)</f>
        <v/>
      </c>
      <c r="N102">
        <f>IF(AND('OFF_CONVAL'!N102&lt;&gt;"",LEN('OFF_CONVAL'!N102)&gt;20),1,0)</f>
        <v/>
      </c>
      <c r="O102">
        <f>IF(AND('OFF_CONVAL'!O102&lt;&gt;"",IF(ISNUMBER('OFF_CONVAL'!O102),OR('OFF_CONVAL'!O102&lt;&gt;INT('OFF_CONVAL'!O102),LEN(TEXT(ABS('OFF_CONVAL'!O102),"0"))&gt;15),TRUE)),1,0)</f>
        <v/>
      </c>
      <c r="P102">
        <f>IF(AND('OFF_CONVAL'!P102&lt;&gt;"",OR(LEN('OFF_CONVAL'!P102)&gt;3,COUNTIF(CL_MONEDAISO,'OFF_CONVAL'!P102)=0)),1,0)</f>
        <v/>
      </c>
      <c r="Q102">
        <f>IF(AND('OFF_CONVAL'!Q102&lt;&gt;"",NOT(ISNUMBER('OFF_CONVAL'!Q102))),1,0)</f>
        <v/>
      </c>
    </row>
    <row r="103">
      <c r="A103">
        <f>IF(AND('OFF_CONVAL'!A103&lt;&gt;"",NOT(ISNUMBER('OFF_CONVAL'!A103))),1,0)</f>
        <v/>
      </c>
      <c r="B103">
        <f>IF(AND('OFF_CONVAL'!B103&lt;&gt;"",LEN('OFF_CONVAL'!B103)&gt;20),1,0)</f>
        <v/>
      </c>
      <c r="C103">
        <f>IF(AND('OFF_CONVAL'!C103&lt;&gt;"",OR(LEN('OFF_CONVAL'!C103)&gt;1,COUNTIF(CL_POSICIONOPERACION_V4,'OFF_CONVAL'!C103)=0)),1,0)</f>
        <v/>
      </c>
      <c r="D103">
        <f>IF(AND('OFF_CONVAL'!D103&lt;&gt;"",OR(LEN('OFF_CONVAL'!D103)&gt;2,COUNTIF(CL_OBJ_OPE_V1,'OFF_CONVAL'!D103)=0)),1,0)</f>
        <v/>
      </c>
      <c r="E103">
        <f>IF(AND('OFF_CONVAL'!E103&lt;&gt;"",COUNTIF(CL_PAQ_EST_DER_V1,'OFF_CONVAL'!E103)=0),1,0)</f>
        <v/>
      </c>
      <c r="F103">
        <f>IF(AND('OFF_CONVAL'!F103&lt;&gt;"",LEN('OFF_CONVAL'!F103)&gt;20),1,0)</f>
        <v/>
      </c>
      <c r="G103">
        <f>IF(AND('OFF_CONVAL'!G103&lt;&gt;"",IF(ISNUMBER('OFF_CONVAL'!G103),OR('OFF_CONVAL'!G103&lt;&gt;INT('OFF_CONVAL'!G103),LEN(TEXT(ABS('OFF_CONVAL'!G103),"0"))&gt;3),TRUE)),1,0)</f>
        <v/>
      </c>
      <c r="H103">
        <f>IF(AND('OFF_CONVAL'!H103&lt;&gt;"",IF(ISNUMBER('OFF_CONVAL'!H103),OR('OFF_CONVAL'!H103&lt;&gt;INT('OFF_CONVAL'!H103),LEN(TEXT(ABS('OFF_CONVAL'!H103),"0"))&gt;15),TRUE)),1,0)</f>
        <v/>
      </c>
      <c r="I103">
        <f>IF(AND('OFF_CONVAL'!I103&lt;&gt;"",OR(LEN('OFF_CONVAL'!I103)&gt;3,COUNTIF(CL_MONEDAISO,'OFF_CONVAL'!I103)=0)),1,0)</f>
        <v/>
      </c>
      <c r="J103">
        <f>IF(AND('OFF_CONVAL'!J103&lt;&gt;"",IF(ISNUMBER('OFF_CONVAL'!J103),OR('OFF_CONVAL'!J103&lt;&gt;INT('OFF_CONVAL'!J103),LEN(TEXT(ABS('OFF_CONVAL'!J103),"0"))&gt;15),TRUE)),1,0)</f>
        <v/>
      </c>
      <c r="K103">
        <f>IF(AND('OFF_CONVAL'!K103&lt;&gt;"",OR(LEN('OFF_CONVAL'!K103)&gt;3,COUNTIF(CL_MONEDAISO,'OFF_CONVAL'!K103)=0)),1,0)</f>
        <v/>
      </c>
      <c r="L103">
        <f>IF(AND('OFF_CONVAL'!L103&lt;&gt;"",IF(ISNUMBER('OFF_CONVAL'!L103),OR('OFF_CONVAL'!L103&lt;&gt;INT('OFF_CONVAL'!L103),LEN(TEXT(ABS('OFF_CONVAL'!L103),"0"))&gt;5),TRUE)),1,0)</f>
        <v/>
      </c>
      <c r="M103">
        <f>IF(AND('OFF_CONVAL'!M103&lt;&gt;"",IF(ISNUMBER('OFF_CONVAL'!M103),OR('OFF_CONVAL'!M103&lt;&gt;INT('OFF_CONVAL'!M103),LEN(TEXT(ABS('OFF_CONVAL'!M103),"0"))&gt;5),TRUE)),1,0)</f>
        <v/>
      </c>
      <c r="N103">
        <f>IF(AND('OFF_CONVAL'!N103&lt;&gt;"",LEN('OFF_CONVAL'!N103)&gt;20),1,0)</f>
        <v/>
      </c>
      <c r="O103">
        <f>IF(AND('OFF_CONVAL'!O103&lt;&gt;"",IF(ISNUMBER('OFF_CONVAL'!O103),OR('OFF_CONVAL'!O103&lt;&gt;INT('OFF_CONVAL'!O103),LEN(TEXT(ABS('OFF_CONVAL'!O103),"0"))&gt;15),TRUE)),1,0)</f>
        <v/>
      </c>
      <c r="P103">
        <f>IF(AND('OFF_CONVAL'!P103&lt;&gt;"",OR(LEN('OFF_CONVAL'!P103)&gt;3,COUNTIF(CL_MONEDAISO,'OFF_CONVAL'!P103)=0)),1,0)</f>
        <v/>
      </c>
      <c r="Q103">
        <f>IF(AND('OFF_CONVAL'!Q103&lt;&gt;"",NOT(ISNUMBER('OFF_CONVAL'!Q103))),1,0)</f>
        <v/>
      </c>
    </row>
    <row r="104">
      <c r="A104">
        <f>IF(AND('OFF_CONVAL'!A104&lt;&gt;"",NOT(ISNUMBER('OFF_CONVAL'!A104))),1,0)</f>
        <v/>
      </c>
      <c r="B104">
        <f>IF(AND('OFF_CONVAL'!B104&lt;&gt;"",LEN('OFF_CONVAL'!B104)&gt;20),1,0)</f>
        <v/>
      </c>
      <c r="C104">
        <f>IF(AND('OFF_CONVAL'!C104&lt;&gt;"",OR(LEN('OFF_CONVAL'!C104)&gt;1,COUNTIF(CL_POSICIONOPERACION_V4,'OFF_CONVAL'!C104)=0)),1,0)</f>
        <v/>
      </c>
      <c r="D104">
        <f>IF(AND('OFF_CONVAL'!D104&lt;&gt;"",OR(LEN('OFF_CONVAL'!D104)&gt;2,COUNTIF(CL_OBJ_OPE_V1,'OFF_CONVAL'!D104)=0)),1,0)</f>
        <v/>
      </c>
      <c r="E104">
        <f>IF(AND('OFF_CONVAL'!E104&lt;&gt;"",COUNTIF(CL_PAQ_EST_DER_V1,'OFF_CONVAL'!E104)=0),1,0)</f>
        <v/>
      </c>
      <c r="F104">
        <f>IF(AND('OFF_CONVAL'!F104&lt;&gt;"",LEN('OFF_CONVAL'!F104)&gt;20),1,0)</f>
        <v/>
      </c>
      <c r="G104">
        <f>IF(AND('OFF_CONVAL'!G104&lt;&gt;"",IF(ISNUMBER('OFF_CONVAL'!G104),OR('OFF_CONVAL'!G104&lt;&gt;INT('OFF_CONVAL'!G104),LEN(TEXT(ABS('OFF_CONVAL'!G104),"0"))&gt;3),TRUE)),1,0)</f>
        <v/>
      </c>
      <c r="H104">
        <f>IF(AND('OFF_CONVAL'!H104&lt;&gt;"",IF(ISNUMBER('OFF_CONVAL'!H104),OR('OFF_CONVAL'!H104&lt;&gt;INT('OFF_CONVAL'!H104),LEN(TEXT(ABS('OFF_CONVAL'!H104),"0"))&gt;15),TRUE)),1,0)</f>
        <v/>
      </c>
      <c r="I104">
        <f>IF(AND('OFF_CONVAL'!I104&lt;&gt;"",OR(LEN('OFF_CONVAL'!I104)&gt;3,COUNTIF(CL_MONEDAISO,'OFF_CONVAL'!I104)=0)),1,0)</f>
        <v/>
      </c>
      <c r="J104">
        <f>IF(AND('OFF_CONVAL'!J104&lt;&gt;"",IF(ISNUMBER('OFF_CONVAL'!J104),OR('OFF_CONVAL'!J104&lt;&gt;INT('OFF_CONVAL'!J104),LEN(TEXT(ABS('OFF_CONVAL'!J104),"0"))&gt;15),TRUE)),1,0)</f>
        <v/>
      </c>
      <c r="K104">
        <f>IF(AND('OFF_CONVAL'!K104&lt;&gt;"",OR(LEN('OFF_CONVAL'!K104)&gt;3,COUNTIF(CL_MONEDAISO,'OFF_CONVAL'!K104)=0)),1,0)</f>
        <v/>
      </c>
      <c r="L104">
        <f>IF(AND('OFF_CONVAL'!L104&lt;&gt;"",IF(ISNUMBER('OFF_CONVAL'!L104),OR('OFF_CONVAL'!L104&lt;&gt;INT('OFF_CONVAL'!L104),LEN(TEXT(ABS('OFF_CONVAL'!L104),"0"))&gt;5),TRUE)),1,0)</f>
        <v/>
      </c>
      <c r="M104">
        <f>IF(AND('OFF_CONVAL'!M104&lt;&gt;"",IF(ISNUMBER('OFF_CONVAL'!M104),OR('OFF_CONVAL'!M104&lt;&gt;INT('OFF_CONVAL'!M104),LEN(TEXT(ABS('OFF_CONVAL'!M104),"0"))&gt;5),TRUE)),1,0)</f>
        <v/>
      </c>
      <c r="N104">
        <f>IF(AND('OFF_CONVAL'!N104&lt;&gt;"",LEN('OFF_CONVAL'!N104)&gt;20),1,0)</f>
        <v/>
      </c>
      <c r="O104">
        <f>IF(AND('OFF_CONVAL'!O104&lt;&gt;"",IF(ISNUMBER('OFF_CONVAL'!O104),OR('OFF_CONVAL'!O104&lt;&gt;INT('OFF_CONVAL'!O104),LEN(TEXT(ABS('OFF_CONVAL'!O104),"0"))&gt;15),TRUE)),1,0)</f>
        <v/>
      </c>
      <c r="P104">
        <f>IF(AND('OFF_CONVAL'!P104&lt;&gt;"",OR(LEN('OFF_CONVAL'!P104)&gt;3,COUNTIF(CL_MONEDAISO,'OFF_CONVAL'!P104)=0)),1,0)</f>
        <v/>
      </c>
      <c r="Q104">
        <f>IF(AND('OFF_CONVAL'!Q104&lt;&gt;"",NOT(ISNUMBER('OFF_CONVAL'!Q104))),1,0)</f>
        <v/>
      </c>
    </row>
    <row r="105">
      <c r="A105">
        <f>IF(AND('OFF_CONVAL'!A105&lt;&gt;"",NOT(ISNUMBER('OFF_CONVAL'!A105))),1,0)</f>
        <v/>
      </c>
      <c r="B105">
        <f>IF(AND('OFF_CONVAL'!B105&lt;&gt;"",LEN('OFF_CONVAL'!B105)&gt;20),1,0)</f>
        <v/>
      </c>
      <c r="C105">
        <f>IF(AND('OFF_CONVAL'!C105&lt;&gt;"",OR(LEN('OFF_CONVAL'!C105)&gt;1,COUNTIF(CL_POSICIONOPERACION_V4,'OFF_CONVAL'!C105)=0)),1,0)</f>
        <v/>
      </c>
      <c r="D105">
        <f>IF(AND('OFF_CONVAL'!D105&lt;&gt;"",OR(LEN('OFF_CONVAL'!D105)&gt;2,COUNTIF(CL_OBJ_OPE_V1,'OFF_CONVAL'!D105)=0)),1,0)</f>
        <v/>
      </c>
      <c r="E105">
        <f>IF(AND('OFF_CONVAL'!E105&lt;&gt;"",COUNTIF(CL_PAQ_EST_DER_V1,'OFF_CONVAL'!E105)=0),1,0)</f>
        <v/>
      </c>
      <c r="F105">
        <f>IF(AND('OFF_CONVAL'!F105&lt;&gt;"",LEN('OFF_CONVAL'!F105)&gt;20),1,0)</f>
        <v/>
      </c>
      <c r="G105">
        <f>IF(AND('OFF_CONVAL'!G105&lt;&gt;"",IF(ISNUMBER('OFF_CONVAL'!G105),OR('OFF_CONVAL'!G105&lt;&gt;INT('OFF_CONVAL'!G105),LEN(TEXT(ABS('OFF_CONVAL'!G105),"0"))&gt;3),TRUE)),1,0)</f>
        <v/>
      </c>
      <c r="H105">
        <f>IF(AND('OFF_CONVAL'!H105&lt;&gt;"",IF(ISNUMBER('OFF_CONVAL'!H105),OR('OFF_CONVAL'!H105&lt;&gt;INT('OFF_CONVAL'!H105),LEN(TEXT(ABS('OFF_CONVAL'!H105),"0"))&gt;15),TRUE)),1,0)</f>
        <v/>
      </c>
      <c r="I105">
        <f>IF(AND('OFF_CONVAL'!I105&lt;&gt;"",OR(LEN('OFF_CONVAL'!I105)&gt;3,COUNTIF(CL_MONEDAISO,'OFF_CONVAL'!I105)=0)),1,0)</f>
        <v/>
      </c>
      <c r="J105">
        <f>IF(AND('OFF_CONVAL'!J105&lt;&gt;"",IF(ISNUMBER('OFF_CONVAL'!J105),OR('OFF_CONVAL'!J105&lt;&gt;INT('OFF_CONVAL'!J105),LEN(TEXT(ABS('OFF_CONVAL'!J105),"0"))&gt;15),TRUE)),1,0)</f>
        <v/>
      </c>
      <c r="K105">
        <f>IF(AND('OFF_CONVAL'!K105&lt;&gt;"",OR(LEN('OFF_CONVAL'!K105)&gt;3,COUNTIF(CL_MONEDAISO,'OFF_CONVAL'!K105)=0)),1,0)</f>
        <v/>
      </c>
      <c r="L105">
        <f>IF(AND('OFF_CONVAL'!L105&lt;&gt;"",IF(ISNUMBER('OFF_CONVAL'!L105),OR('OFF_CONVAL'!L105&lt;&gt;INT('OFF_CONVAL'!L105),LEN(TEXT(ABS('OFF_CONVAL'!L105),"0"))&gt;5),TRUE)),1,0)</f>
        <v/>
      </c>
      <c r="M105">
        <f>IF(AND('OFF_CONVAL'!M105&lt;&gt;"",IF(ISNUMBER('OFF_CONVAL'!M105),OR('OFF_CONVAL'!M105&lt;&gt;INT('OFF_CONVAL'!M105),LEN(TEXT(ABS('OFF_CONVAL'!M105),"0"))&gt;5),TRUE)),1,0)</f>
        <v/>
      </c>
      <c r="N105">
        <f>IF(AND('OFF_CONVAL'!N105&lt;&gt;"",LEN('OFF_CONVAL'!N105)&gt;20),1,0)</f>
        <v/>
      </c>
      <c r="O105">
        <f>IF(AND('OFF_CONVAL'!O105&lt;&gt;"",IF(ISNUMBER('OFF_CONVAL'!O105),OR('OFF_CONVAL'!O105&lt;&gt;INT('OFF_CONVAL'!O105),LEN(TEXT(ABS('OFF_CONVAL'!O105),"0"))&gt;15),TRUE)),1,0)</f>
        <v/>
      </c>
      <c r="P105">
        <f>IF(AND('OFF_CONVAL'!P105&lt;&gt;"",OR(LEN('OFF_CONVAL'!P105)&gt;3,COUNTIF(CL_MONEDAISO,'OFF_CONVAL'!P105)=0)),1,0)</f>
        <v/>
      </c>
      <c r="Q105">
        <f>IF(AND('OFF_CONVAL'!Q105&lt;&gt;"",NOT(ISNUMBER('OFF_CONVAL'!Q105))),1,0)</f>
        <v/>
      </c>
    </row>
    <row r="106">
      <c r="A106">
        <f>IF(AND('OFF_CONVAL'!A106&lt;&gt;"",NOT(ISNUMBER('OFF_CONVAL'!A106))),1,0)</f>
        <v/>
      </c>
      <c r="B106">
        <f>IF(AND('OFF_CONVAL'!B106&lt;&gt;"",LEN('OFF_CONVAL'!B106)&gt;20),1,0)</f>
        <v/>
      </c>
      <c r="C106">
        <f>IF(AND('OFF_CONVAL'!C106&lt;&gt;"",OR(LEN('OFF_CONVAL'!C106)&gt;1,COUNTIF(CL_POSICIONOPERACION_V4,'OFF_CONVAL'!C106)=0)),1,0)</f>
        <v/>
      </c>
      <c r="D106">
        <f>IF(AND('OFF_CONVAL'!D106&lt;&gt;"",OR(LEN('OFF_CONVAL'!D106)&gt;2,COUNTIF(CL_OBJ_OPE_V1,'OFF_CONVAL'!D106)=0)),1,0)</f>
        <v/>
      </c>
      <c r="E106">
        <f>IF(AND('OFF_CONVAL'!E106&lt;&gt;"",COUNTIF(CL_PAQ_EST_DER_V1,'OFF_CONVAL'!E106)=0),1,0)</f>
        <v/>
      </c>
      <c r="F106">
        <f>IF(AND('OFF_CONVAL'!F106&lt;&gt;"",LEN('OFF_CONVAL'!F106)&gt;20),1,0)</f>
        <v/>
      </c>
      <c r="G106">
        <f>IF(AND('OFF_CONVAL'!G106&lt;&gt;"",IF(ISNUMBER('OFF_CONVAL'!G106),OR('OFF_CONVAL'!G106&lt;&gt;INT('OFF_CONVAL'!G106),LEN(TEXT(ABS('OFF_CONVAL'!G106),"0"))&gt;3),TRUE)),1,0)</f>
        <v/>
      </c>
      <c r="H106">
        <f>IF(AND('OFF_CONVAL'!H106&lt;&gt;"",IF(ISNUMBER('OFF_CONVAL'!H106),OR('OFF_CONVAL'!H106&lt;&gt;INT('OFF_CONVAL'!H106),LEN(TEXT(ABS('OFF_CONVAL'!H106),"0"))&gt;15),TRUE)),1,0)</f>
        <v/>
      </c>
      <c r="I106">
        <f>IF(AND('OFF_CONVAL'!I106&lt;&gt;"",OR(LEN('OFF_CONVAL'!I106)&gt;3,COUNTIF(CL_MONEDAISO,'OFF_CONVAL'!I106)=0)),1,0)</f>
        <v/>
      </c>
      <c r="J106">
        <f>IF(AND('OFF_CONVAL'!J106&lt;&gt;"",IF(ISNUMBER('OFF_CONVAL'!J106),OR('OFF_CONVAL'!J106&lt;&gt;INT('OFF_CONVAL'!J106),LEN(TEXT(ABS('OFF_CONVAL'!J106),"0"))&gt;15),TRUE)),1,0)</f>
        <v/>
      </c>
      <c r="K106">
        <f>IF(AND('OFF_CONVAL'!K106&lt;&gt;"",OR(LEN('OFF_CONVAL'!K106)&gt;3,COUNTIF(CL_MONEDAISO,'OFF_CONVAL'!K106)=0)),1,0)</f>
        <v/>
      </c>
      <c r="L106">
        <f>IF(AND('OFF_CONVAL'!L106&lt;&gt;"",IF(ISNUMBER('OFF_CONVAL'!L106),OR('OFF_CONVAL'!L106&lt;&gt;INT('OFF_CONVAL'!L106),LEN(TEXT(ABS('OFF_CONVAL'!L106),"0"))&gt;5),TRUE)),1,0)</f>
        <v/>
      </c>
      <c r="M106">
        <f>IF(AND('OFF_CONVAL'!M106&lt;&gt;"",IF(ISNUMBER('OFF_CONVAL'!M106),OR('OFF_CONVAL'!M106&lt;&gt;INT('OFF_CONVAL'!M106),LEN(TEXT(ABS('OFF_CONVAL'!M106),"0"))&gt;5),TRUE)),1,0)</f>
        <v/>
      </c>
      <c r="N106">
        <f>IF(AND('OFF_CONVAL'!N106&lt;&gt;"",LEN('OFF_CONVAL'!N106)&gt;20),1,0)</f>
        <v/>
      </c>
      <c r="O106">
        <f>IF(AND('OFF_CONVAL'!O106&lt;&gt;"",IF(ISNUMBER('OFF_CONVAL'!O106),OR('OFF_CONVAL'!O106&lt;&gt;INT('OFF_CONVAL'!O106),LEN(TEXT(ABS('OFF_CONVAL'!O106),"0"))&gt;15),TRUE)),1,0)</f>
        <v/>
      </c>
      <c r="P106">
        <f>IF(AND('OFF_CONVAL'!P106&lt;&gt;"",OR(LEN('OFF_CONVAL'!P106)&gt;3,COUNTIF(CL_MONEDAISO,'OFF_CONVAL'!P106)=0)),1,0)</f>
        <v/>
      </c>
      <c r="Q106">
        <f>IF(AND('OFF_CONVAL'!Q106&lt;&gt;"",NOT(ISNUMBER('OFF_CONVAL'!Q106))),1,0)</f>
        <v/>
      </c>
    </row>
    <row r="107">
      <c r="A107">
        <f>IF(AND('OFF_CONVAL'!A107&lt;&gt;"",NOT(ISNUMBER('OFF_CONVAL'!A107))),1,0)</f>
        <v/>
      </c>
      <c r="B107">
        <f>IF(AND('OFF_CONVAL'!B107&lt;&gt;"",LEN('OFF_CONVAL'!B107)&gt;20),1,0)</f>
        <v/>
      </c>
      <c r="C107">
        <f>IF(AND('OFF_CONVAL'!C107&lt;&gt;"",OR(LEN('OFF_CONVAL'!C107)&gt;1,COUNTIF(CL_POSICIONOPERACION_V4,'OFF_CONVAL'!C107)=0)),1,0)</f>
        <v/>
      </c>
      <c r="D107">
        <f>IF(AND('OFF_CONVAL'!D107&lt;&gt;"",OR(LEN('OFF_CONVAL'!D107)&gt;2,COUNTIF(CL_OBJ_OPE_V1,'OFF_CONVAL'!D107)=0)),1,0)</f>
        <v/>
      </c>
      <c r="E107">
        <f>IF(AND('OFF_CONVAL'!E107&lt;&gt;"",COUNTIF(CL_PAQ_EST_DER_V1,'OFF_CONVAL'!E107)=0),1,0)</f>
        <v/>
      </c>
      <c r="F107">
        <f>IF(AND('OFF_CONVAL'!F107&lt;&gt;"",LEN('OFF_CONVAL'!F107)&gt;20),1,0)</f>
        <v/>
      </c>
      <c r="G107">
        <f>IF(AND('OFF_CONVAL'!G107&lt;&gt;"",IF(ISNUMBER('OFF_CONVAL'!G107),OR('OFF_CONVAL'!G107&lt;&gt;INT('OFF_CONVAL'!G107),LEN(TEXT(ABS('OFF_CONVAL'!G107),"0"))&gt;3),TRUE)),1,0)</f>
        <v/>
      </c>
      <c r="H107">
        <f>IF(AND('OFF_CONVAL'!H107&lt;&gt;"",IF(ISNUMBER('OFF_CONVAL'!H107),OR('OFF_CONVAL'!H107&lt;&gt;INT('OFF_CONVAL'!H107),LEN(TEXT(ABS('OFF_CONVAL'!H107),"0"))&gt;15),TRUE)),1,0)</f>
        <v/>
      </c>
      <c r="I107">
        <f>IF(AND('OFF_CONVAL'!I107&lt;&gt;"",OR(LEN('OFF_CONVAL'!I107)&gt;3,COUNTIF(CL_MONEDAISO,'OFF_CONVAL'!I107)=0)),1,0)</f>
        <v/>
      </c>
      <c r="J107">
        <f>IF(AND('OFF_CONVAL'!J107&lt;&gt;"",IF(ISNUMBER('OFF_CONVAL'!J107),OR('OFF_CONVAL'!J107&lt;&gt;INT('OFF_CONVAL'!J107),LEN(TEXT(ABS('OFF_CONVAL'!J107),"0"))&gt;15),TRUE)),1,0)</f>
        <v/>
      </c>
      <c r="K107">
        <f>IF(AND('OFF_CONVAL'!K107&lt;&gt;"",OR(LEN('OFF_CONVAL'!K107)&gt;3,COUNTIF(CL_MONEDAISO,'OFF_CONVAL'!K107)=0)),1,0)</f>
        <v/>
      </c>
      <c r="L107">
        <f>IF(AND('OFF_CONVAL'!L107&lt;&gt;"",IF(ISNUMBER('OFF_CONVAL'!L107),OR('OFF_CONVAL'!L107&lt;&gt;INT('OFF_CONVAL'!L107),LEN(TEXT(ABS('OFF_CONVAL'!L107),"0"))&gt;5),TRUE)),1,0)</f>
        <v/>
      </c>
      <c r="M107">
        <f>IF(AND('OFF_CONVAL'!M107&lt;&gt;"",IF(ISNUMBER('OFF_CONVAL'!M107),OR('OFF_CONVAL'!M107&lt;&gt;INT('OFF_CONVAL'!M107),LEN(TEXT(ABS('OFF_CONVAL'!M107),"0"))&gt;5),TRUE)),1,0)</f>
        <v/>
      </c>
      <c r="N107">
        <f>IF(AND('OFF_CONVAL'!N107&lt;&gt;"",LEN('OFF_CONVAL'!N107)&gt;20),1,0)</f>
        <v/>
      </c>
      <c r="O107">
        <f>IF(AND('OFF_CONVAL'!O107&lt;&gt;"",IF(ISNUMBER('OFF_CONVAL'!O107),OR('OFF_CONVAL'!O107&lt;&gt;INT('OFF_CONVAL'!O107),LEN(TEXT(ABS('OFF_CONVAL'!O107),"0"))&gt;15),TRUE)),1,0)</f>
        <v/>
      </c>
      <c r="P107">
        <f>IF(AND('OFF_CONVAL'!P107&lt;&gt;"",OR(LEN('OFF_CONVAL'!P107)&gt;3,COUNTIF(CL_MONEDAISO,'OFF_CONVAL'!P107)=0)),1,0)</f>
        <v/>
      </c>
      <c r="Q107">
        <f>IF(AND('OFF_CONVAL'!Q107&lt;&gt;"",NOT(ISNUMBER('OFF_CONVAL'!Q107))),1,0)</f>
        <v/>
      </c>
    </row>
    <row r="108">
      <c r="A108">
        <f>IF(AND('OFF_CONVAL'!A108&lt;&gt;"",NOT(ISNUMBER('OFF_CONVAL'!A108))),1,0)</f>
        <v/>
      </c>
      <c r="B108">
        <f>IF(AND('OFF_CONVAL'!B108&lt;&gt;"",LEN('OFF_CONVAL'!B108)&gt;20),1,0)</f>
        <v/>
      </c>
      <c r="C108">
        <f>IF(AND('OFF_CONVAL'!C108&lt;&gt;"",OR(LEN('OFF_CONVAL'!C108)&gt;1,COUNTIF(CL_POSICIONOPERACION_V4,'OFF_CONVAL'!C108)=0)),1,0)</f>
        <v/>
      </c>
      <c r="D108">
        <f>IF(AND('OFF_CONVAL'!D108&lt;&gt;"",OR(LEN('OFF_CONVAL'!D108)&gt;2,COUNTIF(CL_OBJ_OPE_V1,'OFF_CONVAL'!D108)=0)),1,0)</f>
        <v/>
      </c>
      <c r="E108">
        <f>IF(AND('OFF_CONVAL'!E108&lt;&gt;"",COUNTIF(CL_PAQ_EST_DER_V1,'OFF_CONVAL'!E108)=0),1,0)</f>
        <v/>
      </c>
      <c r="F108">
        <f>IF(AND('OFF_CONVAL'!F108&lt;&gt;"",LEN('OFF_CONVAL'!F108)&gt;20),1,0)</f>
        <v/>
      </c>
      <c r="G108">
        <f>IF(AND('OFF_CONVAL'!G108&lt;&gt;"",IF(ISNUMBER('OFF_CONVAL'!G108),OR('OFF_CONVAL'!G108&lt;&gt;INT('OFF_CONVAL'!G108),LEN(TEXT(ABS('OFF_CONVAL'!G108),"0"))&gt;3),TRUE)),1,0)</f>
        <v/>
      </c>
      <c r="H108">
        <f>IF(AND('OFF_CONVAL'!H108&lt;&gt;"",IF(ISNUMBER('OFF_CONVAL'!H108),OR('OFF_CONVAL'!H108&lt;&gt;INT('OFF_CONVAL'!H108),LEN(TEXT(ABS('OFF_CONVAL'!H108),"0"))&gt;15),TRUE)),1,0)</f>
        <v/>
      </c>
      <c r="I108">
        <f>IF(AND('OFF_CONVAL'!I108&lt;&gt;"",OR(LEN('OFF_CONVAL'!I108)&gt;3,COUNTIF(CL_MONEDAISO,'OFF_CONVAL'!I108)=0)),1,0)</f>
        <v/>
      </c>
      <c r="J108">
        <f>IF(AND('OFF_CONVAL'!J108&lt;&gt;"",IF(ISNUMBER('OFF_CONVAL'!J108),OR('OFF_CONVAL'!J108&lt;&gt;INT('OFF_CONVAL'!J108),LEN(TEXT(ABS('OFF_CONVAL'!J108),"0"))&gt;15),TRUE)),1,0)</f>
        <v/>
      </c>
      <c r="K108">
        <f>IF(AND('OFF_CONVAL'!K108&lt;&gt;"",OR(LEN('OFF_CONVAL'!K108)&gt;3,COUNTIF(CL_MONEDAISO,'OFF_CONVAL'!K108)=0)),1,0)</f>
        <v/>
      </c>
      <c r="L108">
        <f>IF(AND('OFF_CONVAL'!L108&lt;&gt;"",IF(ISNUMBER('OFF_CONVAL'!L108),OR('OFF_CONVAL'!L108&lt;&gt;INT('OFF_CONVAL'!L108),LEN(TEXT(ABS('OFF_CONVAL'!L108),"0"))&gt;5),TRUE)),1,0)</f>
        <v/>
      </c>
      <c r="M108">
        <f>IF(AND('OFF_CONVAL'!M108&lt;&gt;"",IF(ISNUMBER('OFF_CONVAL'!M108),OR('OFF_CONVAL'!M108&lt;&gt;INT('OFF_CONVAL'!M108),LEN(TEXT(ABS('OFF_CONVAL'!M108),"0"))&gt;5),TRUE)),1,0)</f>
        <v/>
      </c>
      <c r="N108">
        <f>IF(AND('OFF_CONVAL'!N108&lt;&gt;"",LEN('OFF_CONVAL'!N108)&gt;20),1,0)</f>
        <v/>
      </c>
      <c r="O108">
        <f>IF(AND('OFF_CONVAL'!O108&lt;&gt;"",IF(ISNUMBER('OFF_CONVAL'!O108),OR('OFF_CONVAL'!O108&lt;&gt;INT('OFF_CONVAL'!O108),LEN(TEXT(ABS('OFF_CONVAL'!O108),"0"))&gt;15),TRUE)),1,0)</f>
        <v/>
      </c>
      <c r="P108">
        <f>IF(AND('OFF_CONVAL'!P108&lt;&gt;"",OR(LEN('OFF_CONVAL'!P108)&gt;3,COUNTIF(CL_MONEDAISO,'OFF_CONVAL'!P108)=0)),1,0)</f>
        <v/>
      </c>
      <c r="Q108">
        <f>IF(AND('OFF_CONVAL'!Q108&lt;&gt;"",NOT(ISNUMBER('OFF_CONVAL'!Q108))),1,0)</f>
        <v/>
      </c>
    </row>
    <row r="109">
      <c r="A109">
        <f>IF(AND('OFF_CONVAL'!A109&lt;&gt;"",NOT(ISNUMBER('OFF_CONVAL'!A109))),1,0)</f>
        <v/>
      </c>
      <c r="B109">
        <f>IF(AND('OFF_CONVAL'!B109&lt;&gt;"",LEN('OFF_CONVAL'!B109)&gt;20),1,0)</f>
        <v/>
      </c>
      <c r="C109">
        <f>IF(AND('OFF_CONVAL'!C109&lt;&gt;"",OR(LEN('OFF_CONVAL'!C109)&gt;1,COUNTIF(CL_POSICIONOPERACION_V4,'OFF_CONVAL'!C109)=0)),1,0)</f>
        <v/>
      </c>
      <c r="D109">
        <f>IF(AND('OFF_CONVAL'!D109&lt;&gt;"",OR(LEN('OFF_CONVAL'!D109)&gt;2,COUNTIF(CL_OBJ_OPE_V1,'OFF_CONVAL'!D109)=0)),1,0)</f>
        <v/>
      </c>
      <c r="E109">
        <f>IF(AND('OFF_CONVAL'!E109&lt;&gt;"",COUNTIF(CL_PAQ_EST_DER_V1,'OFF_CONVAL'!E109)=0),1,0)</f>
        <v/>
      </c>
      <c r="F109">
        <f>IF(AND('OFF_CONVAL'!F109&lt;&gt;"",LEN('OFF_CONVAL'!F109)&gt;20),1,0)</f>
        <v/>
      </c>
      <c r="G109">
        <f>IF(AND('OFF_CONVAL'!G109&lt;&gt;"",IF(ISNUMBER('OFF_CONVAL'!G109),OR('OFF_CONVAL'!G109&lt;&gt;INT('OFF_CONVAL'!G109),LEN(TEXT(ABS('OFF_CONVAL'!G109),"0"))&gt;3),TRUE)),1,0)</f>
        <v/>
      </c>
      <c r="H109">
        <f>IF(AND('OFF_CONVAL'!H109&lt;&gt;"",IF(ISNUMBER('OFF_CONVAL'!H109),OR('OFF_CONVAL'!H109&lt;&gt;INT('OFF_CONVAL'!H109),LEN(TEXT(ABS('OFF_CONVAL'!H109),"0"))&gt;15),TRUE)),1,0)</f>
        <v/>
      </c>
      <c r="I109">
        <f>IF(AND('OFF_CONVAL'!I109&lt;&gt;"",OR(LEN('OFF_CONVAL'!I109)&gt;3,COUNTIF(CL_MONEDAISO,'OFF_CONVAL'!I109)=0)),1,0)</f>
        <v/>
      </c>
      <c r="J109">
        <f>IF(AND('OFF_CONVAL'!J109&lt;&gt;"",IF(ISNUMBER('OFF_CONVAL'!J109),OR('OFF_CONVAL'!J109&lt;&gt;INT('OFF_CONVAL'!J109),LEN(TEXT(ABS('OFF_CONVAL'!J109),"0"))&gt;15),TRUE)),1,0)</f>
        <v/>
      </c>
      <c r="K109">
        <f>IF(AND('OFF_CONVAL'!K109&lt;&gt;"",OR(LEN('OFF_CONVAL'!K109)&gt;3,COUNTIF(CL_MONEDAISO,'OFF_CONVAL'!K109)=0)),1,0)</f>
        <v/>
      </c>
      <c r="L109">
        <f>IF(AND('OFF_CONVAL'!L109&lt;&gt;"",IF(ISNUMBER('OFF_CONVAL'!L109),OR('OFF_CONVAL'!L109&lt;&gt;INT('OFF_CONVAL'!L109),LEN(TEXT(ABS('OFF_CONVAL'!L109),"0"))&gt;5),TRUE)),1,0)</f>
        <v/>
      </c>
      <c r="M109">
        <f>IF(AND('OFF_CONVAL'!M109&lt;&gt;"",IF(ISNUMBER('OFF_CONVAL'!M109),OR('OFF_CONVAL'!M109&lt;&gt;INT('OFF_CONVAL'!M109),LEN(TEXT(ABS('OFF_CONVAL'!M109),"0"))&gt;5),TRUE)),1,0)</f>
        <v/>
      </c>
      <c r="N109">
        <f>IF(AND('OFF_CONVAL'!N109&lt;&gt;"",LEN('OFF_CONVAL'!N109)&gt;20),1,0)</f>
        <v/>
      </c>
      <c r="O109">
        <f>IF(AND('OFF_CONVAL'!O109&lt;&gt;"",IF(ISNUMBER('OFF_CONVAL'!O109),OR('OFF_CONVAL'!O109&lt;&gt;INT('OFF_CONVAL'!O109),LEN(TEXT(ABS('OFF_CONVAL'!O109),"0"))&gt;15),TRUE)),1,0)</f>
        <v/>
      </c>
      <c r="P109">
        <f>IF(AND('OFF_CONVAL'!P109&lt;&gt;"",OR(LEN('OFF_CONVAL'!P109)&gt;3,COUNTIF(CL_MONEDAISO,'OFF_CONVAL'!P109)=0)),1,0)</f>
        <v/>
      </c>
      <c r="Q109">
        <f>IF(AND('OFF_CONVAL'!Q109&lt;&gt;"",NOT(ISNUMBER('OFF_CONVAL'!Q109))),1,0)</f>
        <v/>
      </c>
    </row>
    <row r="110">
      <c r="A110">
        <f>IF(AND('OFF_CONVAL'!A110&lt;&gt;"",NOT(ISNUMBER('OFF_CONVAL'!A110))),1,0)</f>
        <v/>
      </c>
      <c r="B110">
        <f>IF(AND('OFF_CONVAL'!B110&lt;&gt;"",LEN('OFF_CONVAL'!B110)&gt;20),1,0)</f>
        <v/>
      </c>
      <c r="C110">
        <f>IF(AND('OFF_CONVAL'!C110&lt;&gt;"",OR(LEN('OFF_CONVAL'!C110)&gt;1,COUNTIF(CL_POSICIONOPERACION_V4,'OFF_CONVAL'!C110)=0)),1,0)</f>
        <v/>
      </c>
      <c r="D110">
        <f>IF(AND('OFF_CONVAL'!D110&lt;&gt;"",OR(LEN('OFF_CONVAL'!D110)&gt;2,COUNTIF(CL_OBJ_OPE_V1,'OFF_CONVAL'!D110)=0)),1,0)</f>
        <v/>
      </c>
      <c r="E110">
        <f>IF(AND('OFF_CONVAL'!E110&lt;&gt;"",COUNTIF(CL_PAQ_EST_DER_V1,'OFF_CONVAL'!E110)=0),1,0)</f>
        <v/>
      </c>
      <c r="F110">
        <f>IF(AND('OFF_CONVAL'!F110&lt;&gt;"",LEN('OFF_CONVAL'!F110)&gt;20),1,0)</f>
        <v/>
      </c>
      <c r="G110">
        <f>IF(AND('OFF_CONVAL'!G110&lt;&gt;"",IF(ISNUMBER('OFF_CONVAL'!G110),OR('OFF_CONVAL'!G110&lt;&gt;INT('OFF_CONVAL'!G110),LEN(TEXT(ABS('OFF_CONVAL'!G110),"0"))&gt;3),TRUE)),1,0)</f>
        <v/>
      </c>
      <c r="H110">
        <f>IF(AND('OFF_CONVAL'!H110&lt;&gt;"",IF(ISNUMBER('OFF_CONVAL'!H110),OR('OFF_CONVAL'!H110&lt;&gt;INT('OFF_CONVAL'!H110),LEN(TEXT(ABS('OFF_CONVAL'!H110),"0"))&gt;15),TRUE)),1,0)</f>
        <v/>
      </c>
      <c r="I110">
        <f>IF(AND('OFF_CONVAL'!I110&lt;&gt;"",OR(LEN('OFF_CONVAL'!I110)&gt;3,COUNTIF(CL_MONEDAISO,'OFF_CONVAL'!I110)=0)),1,0)</f>
        <v/>
      </c>
      <c r="J110">
        <f>IF(AND('OFF_CONVAL'!J110&lt;&gt;"",IF(ISNUMBER('OFF_CONVAL'!J110),OR('OFF_CONVAL'!J110&lt;&gt;INT('OFF_CONVAL'!J110),LEN(TEXT(ABS('OFF_CONVAL'!J110),"0"))&gt;15),TRUE)),1,0)</f>
        <v/>
      </c>
      <c r="K110">
        <f>IF(AND('OFF_CONVAL'!K110&lt;&gt;"",OR(LEN('OFF_CONVAL'!K110)&gt;3,COUNTIF(CL_MONEDAISO,'OFF_CONVAL'!K110)=0)),1,0)</f>
        <v/>
      </c>
      <c r="L110">
        <f>IF(AND('OFF_CONVAL'!L110&lt;&gt;"",IF(ISNUMBER('OFF_CONVAL'!L110),OR('OFF_CONVAL'!L110&lt;&gt;INT('OFF_CONVAL'!L110),LEN(TEXT(ABS('OFF_CONVAL'!L110),"0"))&gt;5),TRUE)),1,0)</f>
        <v/>
      </c>
      <c r="M110">
        <f>IF(AND('OFF_CONVAL'!M110&lt;&gt;"",IF(ISNUMBER('OFF_CONVAL'!M110),OR('OFF_CONVAL'!M110&lt;&gt;INT('OFF_CONVAL'!M110),LEN(TEXT(ABS('OFF_CONVAL'!M110),"0"))&gt;5),TRUE)),1,0)</f>
        <v/>
      </c>
      <c r="N110">
        <f>IF(AND('OFF_CONVAL'!N110&lt;&gt;"",LEN('OFF_CONVAL'!N110)&gt;20),1,0)</f>
        <v/>
      </c>
      <c r="O110">
        <f>IF(AND('OFF_CONVAL'!O110&lt;&gt;"",IF(ISNUMBER('OFF_CONVAL'!O110),OR('OFF_CONVAL'!O110&lt;&gt;INT('OFF_CONVAL'!O110),LEN(TEXT(ABS('OFF_CONVAL'!O110),"0"))&gt;15),TRUE)),1,0)</f>
        <v/>
      </c>
      <c r="P110">
        <f>IF(AND('OFF_CONVAL'!P110&lt;&gt;"",OR(LEN('OFF_CONVAL'!P110)&gt;3,COUNTIF(CL_MONEDAISO,'OFF_CONVAL'!P110)=0)),1,0)</f>
        <v/>
      </c>
      <c r="Q110">
        <f>IF(AND('OFF_CONVAL'!Q110&lt;&gt;"",NOT(ISNUMBER('OFF_CONVAL'!Q110))),1,0)</f>
        <v/>
      </c>
    </row>
    <row r="111">
      <c r="A111">
        <f>IF(AND('OFF_CONVAL'!A111&lt;&gt;"",NOT(ISNUMBER('OFF_CONVAL'!A111))),1,0)</f>
        <v/>
      </c>
      <c r="B111">
        <f>IF(AND('OFF_CONVAL'!B111&lt;&gt;"",LEN('OFF_CONVAL'!B111)&gt;20),1,0)</f>
        <v/>
      </c>
      <c r="C111">
        <f>IF(AND('OFF_CONVAL'!C111&lt;&gt;"",OR(LEN('OFF_CONVAL'!C111)&gt;1,COUNTIF(CL_POSICIONOPERACION_V4,'OFF_CONVAL'!C111)=0)),1,0)</f>
        <v/>
      </c>
      <c r="D111">
        <f>IF(AND('OFF_CONVAL'!D111&lt;&gt;"",OR(LEN('OFF_CONVAL'!D111)&gt;2,COUNTIF(CL_OBJ_OPE_V1,'OFF_CONVAL'!D111)=0)),1,0)</f>
        <v/>
      </c>
      <c r="E111">
        <f>IF(AND('OFF_CONVAL'!E111&lt;&gt;"",COUNTIF(CL_PAQ_EST_DER_V1,'OFF_CONVAL'!E111)=0),1,0)</f>
        <v/>
      </c>
      <c r="F111">
        <f>IF(AND('OFF_CONVAL'!F111&lt;&gt;"",LEN('OFF_CONVAL'!F111)&gt;20),1,0)</f>
        <v/>
      </c>
      <c r="G111">
        <f>IF(AND('OFF_CONVAL'!G111&lt;&gt;"",IF(ISNUMBER('OFF_CONVAL'!G111),OR('OFF_CONVAL'!G111&lt;&gt;INT('OFF_CONVAL'!G111),LEN(TEXT(ABS('OFF_CONVAL'!G111),"0"))&gt;3),TRUE)),1,0)</f>
        <v/>
      </c>
      <c r="H111">
        <f>IF(AND('OFF_CONVAL'!H111&lt;&gt;"",IF(ISNUMBER('OFF_CONVAL'!H111),OR('OFF_CONVAL'!H111&lt;&gt;INT('OFF_CONVAL'!H111),LEN(TEXT(ABS('OFF_CONVAL'!H111),"0"))&gt;15),TRUE)),1,0)</f>
        <v/>
      </c>
      <c r="I111">
        <f>IF(AND('OFF_CONVAL'!I111&lt;&gt;"",OR(LEN('OFF_CONVAL'!I111)&gt;3,COUNTIF(CL_MONEDAISO,'OFF_CONVAL'!I111)=0)),1,0)</f>
        <v/>
      </c>
      <c r="J111">
        <f>IF(AND('OFF_CONVAL'!J111&lt;&gt;"",IF(ISNUMBER('OFF_CONVAL'!J111),OR('OFF_CONVAL'!J111&lt;&gt;INT('OFF_CONVAL'!J111),LEN(TEXT(ABS('OFF_CONVAL'!J111),"0"))&gt;15),TRUE)),1,0)</f>
        <v/>
      </c>
      <c r="K111">
        <f>IF(AND('OFF_CONVAL'!K111&lt;&gt;"",OR(LEN('OFF_CONVAL'!K111)&gt;3,COUNTIF(CL_MONEDAISO,'OFF_CONVAL'!K111)=0)),1,0)</f>
        <v/>
      </c>
      <c r="L111">
        <f>IF(AND('OFF_CONVAL'!L111&lt;&gt;"",IF(ISNUMBER('OFF_CONVAL'!L111),OR('OFF_CONVAL'!L111&lt;&gt;INT('OFF_CONVAL'!L111),LEN(TEXT(ABS('OFF_CONVAL'!L111),"0"))&gt;5),TRUE)),1,0)</f>
        <v/>
      </c>
      <c r="M111">
        <f>IF(AND('OFF_CONVAL'!M111&lt;&gt;"",IF(ISNUMBER('OFF_CONVAL'!M111),OR('OFF_CONVAL'!M111&lt;&gt;INT('OFF_CONVAL'!M111),LEN(TEXT(ABS('OFF_CONVAL'!M111),"0"))&gt;5),TRUE)),1,0)</f>
        <v/>
      </c>
      <c r="N111">
        <f>IF(AND('OFF_CONVAL'!N111&lt;&gt;"",LEN('OFF_CONVAL'!N111)&gt;20),1,0)</f>
        <v/>
      </c>
      <c r="O111">
        <f>IF(AND('OFF_CONVAL'!O111&lt;&gt;"",IF(ISNUMBER('OFF_CONVAL'!O111),OR('OFF_CONVAL'!O111&lt;&gt;INT('OFF_CONVAL'!O111),LEN(TEXT(ABS('OFF_CONVAL'!O111),"0"))&gt;15),TRUE)),1,0)</f>
        <v/>
      </c>
      <c r="P111">
        <f>IF(AND('OFF_CONVAL'!P111&lt;&gt;"",OR(LEN('OFF_CONVAL'!P111)&gt;3,COUNTIF(CL_MONEDAISO,'OFF_CONVAL'!P111)=0)),1,0)</f>
        <v/>
      </c>
      <c r="Q111">
        <f>IF(AND('OFF_CONVAL'!Q111&lt;&gt;"",NOT(ISNUMBER('OFF_CONVAL'!Q111))),1,0)</f>
        <v/>
      </c>
    </row>
    <row r="112">
      <c r="A112">
        <f>IF(AND('OFF_CONVAL'!A112&lt;&gt;"",NOT(ISNUMBER('OFF_CONVAL'!A112))),1,0)</f>
        <v/>
      </c>
      <c r="B112">
        <f>IF(AND('OFF_CONVAL'!B112&lt;&gt;"",LEN('OFF_CONVAL'!B112)&gt;20),1,0)</f>
        <v/>
      </c>
      <c r="C112">
        <f>IF(AND('OFF_CONVAL'!C112&lt;&gt;"",OR(LEN('OFF_CONVAL'!C112)&gt;1,COUNTIF(CL_POSICIONOPERACION_V4,'OFF_CONVAL'!C112)=0)),1,0)</f>
        <v/>
      </c>
      <c r="D112">
        <f>IF(AND('OFF_CONVAL'!D112&lt;&gt;"",OR(LEN('OFF_CONVAL'!D112)&gt;2,COUNTIF(CL_OBJ_OPE_V1,'OFF_CONVAL'!D112)=0)),1,0)</f>
        <v/>
      </c>
      <c r="E112">
        <f>IF(AND('OFF_CONVAL'!E112&lt;&gt;"",COUNTIF(CL_PAQ_EST_DER_V1,'OFF_CONVAL'!E112)=0),1,0)</f>
        <v/>
      </c>
      <c r="F112">
        <f>IF(AND('OFF_CONVAL'!F112&lt;&gt;"",LEN('OFF_CONVAL'!F112)&gt;20),1,0)</f>
        <v/>
      </c>
      <c r="G112">
        <f>IF(AND('OFF_CONVAL'!G112&lt;&gt;"",IF(ISNUMBER('OFF_CONVAL'!G112),OR('OFF_CONVAL'!G112&lt;&gt;INT('OFF_CONVAL'!G112),LEN(TEXT(ABS('OFF_CONVAL'!G112),"0"))&gt;3),TRUE)),1,0)</f>
        <v/>
      </c>
      <c r="H112">
        <f>IF(AND('OFF_CONVAL'!H112&lt;&gt;"",IF(ISNUMBER('OFF_CONVAL'!H112),OR('OFF_CONVAL'!H112&lt;&gt;INT('OFF_CONVAL'!H112),LEN(TEXT(ABS('OFF_CONVAL'!H112),"0"))&gt;15),TRUE)),1,0)</f>
        <v/>
      </c>
      <c r="I112">
        <f>IF(AND('OFF_CONVAL'!I112&lt;&gt;"",OR(LEN('OFF_CONVAL'!I112)&gt;3,COUNTIF(CL_MONEDAISO,'OFF_CONVAL'!I112)=0)),1,0)</f>
        <v/>
      </c>
      <c r="J112">
        <f>IF(AND('OFF_CONVAL'!J112&lt;&gt;"",IF(ISNUMBER('OFF_CONVAL'!J112),OR('OFF_CONVAL'!J112&lt;&gt;INT('OFF_CONVAL'!J112),LEN(TEXT(ABS('OFF_CONVAL'!J112),"0"))&gt;15),TRUE)),1,0)</f>
        <v/>
      </c>
      <c r="K112">
        <f>IF(AND('OFF_CONVAL'!K112&lt;&gt;"",OR(LEN('OFF_CONVAL'!K112)&gt;3,COUNTIF(CL_MONEDAISO,'OFF_CONVAL'!K112)=0)),1,0)</f>
        <v/>
      </c>
      <c r="L112">
        <f>IF(AND('OFF_CONVAL'!L112&lt;&gt;"",IF(ISNUMBER('OFF_CONVAL'!L112),OR('OFF_CONVAL'!L112&lt;&gt;INT('OFF_CONVAL'!L112),LEN(TEXT(ABS('OFF_CONVAL'!L112),"0"))&gt;5),TRUE)),1,0)</f>
        <v/>
      </c>
      <c r="M112">
        <f>IF(AND('OFF_CONVAL'!M112&lt;&gt;"",IF(ISNUMBER('OFF_CONVAL'!M112),OR('OFF_CONVAL'!M112&lt;&gt;INT('OFF_CONVAL'!M112),LEN(TEXT(ABS('OFF_CONVAL'!M112),"0"))&gt;5),TRUE)),1,0)</f>
        <v/>
      </c>
      <c r="N112">
        <f>IF(AND('OFF_CONVAL'!N112&lt;&gt;"",LEN('OFF_CONVAL'!N112)&gt;20),1,0)</f>
        <v/>
      </c>
      <c r="O112">
        <f>IF(AND('OFF_CONVAL'!O112&lt;&gt;"",IF(ISNUMBER('OFF_CONVAL'!O112),OR('OFF_CONVAL'!O112&lt;&gt;INT('OFF_CONVAL'!O112),LEN(TEXT(ABS('OFF_CONVAL'!O112),"0"))&gt;15),TRUE)),1,0)</f>
        <v/>
      </c>
      <c r="P112">
        <f>IF(AND('OFF_CONVAL'!P112&lt;&gt;"",OR(LEN('OFF_CONVAL'!P112)&gt;3,COUNTIF(CL_MONEDAISO,'OFF_CONVAL'!P112)=0)),1,0)</f>
        <v/>
      </c>
      <c r="Q112">
        <f>IF(AND('OFF_CONVAL'!Q112&lt;&gt;"",NOT(ISNUMBER('OFF_CONVAL'!Q112))),1,0)</f>
        <v/>
      </c>
    </row>
    <row r="113">
      <c r="A113">
        <f>IF(AND('OFF_CONVAL'!A113&lt;&gt;"",NOT(ISNUMBER('OFF_CONVAL'!A113))),1,0)</f>
        <v/>
      </c>
      <c r="B113">
        <f>IF(AND('OFF_CONVAL'!B113&lt;&gt;"",LEN('OFF_CONVAL'!B113)&gt;20),1,0)</f>
        <v/>
      </c>
      <c r="C113">
        <f>IF(AND('OFF_CONVAL'!C113&lt;&gt;"",OR(LEN('OFF_CONVAL'!C113)&gt;1,COUNTIF(CL_POSICIONOPERACION_V4,'OFF_CONVAL'!C113)=0)),1,0)</f>
        <v/>
      </c>
      <c r="D113">
        <f>IF(AND('OFF_CONVAL'!D113&lt;&gt;"",OR(LEN('OFF_CONVAL'!D113)&gt;2,COUNTIF(CL_OBJ_OPE_V1,'OFF_CONVAL'!D113)=0)),1,0)</f>
        <v/>
      </c>
      <c r="E113">
        <f>IF(AND('OFF_CONVAL'!E113&lt;&gt;"",COUNTIF(CL_PAQ_EST_DER_V1,'OFF_CONVAL'!E113)=0),1,0)</f>
        <v/>
      </c>
      <c r="F113">
        <f>IF(AND('OFF_CONVAL'!F113&lt;&gt;"",LEN('OFF_CONVAL'!F113)&gt;20),1,0)</f>
        <v/>
      </c>
      <c r="G113">
        <f>IF(AND('OFF_CONVAL'!G113&lt;&gt;"",IF(ISNUMBER('OFF_CONVAL'!G113),OR('OFF_CONVAL'!G113&lt;&gt;INT('OFF_CONVAL'!G113),LEN(TEXT(ABS('OFF_CONVAL'!G113),"0"))&gt;3),TRUE)),1,0)</f>
        <v/>
      </c>
      <c r="H113">
        <f>IF(AND('OFF_CONVAL'!H113&lt;&gt;"",IF(ISNUMBER('OFF_CONVAL'!H113),OR('OFF_CONVAL'!H113&lt;&gt;INT('OFF_CONVAL'!H113),LEN(TEXT(ABS('OFF_CONVAL'!H113),"0"))&gt;15),TRUE)),1,0)</f>
        <v/>
      </c>
      <c r="I113">
        <f>IF(AND('OFF_CONVAL'!I113&lt;&gt;"",OR(LEN('OFF_CONVAL'!I113)&gt;3,COUNTIF(CL_MONEDAISO,'OFF_CONVAL'!I113)=0)),1,0)</f>
        <v/>
      </c>
      <c r="J113">
        <f>IF(AND('OFF_CONVAL'!J113&lt;&gt;"",IF(ISNUMBER('OFF_CONVAL'!J113),OR('OFF_CONVAL'!J113&lt;&gt;INT('OFF_CONVAL'!J113),LEN(TEXT(ABS('OFF_CONVAL'!J113),"0"))&gt;15),TRUE)),1,0)</f>
        <v/>
      </c>
      <c r="K113">
        <f>IF(AND('OFF_CONVAL'!K113&lt;&gt;"",OR(LEN('OFF_CONVAL'!K113)&gt;3,COUNTIF(CL_MONEDAISO,'OFF_CONVAL'!K113)=0)),1,0)</f>
        <v/>
      </c>
      <c r="L113">
        <f>IF(AND('OFF_CONVAL'!L113&lt;&gt;"",IF(ISNUMBER('OFF_CONVAL'!L113),OR('OFF_CONVAL'!L113&lt;&gt;INT('OFF_CONVAL'!L113),LEN(TEXT(ABS('OFF_CONVAL'!L113),"0"))&gt;5),TRUE)),1,0)</f>
        <v/>
      </c>
      <c r="M113">
        <f>IF(AND('OFF_CONVAL'!M113&lt;&gt;"",IF(ISNUMBER('OFF_CONVAL'!M113),OR('OFF_CONVAL'!M113&lt;&gt;INT('OFF_CONVAL'!M113),LEN(TEXT(ABS('OFF_CONVAL'!M113),"0"))&gt;5),TRUE)),1,0)</f>
        <v/>
      </c>
      <c r="N113">
        <f>IF(AND('OFF_CONVAL'!N113&lt;&gt;"",LEN('OFF_CONVAL'!N113)&gt;20),1,0)</f>
        <v/>
      </c>
      <c r="O113">
        <f>IF(AND('OFF_CONVAL'!O113&lt;&gt;"",IF(ISNUMBER('OFF_CONVAL'!O113),OR('OFF_CONVAL'!O113&lt;&gt;INT('OFF_CONVAL'!O113),LEN(TEXT(ABS('OFF_CONVAL'!O113),"0"))&gt;15),TRUE)),1,0)</f>
        <v/>
      </c>
      <c r="P113">
        <f>IF(AND('OFF_CONVAL'!P113&lt;&gt;"",OR(LEN('OFF_CONVAL'!P113)&gt;3,COUNTIF(CL_MONEDAISO,'OFF_CONVAL'!P113)=0)),1,0)</f>
        <v/>
      </c>
      <c r="Q113">
        <f>IF(AND('OFF_CONVAL'!Q113&lt;&gt;"",NOT(ISNUMBER('OFF_CONVAL'!Q113))),1,0)</f>
        <v/>
      </c>
    </row>
    <row r="114">
      <c r="A114">
        <f>IF(AND('OFF_CONVAL'!A114&lt;&gt;"",NOT(ISNUMBER('OFF_CONVAL'!A114))),1,0)</f>
        <v/>
      </c>
      <c r="B114">
        <f>IF(AND('OFF_CONVAL'!B114&lt;&gt;"",LEN('OFF_CONVAL'!B114)&gt;20),1,0)</f>
        <v/>
      </c>
      <c r="C114">
        <f>IF(AND('OFF_CONVAL'!C114&lt;&gt;"",OR(LEN('OFF_CONVAL'!C114)&gt;1,COUNTIF(CL_POSICIONOPERACION_V4,'OFF_CONVAL'!C114)=0)),1,0)</f>
        <v/>
      </c>
      <c r="D114">
        <f>IF(AND('OFF_CONVAL'!D114&lt;&gt;"",OR(LEN('OFF_CONVAL'!D114)&gt;2,COUNTIF(CL_OBJ_OPE_V1,'OFF_CONVAL'!D114)=0)),1,0)</f>
        <v/>
      </c>
      <c r="E114">
        <f>IF(AND('OFF_CONVAL'!E114&lt;&gt;"",COUNTIF(CL_PAQ_EST_DER_V1,'OFF_CONVAL'!E114)=0),1,0)</f>
        <v/>
      </c>
      <c r="F114">
        <f>IF(AND('OFF_CONVAL'!F114&lt;&gt;"",LEN('OFF_CONVAL'!F114)&gt;20),1,0)</f>
        <v/>
      </c>
      <c r="G114">
        <f>IF(AND('OFF_CONVAL'!G114&lt;&gt;"",IF(ISNUMBER('OFF_CONVAL'!G114),OR('OFF_CONVAL'!G114&lt;&gt;INT('OFF_CONVAL'!G114),LEN(TEXT(ABS('OFF_CONVAL'!G114),"0"))&gt;3),TRUE)),1,0)</f>
        <v/>
      </c>
      <c r="H114">
        <f>IF(AND('OFF_CONVAL'!H114&lt;&gt;"",IF(ISNUMBER('OFF_CONVAL'!H114),OR('OFF_CONVAL'!H114&lt;&gt;INT('OFF_CONVAL'!H114),LEN(TEXT(ABS('OFF_CONVAL'!H114),"0"))&gt;15),TRUE)),1,0)</f>
        <v/>
      </c>
      <c r="I114">
        <f>IF(AND('OFF_CONVAL'!I114&lt;&gt;"",OR(LEN('OFF_CONVAL'!I114)&gt;3,COUNTIF(CL_MONEDAISO,'OFF_CONVAL'!I114)=0)),1,0)</f>
        <v/>
      </c>
      <c r="J114">
        <f>IF(AND('OFF_CONVAL'!J114&lt;&gt;"",IF(ISNUMBER('OFF_CONVAL'!J114),OR('OFF_CONVAL'!J114&lt;&gt;INT('OFF_CONVAL'!J114),LEN(TEXT(ABS('OFF_CONVAL'!J114),"0"))&gt;15),TRUE)),1,0)</f>
        <v/>
      </c>
      <c r="K114">
        <f>IF(AND('OFF_CONVAL'!K114&lt;&gt;"",OR(LEN('OFF_CONVAL'!K114)&gt;3,COUNTIF(CL_MONEDAISO,'OFF_CONVAL'!K114)=0)),1,0)</f>
        <v/>
      </c>
      <c r="L114">
        <f>IF(AND('OFF_CONVAL'!L114&lt;&gt;"",IF(ISNUMBER('OFF_CONVAL'!L114),OR('OFF_CONVAL'!L114&lt;&gt;INT('OFF_CONVAL'!L114),LEN(TEXT(ABS('OFF_CONVAL'!L114),"0"))&gt;5),TRUE)),1,0)</f>
        <v/>
      </c>
      <c r="M114">
        <f>IF(AND('OFF_CONVAL'!M114&lt;&gt;"",IF(ISNUMBER('OFF_CONVAL'!M114),OR('OFF_CONVAL'!M114&lt;&gt;INT('OFF_CONVAL'!M114),LEN(TEXT(ABS('OFF_CONVAL'!M114),"0"))&gt;5),TRUE)),1,0)</f>
        <v/>
      </c>
      <c r="N114">
        <f>IF(AND('OFF_CONVAL'!N114&lt;&gt;"",LEN('OFF_CONVAL'!N114)&gt;20),1,0)</f>
        <v/>
      </c>
      <c r="O114">
        <f>IF(AND('OFF_CONVAL'!O114&lt;&gt;"",IF(ISNUMBER('OFF_CONVAL'!O114),OR('OFF_CONVAL'!O114&lt;&gt;INT('OFF_CONVAL'!O114),LEN(TEXT(ABS('OFF_CONVAL'!O114),"0"))&gt;15),TRUE)),1,0)</f>
        <v/>
      </c>
      <c r="P114">
        <f>IF(AND('OFF_CONVAL'!P114&lt;&gt;"",OR(LEN('OFF_CONVAL'!P114)&gt;3,COUNTIF(CL_MONEDAISO,'OFF_CONVAL'!P114)=0)),1,0)</f>
        <v/>
      </c>
      <c r="Q114">
        <f>IF(AND('OFF_CONVAL'!Q114&lt;&gt;"",NOT(ISNUMBER('OFF_CONVAL'!Q114))),1,0)</f>
        <v/>
      </c>
    </row>
    <row r="115">
      <c r="A115">
        <f>IF(AND('OFF_CONVAL'!A115&lt;&gt;"",NOT(ISNUMBER('OFF_CONVAL'!A115))),1,0)</f>
        <v/>
      </c>
      <c r="B115">
        <f>IF(AND('OFF_CONVAL'!B115&lt;&gt;"",LEN('OFF_CONVAL'!B115)&gt;20),1,0)</f>
        <v/>
      </c>
      <c r="C115">
        <f>IF(AND('OFF_CONVAL'!C115&lt;&gt;"",OR(LEN('OFF_CONVAL'!C115)&gt;1,COUNTIF(CL_POSICIONOPERACION_V4,'OFF_CONVAL'!C115)=0)),1,0)</f>
        <v/>
      </c>
      <c r="D115">
        <f>IF(AND('OFF_CONVAL'!D115&lt;&gt;"",OR(LEN('OFF_CONVAL'!D115)&gt;2,COUNTIF(CL_OBJ_OPE_V1,'OFF_CONVAL'!D115)=0)),1,0)</f>
        <v/>
      </c>
      <c r="E115">
        <f>IF(AND('OFF_CONVAL'!E115&lt;&gt;"",COUNTIF(CL_PAQ_EST_DER_V1,'OFF_CONVAL'!E115)=0),1,0)</f>
        <v/>
      </c>
      <c r="F115">
        <f>IF(AND('OFF_CONVAL'!F115&lt;&gt;"",LEN('OFF_CONVAL'!F115)&gt;20),1,0)</f>
        <v/>
      </c>
      <c r="G115">
        <f>IF(AND('OFF_CONVAL'!G115&lt;&gt;"",IF(ISNUMBER('OFF_CONVAL'!G115),OR('OFF_CONVAL'!G115&lt;&gt;INT('OFF_CONVAL'!G115),LEN(TEXT(ABS('OFF_CONVAL'!G115),"0"))&gt;3),TRUE)),1,0)</f>
        <v/>
      </c>
      <c r="H115">
        <f>IF(AND('OFF_CONVAL'!H115&lt;&gt;"",IF(ISNUMBER('OFF_CONVAL'!H115),OR('OFF_CONVAL'!H115&lt;&gt;INT('OFF_CONVAL'!H115),LEN(TEXT(ABS('OFF_CONVAL'!H115),"0"))&gt;15),TRUE)),1,0)</f>
        <v/>
      </c>
      <c r="I115">
        <f>IF(AND('OFF_CONVAL'!I115&lt;&gt;"",OR(LEN('OFF_CONVAL'!I115)&gt;3,COUNTIF(CL_MONEDAISO,'OFF_CONVAL'!I115)=0)),1,0)</f>
        <v/>
      </c>
      <c r="J115">
        <f>IF(AND('OFF_CONVAL'!J115&lt;&gt;"",IF(ISNUMBER('OFF_CONVAL'!J115),OR('OFF_CONVAL'!J115&lt;&gt;INT('OFF_CONVAL'!J115),LEN(TEXT(ABS('OFF_CONVAL'!J115),"0"))&gt;15),TRUE)),1,0)</f>
        <v/>
      </c>
      <c r="K115">
        <f>IF(AND('OFF_CONVAL'!K115&lt;&gt;"",OR(LEN('OFF_CONVAL'!K115)&gt;3,COUNTIF(CL_MONEDAISO,'OFF_CONVAL'!K115)=0)),1,0)</f>
        <v/>
      </c>
      <c r="L115">
        <f>IF(AND('OFF_CONVAL'!L115&lt;&gt;"",IF(ISNUMBER('OFF_CONVAL'!L115),OR('OFF_CONVAL'!L115&lt;&gt;INT('OFF_CONVAL'!L115),LEN(TEXT(ABS('OFF_CONVAL'!L115),"0"))&gt;5),TRUE)),1,0)</f>
        <v/>
      </c>
      <c r="M115">
        <f>IF(AND('OFF_CONVAL'!M115&lt;&gt;"",IF(ISNUMBER('OFF_CONVAL'!M115),OR('OFF_CONVAL'!M115&lt;&gt;INT('OFF_CONVAL'!M115),LEN(TEXT(ABS('OFF_CONVAL'!M115),"0"))&gt;5),TRUE)),1,0)</f>
        <v/>
      </c>
      <c r="N115">
        <f>IF(AND('OFF_CONVAL'!N115&lt;&gt;"",LEN('OFF_CONVAL'!N115)&gt;20),1,0)</f>
        <v/>
      </c>
      <c r="O115">
        <f>IF(AND('OFF_CONVAL'!O115&lt;&gt;"",IF(ISNUMBER('OFF_CONVAL'!O115),OR('OFF_CONVAL'!O115&lt;&gt;INT('OFF_CONVAL'!O115),LEN(TEXT(ABS('OFF_CONVAL'!O115),"0"))&gt;15),TRUE)),1,0)</f>
        <v/>
      </c>
      <c r="P115">
        <f>IF(AND('OFF_CONVAL'!P115&lt;&gt;"",OR(LEN('OFF_CONVAL'!P115)&gt;3,COUNTIF(CL_MONEDAISO,'OFF_CONVAL'!P115)=0)),1,0)</f>
        <v/>
      </c>
      <c r="Q115">
        <f>IF(AND('OFF_CONVAL'!Q115&lt;&gt;"",NOT(ISNUMBER('OFF_CONVAL'!Q115))),1,0)</f>
        <v/>
      </c>
    </row>
    <row r="116">
      <c r="A116">
        <f>IF(AND('OFF_CONVAL'!A116&lt;&gt;"",NOT(ISNUMBER('OFF_CONVAL'!A116))),1,0)</f>
        <v/>
      </c>
      <c r="B116">
        <f>IF(AND('OFF_CONVAL'!B116&lt;&gt;"",LEN('OFF_CONVAL'!B116)&gt;20),1,0)</f>
        <v/>
      </c>
      <c r="C116">
        <f>IF(AND('OFF_CONVAL'!C116&lt;&gt;"",OR(LEN('OFF_CONVAL'!C116)&gt;1,COUNTIF(CL_POSICIONOPERACION_V4,'OFF_CONVAL'!C116)=0)),1,0)</f>
        <v/>
      </c>
      <c r="D116">
        <f>IF(AND('OFF_CONVAL'!D116&lt;&gt;"",OR(LEN('OFF_CONVAL'!D116)&gt;2,COUNTIF(CL_OBJ_OPE_V1,'OFF_CONVAL'!D116)=0)),1,0)</f>
        <v/>
      </c>
      <c r="E116">
        <f>IF(AND('OFF_CONVAL'!E116&lt;&gt;"",COUNTIF(CL_PAQ_EST_DER_V1,'OFF_CONVAL'!E116)=0),1,0)</f>
        <v/>
      </c>
      <c r="F116">
        <f>IF(AND('OFF_CONVAL'!F116&lt;&gt;"",LEN('OFF_CONVAL'!F116)&gt;20),1,0)</f>
        <v/>
      </c>
      <c r="G116">
        <f>IF(AND('OFF_CONVAL'!G116&lt;&gt;"",IF(ISNUMBER('OFF_CONVAL'!G116),OR('OFF_CONVAL'!G116&lt;&gt;INT('OFF_CONVAL'!G116),LEN(TEXT(ABS('OFF_CONVAL'!G116),"0"))&gt;3),TRUE)),1,0)</f>
        <v/>
      </c>
      <c r="H116">
        <f>IF(AND('OFF_CONVAL'!H116&lt;&gt;"",IF(ISNUMBER('OFF_CONVAL'!H116),OR('OFF_CONVAL'!H116&lt;&gt;INT('OFF_CONVAL'!H116),LEN(TEXT(ABS('OFF_CONVAL'!H116),"0"))&gt;15),TRUE)),1,0)</f>
        <v/>
      </c>
      <c r="I116">
        <f>IF(AND('OFF_CONVAL'!I116&lt;&gt;"",OR(LEN('OFF_CONVAL'!I116)&gt;3,COUNTIF(CL_MONEDAISO,'OFF_CONVAL'!I116)=0)),1,0)</f>
        <v/>
      </c>
      <c r="J116">
        <f>IF(AND('OFF_CONVAL'!J116&lt;&gt;"",IF(ISNUMBER('OFF_CONVAL'!J116),OR('OFF_CONVAL'!J116&lt;&gt;INT('OFF_CONVAL'!J116),LEN(TEXT(ABS('OFF_CONVAL'!J116),"0"))&gt;15),TRUE)),1,0)</f>
        <v/>
      </c>
      <c r="K116">
        <f>IF(AND('OFF_CONVAL'!K116&lt;&gt;"",OR(LEN('OFF_CONVAL'!K116)&gt;3,COUNTIF(CL_MONEDAISO,'OFF_CONVAL'!K116)=0)),1,0)</f>
        <v/>
      </c>
      <c r="L116">
        <f>IF(AND('OFF_CONVAL'!L116&lt;&gt;"",IF(ISNUMBER('OFF_CONVAL'!L116),OR('OFF_CONVAL'!L116&lt;&gt;INT('OFF_CONVAL'!L116),LEN(TEXT(ABS('OFF_CONVAL'!L116),"0"))&gt;5),TRUE)),1,0)</f>
        <v/>
      </c>
      <c r="M116">
        <f>IF(AND('OFF_CONVAL'!M116&lt;&gt;"",IF(ISNUMBER('OFF_CONVAL'!M116),OR('OFF_CONVAL'!M116&lt;&gt;INT('OFF_CONVAL'!M116),LEN(TEXT(ABS('OFF_CONVAL'!M116),"0"))&gt;5),TRUE)),1,0)</f>
        <v/>
      </c>
      <c r="N116">
        <f>IF(AND('OFF_CONVAL'!N116&lt;&gt;"",LEN('OFF_CONVAL'!N116)&gt;20),1,0)</f>
        <v/>
      </c>
      <c r="O116">
        <f>IF(AND('OFF_CONVAL'!O116&lt;&gt;"",IF(ISNUMBER('OFF_CONVAL'!O116),OR('OFF_CONVAL'!O116&lt;&gt;INT('OFF_CONVAL'!O116),LEN(TEXT(ABS('OFF_CONVAL'!O116),"0"))&gt;15),TRUE)),1,0)</f>
        <v/>
      </c>
      <c r="P116">
        <f>IF(AND('OFF_CONVAL'!P116&lt;&gt;"",OR(LEN('OFF_CONVAL'!P116)&gt;3,COUNTIF(CL_MONEDAISO,'OFF_CONVAL'!P116)=0)),1,0)</f>
        <v/>
      </c>
      <c r="Q116">
        <f>IF(AND('OFF_CONVAL'!Q116&lt;&gt;"",NOT(ISNUMBER('OFF_CONVAL'!Q116))),1,0)</f>
        <v/>
      </c>
    </row>
    <row r="117">
      <c r="A117">
        <f>IF(AND('OFF_CONVAL'!A117&lt;&gt;"",NOT(ISNUMBER('OFF_CONVAL'!A117))),1,0)</f>
        <v/>
      </c>
      <c r="B117">
        <f>IF(AND('OFF_CONVAL'!B117&lt;&gt;"",LEN('OFF_CONVAL'!B117)&gt;20),1,0)</f>
        <v/>
      </c>
      <c r="C117">
        <f>IF(AND('OFF_CONVAL'!C117&lt;&gt;"",OR(LEN('OFF_CONVAL'!C117)&gt;1,COUNTIF(CL_POSICIONOPERACION_V4,'OFF_CONVAL'!C117)=0)),1,0)</f>
        <v/>
      </c>
      <c r="D117">
        <f>IF(AND('OFF_CONVAL'!D117&lt;&gt;"",OR(LEN('OFF_CONVAL'!D117)&gt;2,COUNTIF(CL_OBJ_OPE_V1,'OFF_CONVAL'!D117)=0)),1,0)</f>
        <v/>
      </c>
      <c r="E117">
        <f>IF(AND('OFF_CONVAL'!E117&lt;&gt;"",COUNTIF(CL_PAQ_EST_DER_V1,'OFF_CONVAL'!E117)=0),1,0)</f>
        <v/>
      </c>
      <c r="F117">
        <f>IF(AND('OFF_CONVAL'!F117&lt;&gt;"",LEN('OFF_CONVAL'!F117)&gt;20),1,0)</f>
        <v/>
      </c>
      <c r="G117">
        <f>IF(AND('OFF_CONVAL'!G117&lt;&gt;"",IF(ISNUMBER('OFF_CONVAL'!G117),OR('OFF_CONVAL'!G117&lt;&gt;INT('OFF_CONVAL'!G117),LEN(TEXT(ABS('OFF_CONVAL'!G117),"0"))&gt;3),TRUE)),1,0)</f>
        <v/>
      </c>
      <c r="H117">
        <f>IF(AND('OFF_CONVAL'!H117&lt;&gt;"",IF(ISNUMBER('OFF_CONVAL'!H117),OR('OFF_CONVAL'!H117&lt;&gt;INT('OFF_CONVAL'!H117),LEN(TEXT(ABS('OFF_CONVAL'!H117),"0"))&gt;15),TRUE)),1,0)</f>
        <v/>
      </c>
      <c r="I117">
        <f>IF(AND('OFF_CONVAL'!I117&lt;&gt;"",OR(LEN('OFF_CONVAL'!I117)&gt;3,COUNTIF(CL_MONEDAISO,'OFF_CONVAL'!I117)=0)),1,0)</f>
        <v/>
      </c>
      <c r="J117">
        <f>IF(AND('OFF_CONVAL'!J117&lt;&gt;"",IF(ISNUMBER('OFF_CONVAL'!J117),OR('OFF_CONVAL'!J117&lt;&gt;INT('OFF_CONVAL'!J117),LEN(TEXT(ABS('OFF_CONVAL'!J117),"0"))&gt;15),TRUE)),1,0)</f>
        <v/>
      </c>
      <c r="K117">
        <f>IF(AND('OFF_CONVAL'!K117&lt;&gt;"",OR(LEN('OFF_CONVAL'!K117)&gt;3,COUNTIF(CL_MONEDAISO,'OFF_CONVAL'!K117)=0)),1,0)</f>
        <v/>
      </c>
      <c r="L117">
        <f>IF(AND('OFF_CONVAL'!L117&lt;&gt;"",IF(ISNUMBER('OFF_CONVAL'!L117),OR('OFF_CONVAL'!L117&lt;&gt;INT('OFF_CONVAL'!L117),LEN(TEXT(ABS('OFF_CONVAL'!L117),"0"))&gt;5),TRUE)),1,0)</f>
        <v/>
      </c>
      <c r="M117">
        <f>IF(AND('OFF_CONVAL'!M117&lt;&gt;"",IF(ISNUMBER('OFF_CONVAL'!M117),OR('OFF_CONVAL'!M117&lt;&gt;INT('OFF_CONVAL'!M117),LEN(TEXT(ABS('OFF_CONVAL'!M117),"0"))&gt;5),TRUE)),1,0)</f>
        <v/>
      </c>
      <c r="N117">
        <f>IF(AND('OFF_CONVAL'!N117&lt;&gt;"",LEN('OFF_CONVAL'!N117)&gt;20),1,0)</f>
        <v/>
      </c>
      <c r="O117">
        <f>IF(AND('OFF_CONVAL'!O117&lt;&gt;"",IF(ISNUMBER('OFF_CONVAL'!O117),OR('OFF_CONVAL'!O117&lt;&gt;INT('OFF_CONVAL'!O117),LEN(TEXT(ABS('OFF_CONVAL'!O117),"0"))&gt;15),TRUE)),1,0)</f>
        <v/>
      </c>
      <c r="P117">
        <f>IF(AND('OFF_CONVAL'!P117&lt;&gt;"",OR(LEN('OFF_CONVAL'!P117)&gt;3,COUNTIF(CL_MONEDAISO,'OFF_CONVAL'!P117)=0)),1,0)</f>
        <v/>
      </c>
      <c r="Q117">
        <f>IF(AND('OFF_CONVAL'!Q117&lt;&gt;"",NOT(ISNUMBER('OFF_CONVAL'!Q117))),1,0)</f>
        <v/>
      </c>
    </row>
    <row r="118">
      <c r="A118">
        <f>IF(AND('OFF_CONVAL'!A118&lt;&gt;"",NOT(ISNUMBER('OFF_CONVAL'!A118))),1,0)</f>
        <v/>
      </c>
      <c r="B118">
        <f>IF(AND('OFF_CONVAL'!B118&lt;&gt;"",LEN('OFF_CONVAL'!B118)&gt;20),1,0)</f>
        <v/>
      </c>
      <c r="C118">
        <f>IF(AND('OFF_CONVAL'!C118&lt;&gt;"",OR(LEN('OFF_CONVAL'!C118)&gt;1,COUNTIF(CL_POSICIONOPERACION_V4,'OFF_CONVAL'!C118)=0)),1,0)</f>
        <v/>
      </c>
      <c r="D118">
        <f>IF(AND('OFF_CONVAL'!D118&lt;&gt;"",OR(LEN('OFF_CONVAL'!D118)&gt;2,COUNTIF(CL_OBJ_OPE_V1,'OFF_CONVAL'!D118)=0)),1,0)</f>
        <v/>
      </c>
      <c r="E118">
        <f>IF(AND('OFF_CONVAL'!E118&lt;&gt;"",COUNTIF(CL_PAQ_EST_DER_V1,'OFF_CONVAL'!E118)=0),1,0)</f>
        <v/>
      </c>
      <c r="F118">
        <f>IF(AND('OFF_CONVAL'!F118&lt;&gt;"",LEN('OFF_CONVAL'!F118)&gt;20),1,0)</f>
        <v/>
      </c>
      <c r="G118">
        <f>IF(AND('OFF_CONVAL'!G118&lt;&gt;"",IF(ISNUMBER('OFF_CONVAL'!G118),OR('OFF_CONVAL'!G118&lt;&gt;INT('OFF_CONVAL'!G118),LEN(TEXT(ABS('OFF_CONVAL'!G118),"0"))&gt;3),TRUE)),1,0)</f>
        <v/>
      </c>
      <c r="H118">
        <f>IF(AND('OFF_CONVAL'!H118&lt;&gt;"",IF(ISNUMBER('OFF_CONVAL'!H118),OR('OFF_CONVAL'!H118&lt;&gt;INT('OFF_CONVAL'!H118),LEN(TEXT(ABS('OFF_CONVAL'!H118),"0"))&gt;15),TRUE)),1,0)</f>
        <v/>
      </c>
      <c r="I118">
        <f>IF(AND('OFF_CONVAL'!I118&lt;&gt;"",OR(LEN('OFF_CONVAL'!I118)&gt;3,COUNTIF(CL_MONEDAISO,'OFF_CONVAL'!I118)=0)),1,0)</f>
        <v/>
      </c>
      <c r="J118">
        <f>IF(AND('OFF_CONVAL'!J118&lt;&gt;"",IF(ISNUMBER('OFF_CONVAL'!J118),OR('OFF_CONVAL'!J118&lt;&gt;INT('OFF_CONVAL'!J118),LEN(TEXT(ABS('OFF_CONVAL'!J118),"0"))&gt;15),TRUE)),1,0)</f>
        <v/>
      </c>
      <c r="K118">
        <f>IF(AND('OFF_CONVAL'!K118&lt;&gt;"",OR(LEN('OFF_CONVAL'!K118)&gt;3,COUNTIF(CL_MONEDAISO,'OFF_CONVAL'!K118)=0)),1,0)</f>
        <v/>
      </c>
      <c r="L118">
        <f>IF(AND('OFF_CONVAL'!L118&lt;&gt;"",IF(ISNUMBER('OFF_CONVAL'!L118),OR('OFF_CONVAL'!L118&lt;&gt;INT('OFF_CONVAL'!L118),LEN(TEXT(ABS('OFF_CONVAL'!L118),"0"))&gt;5),TRUE)),1,0)</f>
        <v/>
      </c>
      <c r="M118">
        <f>IF(AND('OFF_CONVAL'!M118&lt;&gt;"",IF(ISNUMBER('OFF_CONVAL'!M118),OR('OFF_CONVAL'!M118&lt;&gt;INT('OFF_CONVAL'!M118),LEN(TEXT(ABS('OFF_CONVAL'!M118),"0"))&gt;5),TRUE)),1,0)</f>
        <v/>
      </c>
      <c r="N118">
        <f>IF(AND('OFF_CONVAL'!N118&lt;&gt;"",LEN('OFF_CONVAL'!N118)&gt;20),1,0)</f>
        <v/>
      </c>
      <c r="O118">
        <f>IF(AND('OFF_CONVAL'!O118&lt;&gt;"",IF(ISNUMBER('OFF_CONVAL'!O118),OR('OFF_CONVAL'!O118&lt;&gt;INT('OFF_CONVAL'!O118),LEN(TEXT(ABS('OFF_CONVAL'!O118),"0"))&gt;15),TRUE)),1,0)</f>
        <v/>
      </c>
      <c r="P118">
        <f>IF(AND('OFF_CONVAL'!P118&lt;&gt;"",OR(LEN('OFF_CONVAL'!P118)&gt;3,COUNTIF(CL_MONEDAISO,'OFF_CONVAL'!P118)=0)),1,0)</f>
        <v/>
      </c>
      <c r="Q118">
        <f>IF(AND('OFF_CONVAL'!Q118&lt;&gt;"",NOT(ISNUMBER('OFF_CONVAL'!Q118))),1,0)</f>
        <v/>
      </c>
    </row>
    <row r="119">
      <c r="A119">
        <f>IF(AND('OFF_CONVAL'!A119&lt;&gt;"",NOT(ISNUMBER('OFF_CONVAL'!A119))),1,0)</f>
        <v/>
      </c>
      <c r="B119">
        <f>IF(AND('OFF_CONVAL'!B119&lt;&gt;"",LEN('OFF_CONVAL'!B119)&gt;20),1,0)</f>
        <v/>
      </c>
      <c r="C119">
        <f>IF(AND('OFF_CONVAL'!C119&lt;&gt;"",OR(LEN('OFF_CONVAL'!C119)&gt;1,COUNTIF(CL_POSICIONOPERACION_V4,'OFF_CONVAL'!C119)=0)),1,0)</f>
        <v/>
      </c>
      <c r="D119">
        <f>IF(AND('OFF_CONVAL'!D119&lt;&gt;"",OR(LEN('OFF_CONVAL'!D119)&gt;2,COUNTIF(CL_OBJ_OPE_V1,'OFF_CONVAL'!D119)=0)),1,0)</f>
        <v/>
      </c>
      <c r="E119">
        <f>IF(AND('OFF_CONVAL'!E119&lt;&gt;"",COUNTIF(CL_PAQ_EST_DER_V1,'OFF_CONVAL'!E119)=0),1,0)</f>
        <v/>
      </c>
      <c r="F119">
        <f>IF(AND('OFF_CONVAL'!F119&lt;&gt;"",LEN('OFF_CONVAL'!F119)&gt;20),1,0)</f>
        <v/>
      </c>
      <c r="G119">
        <f>IF(AND('OFF_CONVAL'!G119&lt;&gt;"",IF(ISNUMBER('OFF_CONVAL'!G119),OR('OFF_CONVAL'!G119&lt;&gt;INT('OFF_CONVAL'!G119),LEN(TEXT(ABS('OFF_CONVAL'!G119),"0"))&gt;3),TRUE)),1,0)</f>
        <v/>
      </c>
      <c r="H119">
        <f>IF(AND('OFF_CONVAL'!H119&lt;&gt;"",IF(ISNUMBER('OFF_CONVAL'!H119),OR('OFF_CONVAL'!H119&lt;&gt;INT('OFF_CONVAL'!H119),LEN(TEXT(ABS('OFF_CONVAL'!H119),"0"))&gt;15),TRUE)),1,0)</f>
        <v/>
      </c>
      <c r="I119">
        <f>IF(AND('OFF_CONVAL'!I119&lt;&gt;"",OR(LEN('OFF_CONVAL'!I119)&gt;3,COUNTIF(CL_MONEDAISO,'OFF_CONVAL'!I119)=0)),1,0)</f>
        <v/>
      </c>
      <c r="J119">
        <f>IF(AND('OFF_CONVAL'!J119&lt;&gt;"",IF(ISNUMBER('OFF_CONVAL'!J119),OR('OFF_CONVAL'!J119&lt;&gt;INT('OFF_CONVAL'!J119),LEN(TEXT(ABS('OFF_CONVAL'!J119),"0"))&gt;15),TRUE)),1,0)</f>
        <v/>
      </c>
      <c r="K119">
        <f>IF(AND('OFF_CONVAL'!K119&lt;&gt;"",OR(LEN('OFF_CONVAL'!K119)&gt;3,COUNTIF(CL_MONEDAISO,'OFF_CONVAL'!K119)=0)),1,0)</f>
        <v/>
      </c>
      <c r="L119">
        <f>IF(AND('OFF_CONVAL'!L119&lt;&gt;"",IF(ISNUMBER('OFF_CONVAL'!L119),OR('OFF_CONVAL'!L119&lt;&gt;INT('OFF_CONVAL'!L119),LEN(TEXT(ABS('OFF_CONVAL'!L119),"0"))&gt;5),TRUE)),1,0)</f>
        <v/>
      </c>
      <c r="M119">
        <f>IF(AND('OFF_CONVAL'!M119&lt;&gt;"",IF(ISNUMBER('OFF_CONVAL'!M119),OR('OFF_CONVAL'!M119&lt;&gt;INT('OFF_CONVAL'!M119),LEN(TEXT(ABS('OFF_CONVAL'!M119),"0"))&gt;5),TRUE)),1,0)</f>
        <v/>
      </c>
      <c r="N119">
        <f>IF(AND('OFF_CONVAL'!N119&lt;&gt;"",LEN('OFF_CONVAL'!N119)&gt;20),1,0)</f>
        <v/>
      </c>
      <c r="O119">
        <f>IF(AND('OFF_CONVAL'!O119&lt;&gt;"",IF(ISNUMBER('OFF_CONVAL'!O119),OR('OFF_CONVAL'!O119&lt;&gt;INT('OFF_CONVAL'!O119),LEN(TEXT(ABS('OFF_CONVAL'!O119),"0"))&gt;15),TRUE)),1,0)</f>
        <v/>
      </c>
      <c r="P119">
        <f>IF(AND('OFF_CONVAL'!P119&lt;&gt;"",OR(LEN('OFF_CONVAL'!P119)&gt;3,COUNTIF(CL_MONEDAISO,'OFF_CONVAL'!P119)=0)),1,0)</f>
        <v/>
      </c>
      <c r="Q119">
        <f>IF(AND('OFF_CONVAL'!Q119&lt;&gt;"",NOT(ISNUMBER('OFF_CONVAL'!Q119))),1,0)</f>
        <v/>
      </c>
    </row>
    <row r="120">
      <c r="A120">
        <f>IF(AND('OFF_CONVAL'!A120&lt;&gt;"",NOT(ISNUMBER('OFF_CONVAL'!A120))),1,0)</f>
        <v/>
      </c>
      <c r="B120">
        <f>IF(AND('OFF_CONVAL'!B120&lt;&gt;"",LEN('OFF_CONVAL'!B120)&gt;20),1,0)</f>
        <v/>
      </c>
      <c r="C120">
        <f>IF(AND('OFF_CONVAL'!C120&lt;&gt;"",OR(LEN('OFF_CONVAL'!C120)&gt;1,COUNTIF(CL_POSICIONOPERACION_V4,'OFF_CONVAL'!C120)=0)),1,0)</f>
        <v/>
      </c>
      <c r="D120">
        <f>IF(AND('OFF_CONVAL'!D120&lt;&gt;"",OR(LEN('OFF_CONVAL'!D120)&gt;2,COUNTIF(CL_OBJ_OPE_V1,'OFF_CONVAL'!D120)=0)),1,0)</f>
        <v/>
      </c>
      <c r="E120">
        <f>IF(AND('OFF_CONVAL'!E120&lt;&gt;"",COUNTIF(CL_PAQ_EST_DER_V1,'OFF_CONVAL'!E120)=0),1,0)</f>
        <v/>
      </c>
      <c r="F120">
        <f>IF(AND('OFF_CONVAL'!F120&lt;&gt;"",LEN('OFF_CONVAL'!F120)&gt;20),1,0)</f>
        <v/>
      </c>
      <c r="G120">
        <f>IF(AND('OFF_CONVAL'!G120&lt;&gt;"",IF(ISNUMBER('OFF_CONVAL'!G120),OR('OFF_CONVAL'!G120&lt;&gt;INT('OFF_CONVAL'!G120),LEN(TEXT(ABS('OFF_CONVAL'!G120),"0"))&gt;3),TRUE)),1,0)</f>
        <v/>
      </c>
      <c r="H120">
        <f>IF(AND('OFF_CONVAL'!H120&lt;&gt;"",IF(ISNUMBER('OFF_CONVAL'!H120),OR('OFF_CONVAL'!H120&lt;&gt;INT('OFF_CONVAL'!H120),LEN(TEXT(ABS('OFF_CONVAL'!H120),"0"))&gt;15),TRUE)),1,0)</f>
        <v/>
      </c>
      <c r="I120">
        <f>IF(AND('OFF_CONVAL'!I120&lt;&gt;"",OR(LEN('OFF_CONVAL'!I120)&gt;3,COUNTIF(CL_MONEDAISO,'OFF_CONVAL'!I120)=0)),1,0)</f>
        <v/>
      </c>
      <c r="J120">
        <f>IF(AND('OFF_CONVAL'!J120&lt;&gt;"",IF(ISNUMBER('OFF_CONVAL'!J120),OR('OFF_CONVAL'!J120&lt;&gt;INT('OFF_CONVAL'!J120),LEN(TEXT(ABS('OFF_CONVAL'!J120),"0"))&gt;15),TRUE)),1,0)</f>
        <v/>
      </c>
      <c r="K120">
        <f>IF(AND('OFF_CONVAL'!K120&lt;&gt;"",OR(LEN('OFF_CONVAL'!K120)&gt;3,COUNTIF(CL_MONEDAISO,'OFF_CONVAL'!K120)=0)),1,0)</f>
        <v/>
      </c>
      <c r="L120">
        <f>IF(AND('OFF_CONVAL'!L120&lt;&gt;"",IF(ISNUMBER('OFF_CONVAL'!L120),OR('OFF_CONVAL'!L120&lt;&gt;INT('OFF_CONVAL'!L120),LEN(TEXT(ABS('OFF_CONVAL'!L120),"0"))&gt;5),TRUE)),1,0)</f>
        <v/>
      </c>
      <c r="M120">
        <f>IF(AND('OFF_CONVAL'!M120&lt;&gt;"",IF(ISNUMBER('OFF_CONVAL'!M120),OR('OFF_CONVAL'!M120&lt;&gt;INT('OFF_CONVAL'!M120),LEN(TEXT(ABS('OFF_CONVAL'!M120),"0"))&gt;5),TRUE)),1,0)</f>
        <v/>
      </c>
      <c r="N120">
        <f>IF(AND('OFF_CONVAL'!N120&lt;&gt;"",LEN('OFF_CONVAL'!N120)&gt;20),1,0)</f>
        <v/>
      </c>
      <c r="O120">
        <f>IF(AND('OFF_CONVAL'!O120&lt;&gt;"",IF(ISNUMBER('OFF_CONVAL'!O120),OR('OFF_CONVAL'!O120&lt;&gt;INT('OFF_CONVAL'!O120),LEN(TEXT(ABS('OFF_CONVAL'!O120),"0"))&gt;15),TRUE)),1,0)</f>
        <v/>
      </c>
      <c r="P120">
        <f>IF(AND('OFF_CONVAL'!P120&lt;&gt;"",OR(LEN('OFF_CONVAL'!P120)&gt;3,COUNTIF(CL_MONEDAISO,'OFF_CONVAL'!P120)=0)),1,0)</f>
        <v/>
      </c>
      <c r="Q120">
        <f>IF(AND('OFF_CONVAL'!Q120&lt;&gt;"",NOT(ISNUMBER('OFF_CONVAL'!Q120))),1,0)</f>
        <v/>
      </c>
    </row>
    <row r="121">
      <c r="A121">
        <f>IF(AND('OFF_CONVAL'!A121&lt;&gt;"",NOT(ISNUMBER('OFF_CONVAL'!A121))),1,0)</f>
        <v/>
      </c>
      <c r="B121">
        <f>IF(AND('OFF_CONVAL'!B121&lt;&gt;"",LEN('OFF_CONVAL'!B121)&gt;20),1,0)</f>
        <v/>
      </c>
      <c r="C121">
        <f>IF(AND('OFF_CONVAL'!C121&lt;&gt;"",OR(LEN('OFF_CONVAL'!C121)&gt;1,COUNTIF(CL_POSICIONOPERACION_V4,'OFF_CONVAL'!C121)=0)),1,0)</f>
        <v/>
      </c>
      <c r="D121">
        <f>IF(AND('OFF_CONVAL'!D121&lt;&gt;"",OR(LEN('OFF_CONVAL'!D121)&gt;2,COUNTIF(CL_OBJ_OPE_V1,'OFF_CONVAL'!D121)=0)),1,0)</f>
        <v/>
      </c>
      <c r="E121">
        <f>IF(AND('OFF_CONVAL'!E121&lt;&gt;"",COUNTIF(CL_PAQ_EST_DER_V1,'OFF_CONVAL'!E121)=0),1,0)</f>
        <v/>
      </c>
      <c r="F121">
        <f>IF(AND('OFF_CONVAL'!F121&lt;&gt;"",LEN('OFF_CONVAL'!F121)&gt;20),1,0)</f>
        <v/>
      </c>
      <c r="G121">
        <f>IF(AND('OFF_CONVAL'!G121&lt;&gt;"",IF(ISNUMBER('OFF_CONVAL'!G121),OR('OFF_CONVAL'!G121&lt;&gt;INT('OFF_CONVAL'!G121),LEN(TEXT(ABS('OFF_CONVAL'!G121),"0"))&gt;3),TRUE)),1,0)</f>
        <v/>
      </c>
      <c r="H121">
        <f>IF(AND('OFF_CONVAL'!H121&lt;&gt;"",IF(ISNUMBER('OFF_CONVAL'!H121),OR('OFF_CONVAL'!H121&lt;&gt;INT('OFF_CONVAL'!H121),LEN(TEXT(ABS('OFF_CONVAL'!H121),"0"))&gt;15),TRUE)),1,0)</f>
        <v/>
      </c>
      <c r="I121">
        <f>IF(AND('OFF_CONVAL'!I121&lt;&gt;"",OR(LEN('OFF_CONVAL'!I121)&gt;3,COUNTIF(CL_MONEDAISO,'OFF_CONVAL'!I121)=0)),1,0)</f>
        <v/>
      </c>
      <c r="J121">
        <f>IF(AND('OFF_CONVAL'!J121&lt;&gt;"",IF(ISNUMBER('OFF_CONVAL'!J121),OR('OFF_CONVAL'!J121&lt;&gt;INT('OFF_CONVAL'!J121),LEN(TEXT(ABS('OFF_CONVAL'!J121),"0"))&gt;15),TRUE)),1,0)</f>
        <v/>
      </c>
      <c r="K121">
        <f>IF(AND('OFF_CONVAL'!K121&lt;&gt;"",OR(LEN('OFF_CONVAL'!K121)&gt;3,COUNTIF(CL_MONEDAISO,'OFF_CONVAL'!K121)=0)),1,0)</f>
        <v/>
      </c>
      <c r="L121">
        <f>IF(AND('OFF_CONVAL'!L121&lt;&gt;"",IF(ISNUMBER('OFF_CONVAL'!L121),OR('OFF_CONVAL'!L121&lt;&gt;INT('OFF_CONVAL'!L121),LEN(TEXT(ABS('OFF_CONVAL'!L121),"0"))&gt;5),TRUE)),1,0)</f>
        <v/>
      </c>
      <c r="M121">
        <f>IF(AND('OFF_CONVAL'!M121&lt;&gt;"",IF(ISNUMBER('OFF_CONVAL'!M121),OR('OFF_CONVAL'!M121&lt;&gt;INT('OFF_CONVAL'!M121),LEN(TEXT(ABS('OFF_CONVAL'!M121),"0"))&gt;5),TRUE)),1,0)</f>
        <v/>
      </c>
      <c r="N121">
        <f>IF(AND('OFF_CONVAL'!N121&lt;&gt;"",LEN('OFF_CONVAL'!N121)&gt;20),1,0)</f>
        <v/>
      </c>
      <c r="O121">
        <f>IF(AND('OFF_CONVAL'!O121&lt;&gt;"",IF(ISNUMBER('OFF_CONVAL'!O121),OR('OFF_CONVAL'!O121&lt;&gt;INT('OFF_CONVAL'!O121),LEN(TEXT(ABS('OFF_CONVAL'!O121),"0"))&gt;15),TRUE)),1,0)</f>
        <v/>
      </c>
      <c r="P121">
        <f>IF(AND('OFF_CONVAL'!P121&lt;&gt;"",OR(LEN('OFF_CONVAL'!P121)&gt;3,COUNTIF(CL_MONEDAISO,'OFF_CONVAL'!P121)=0)),1,0)</f>
        <v/>
      </c>
      <c r="Q121">
        <f>IF(AND('OFF_CONVAL'!Q121&lt;&gt;"",NOT(ISNUMBER('OFF_CONVAL'!Q121))),1,0)</f>
        <v/>
      </c>
    </row>
    <row r="122">
      <c r="A122">
        <f>IF(AND('OFF_CONVAL'!A122&lt;&gt;"",NOT(ISNUMBER('OFF_CONVAL'!A122))),1,0)</f>
        <v/>
      </c>
      <c r="B122">
        <f>IF(AND('OFF_CONVAL'!B122&lt;&gt;"",LEN('OFF_CONVAL'!B122)&gt;20),1,0)</f>
        <v/>
      </c>
      <c r="C122">
        <f>IF(AND('OFF_CONVAL'!C122&lt;&gt;"",OR(LEN('OFF_CONVAL'!C122)&gt;1,COUNTIF(CL_POSICIONOPERACION_V4,'OFF_CONVAL'!C122)=0)),1,0)</f>
        <v/>
      </c>
      <c r="D122">
        <f>IF(AND('OFF_CONVAL'!D122&lt;&gt;"",OR(LEN('OFF_CONVAL'!D122)&gt;2,COUNTIF(CL_OBJ_OPE_V1,'OFF_CONVAL'!D122)=0)),1,0)</f>
        <v/>
      </c>
      <c r="E122">
        <f>IF(AND('OFF_CONVAL'!E122&lt;&gt;"",COUNTIF(CL_PAQ_EST_DER_V1,'OFF_CONVAL'!E122)=0),1,0)</f>
        <v/>
      </c>
      <c r="F122">
        <f>IF(AND('OFF_CONVAL'!F122&lt;&gt;"",LEN('OFF_CONVAL'!F122)&gt;20),1,0)</f>
        <v/>
      </c>
      <c r="G122">
        <f>IF(AND('OFF_CONVAL'!G122&lt;&gt;"",IF(ISNUMBER('OFF_CONVAL'!G122),OR('OFF_CONVAL'!G122&lt;&gt;INT('OFF_CONVAL'!G122),LEN(TEXT(ABS('OFF_CONVAL'!G122),"0"))&gt;3),TRUE)),1,0)</f>
        <v/>
      </c>
      <c r="H122">
        <f>IF(AND('OFF_CONVAL'!H122&lt;&gt;"",IF(ISNUMBER('OFF_CONVAL'!H122),OR('OFF_CONVAL'!H122&lt;&gt;INT('OFF_CONVAL'!H122),LEN(TEXT(ABS('OFF_CONVAL'!H122),"0"))&gt;15),TRUE)),1,0)</f>
        <v/>
      </c>
      <c r="I122">
        <f>IF(AND('OFF_CONVAL'!I122&lt;&gt;"",OR(LEN('OFF_CONVAL'!I122)&gt;3,COUNTIF(CL_MONEDAISO,'OFF_CONVAL'!I122)=0)),1,0)</f>
        <v/>
      </c>
      <c r="J122">
        <f>IF(AND('OFF_CONVAL'!J122&lt;&gt;"",IF(ISNUMBER('OFF_CONVAL'!J122),OR('OFF_CONVAL'!J122&lt;&gt;INT('OFF_CONVAL'!J122),LEN(TEXT(ABS('OFF_CONVAL'!J122),"0"))&gt;15),TRUE)),1,0)</f>
        <v/>
      </c>
      <c r="K122">
        <f>IF(AND('OFF_CONVAL'!K122&lt;&gt;"",OR(LEN('OFF_CONVAL'!K122)&gt;3,COUNTIF(CL_MONEDAISO,'OFF_CONVAL'!K122)=0)),1,0)</f>
        <v/>
      </c>
      <c r="L122">
        <f>IF(AND('OFF_CONVAL'!L122&lt;&gt;"",IF(ISNUMBER('OFF_CONVAL'!L122),OR('OFF_CONVAL'!L122&lt;&gt;INT('OFF_CONVAL'!L122),LEN(TEXT(ABS('OFF_CONVAL'!L122),"0"))&gt;5),TRUE)),1,0)</f>
        <v/>
      </c>
      <c r="M122">
        <f>IF(AND('OFF_CONVAL'!M122&lt;&gt;"",IF(ISNUMBER('OFF_CONVAL'!M122),OR('OFF_CONVAL'!M122&lt;&gt;INT('OFF_CONVAL'!M122),LEN(TEXT(ABS('OFF_CONVAL'!M122),"0"))&gt;5),TRUE)),1,0)</f>
        <v/>
      </c>
      <c r="N122">
        <f>IF(AND('OFF_CONVAL'!N122&lt;&gt;"",LEN('OFF_CONVAL'!N122)&gt;20),1,0)</f>
        <v/>
      </c>
      <c r="O122">
        <f>IF(AND('OFF_CONVAL'!O122&lt;&gt;"",IF(ISNUMBER('OFF_CONVAL'!O122),OR('OFF_CONVAL'!O122&lt;&gt;INT('OFF_CONVAL'!O122),LEN(TEXT(ABS('OFF_CONVAL'!O122),"0"))&gt;15),TRUE)),1,0)</f>
        <v/>
      </c>
      <c r="P122">
        <f>IF(AND('OFF_CONVAL'!P122&lt;&gt;"",OR(LEN('OFF_CONVAL'!P122)&gt;3,COUNTIF(CL_MONEDAISO,'OFF_CONVAL'!P122)=0)),1,0)</f>
        <v/>
      </c>
      <c r="Q122">
        <f>IF(AND('OFF_CONVAL'!Q122&lt;&gt;"",NOT(ISNUMBER('OFF_CONVAL'!Q122))),1,0)</f>
        <v/>
      </c>
    </row>
    <row r="123">
      <c r="A123">
        <f>IF(AND('OFF_CONVAL'!A123&lt;&gt;"",NOT(ISNUMBER('OFF_CONVAL'!A123))),1,0)</f>
        <v/>
      </c>
      <c r="B123">
        <f>IF(AND('OFF_CONVAL'!B123&lt;&gt;"",LEN('OFF_CONVAL'!B123)&gt;20),1,0)</f>
        <v/>
      </c>
      <c r="C123">
        <f>IF(AND('OFF_CONVAL'!C123&lt;&gt;"",OR(LEN('OFF_CONVAL'!C123)&gt;1,COUNTIF(CL_POSICIONOPERACION_V4,'OFF_CONVAL'!C123)=0)),1,0)</f>
        <v/>
      </c>
      <c r="D123">
        <f>IF(AND('OFF_CONVAL'!D123&lt;&gt;"",OR(LEN('OFF_CONVAL'!D123)&gt;2,COUNTIF(CL_OBJ_OPE_V1,'OFF_CONVAL'!D123)=0)),1,0)</f>
        <v/>
      </c>
      <c r="E123">
        <f>IF(AND('OFF_CONVAL'!E123&lt;&gt;"",COUNTIF(CL_PAQ_EST_DER_V1,'OFF_CONVAL'!E123)=0),1,0)</f>
        <v/>
      </c>
      <c r="F123">
        <f>IF(AND('OFF_CONVAL'!F123&lt;&gt;"",LEN('OFF_CONVAL'!F123)&gt;20),1,0)</f>
        <v/>
      </c>
      <c r="G123">
        <f>IF(AND('OFF_CONVAL'!G123&lt;&gt;"",IF(ISNUMBER('OFF_CONVAL'!G123),OR('OFF_CONVAL'!G123&lt;&gt;INT('OFF_CONVAL'!G123),LEN(TEXT(ABS('OFF_CONVAL'!G123),"0"))&gt;3),TRUE)),1,0)</f>
        <v/>
      </c>
      <c r="H123">
        <f>IF(AND('OFF_CONVAL'!H123&lt;&gt;"",IF(ISNUMBER('OFF_CONVAL'!H123),OR('OFF_CONVAL'!H123&lt;&gt;INT('OFF_CONVAL'!H123),LEN(TEXT(ABS('OFF_CONVAL'!H123),"0"))&gt;15),TRUE)),1,0)</f>
        <v/>
      </c>
      <c r="I123">
        <f>IF(AND('OFF_CONVAL'!I123&lt;&gt;"",OR(LEN('OFF_CONVAL'!I123)&gt;3,COUNTIF(CL_MONEDAISO,'OFF_CONVAL'!I123)=0)),1,0)</f>
        <v/>
      </c>
      <c r="J123">
        <f>IF(AND('OFF_CONVAL'!J123&lt;&gt;"",IF(ISNUMBER('OFF_CONVAL'!J123),OR('OFF_CONVAL'!J123&lt;&gt;INT('OFF_CONVAL'!J123),LEN(TEXT(ABS('OFF_CONVAL'!J123),"0"))&gt;15),TRUE)),1,0)</f>
        <v/>
      </c>
      <c r="K123">
        <f>IF(AND('OFF_CONVAL'!K123&lt;&gt;"",OR(LEN('OFF_CONVAL'!K123)&gt;3,COUNTIF(CL_MONEDAISO,'OFF_CONVAL'!K123)=0)),1,0)</f>
        <v/>
      </c>
      <c r="L123">
        <f>IF(AND('OFF_CONVAL'!L123&lt;&gt;"",IF(ISNUMBER('OFF_CONVAL'!L123),OR('OFF_CONVAL'!L123&lt;&gt;INT('OFF_CONVAL'!L123),LEN(TEXT(ABS('OFF_CONVAL'!L123),"0"))&gt;5),TRUE)),1,0)</f>
        <v/>
      </c>
      <c r="M123">
        <f>IF(AND('OFF_CONVAL'!M123&lt;&gt;"",IF(ISNUMBER('OFF_CONVAL'!M123),OR('OFF_CONVAL'!M123&lt;&gt;INT('OFF_CONVAL'!M123),LEN(TEXT(ABS('OFF_CONVAL'!M123),"0"))&gt;5),TRUE)),1,0)</f>
        <v/>
      </c>
      <c r="N123">
        <f>IF(AND('OFF_CONVAL'!N123&lt;&gt;"",LEN('OFF_CONVAL'!N123)&gt;20),1,0)</f>
        <v/>
      </c>
      <c r="O123">
        <f>IF(AND('OFF_CONVAL'!O123&lt;&gt;"",IF(ISNUMBER('OFF_CONVAL'!O123),OR('OFF_CONVAL'!O123&lt;&gt;INT('OFF_CONVAL'!O123),LEN(TEXT(ABS('OFF_CONVAL'!O123),"0"))&gt;15),TRUE)),1,0)</f>
        <v/>
      </c>
      <c r="P123">
        <f>IF(AND('OFF_CONVAL'!P123&lt;&gt;"",OR(LEN('OFF_CONVAL'!P123)&gt;3,COUNTIF(CL_MONEDAISO,'OFF_CONVAL'!P123)=0)),1,0)</f>
        <v/>
      </c>
      <c r="Q123">
        <f>IF(AND('OFF_CONVAL'!Q123&lt;&gt;"",NOT(ISNUMBER('OFF_CONVAL'!Q123))),1,0)</f>
        <v/>
      </c>
    </row>
    <row r="124">
      <c r="A124">
        <f>IF(AND('OFF_CONVAL'!A124&lt;&gt;"",NOT(ISNUMBER('OFF_CONVAL'!A124))),1,0)</f>
        <v/>
      </c>
      <c r="B124">
        <f>IF(AND('OFF_CONVAL'!B124&lt;&gt;"",LEN('OFF_CONVAL'!B124)&gt;20),1,0)</f>
        <v/>
      </c>
      <c r="C124">
        <f>IF(AND('OFF_CONVAL'!C124&lt;&gt;"",OR(LEN('OFF_CONVAL'!C124)&gt;1,COUNTIF(CL_POSICIONOPERACION_V4,'OFF_CONVAL'!C124)=0)),1,0)</f>
        <v/>
      </c>
      <c r="D124">
        <f>IF(AND('OFF_CONVAL'!D124&lt;&gt;"",OR(LEN('OFF_CONVAL'!D124)&gt;2,COUNTIF(CL_OBJ_OPE_V1,'OFF_CONVAL'!D124)=0)),1,0)</f>
        <v/>
      </c>
      <c r="E124">
        <f>IF(AND('OFF_CONVAL'!E124&lt;&gt;"",COUNTIF(CL_PAQ_EST_DER_V1,'OFF_CONVAL'!E124)=0),1,0)</f>
        <v/>
      </c>
      <c r="F124">
        <f>IF(AND('OFF_CONVAL'!F124&lt;&gt;"",LEN('OFF_CONVAL'!F124)&gt;20),1,0)</f>
        <v/>
      </c>
      <c r="G124">
        <f>IF(AND('OFF_CONVAL'!G124&lt;&gt;"",IF(ISNUMBER('OFF_CONVAL'!G124),OR('OFF_CONVAL'!G124&lt;&gt;INT('OFF_CONVAL'!G124),LEN(TEXT(ABS('OFF_CONVAL'!G124),"0"))&gt;3),TRUE)),1,0)</f>
        <v/>
      </c>
      <c r="H124">
        <f>IF(AND('OFF_CONVAL'!H124&lt;&gt;"",IF(ISNUMBER('OFF_CONVAL'!H124),OR('OFF_CONVAL'!H124&lt;&gt;INT('OFF_CONVAL'!H124),LEN(TEXT(ABS('OFF_CONVAL'!H124),"0"))&gt;15),TRUE)),1,0)</f>
        <v/>
      </c>
      <c r="I124">
        <f>IF(AND('OFF_CONVAL'!I124&lt;&gt;"",OR(LEN('OFF_CONVAL'!I124)&gt;3,COUNTIF(CL_MONEDAISO,'OFF_CONVAL'!I124)=0)),1,0)</f>
        <v/>
      </c>
      <c r="J124">
        <f>IF(AND('OFF_CONVAL'!J124&lt;&gt;"",IF(ISNUMBER('OFF_CONVAL'!J124),OR('OFF_CONVAL'!J124&lt;&gt;INT('OFF_CONVAL'!J124),LEN(TEXT(ABS('OFF_CONVAL'!J124),"0"))&gt;15),TRUE)),1,0)</f>
        <v/>
      </c>
      <c r="K124">
        <f>IF(AND('OFF_CONVAL'!K124&lt;&gt;"",OR(LEN('OFF_CONVAL'!K124)&gt;3,COUNTIF(CL_MONEDAISO,'OFF_CONVAL'!K124)=0)),1,0)</f>
        <v/>
      </c>
      <c r="L124">
        <f>IF(AND('OFF_CONVAL'!L124&lt;&gt;"",IF(ISNUMBER('OFF_CONVAL'!L124),OR('OFF_CONVAL'!L124&lt;&gt;INT('OFF_CONVAL'!L124),LEN(TEXT(ABS('OFF_CONVAL'!L124),"0"))&gt;5),TRUE)),1,0)</f>
        <v/>
      </c>
      <c r="M124">
        <f>IF(AND('OFF_CONVAL'!M124&lt;&gt;"",IF(ISNUMBER('OFF_CONVAL'!M124),OR('OFF_CONVAL'!M124&lt;&gt;INT('OFF_CONVAL'!M124),LEN(TEXT(ABS('OFF_CONVAL'!M124),"0"))&gt;5),TRUE)),1,0)</f>
        <v/>
      </c>
      <c r="N124">
        <f>IF(AND('OFF_CONVAL'!N124&lt;&gt;"",LEN('OFF_CONVAL'!N124)&gt;20),1,0)</f>
        <v/>
      </c>
      <c r="O124">
        <f>IF(AND('OFF_CONVAL'!O124&lt;&gt;"",IF(ISNUMBER('OFF_CONVAL'!O124),OR('OFF_CONVAL'!O124&lt;&gt;INT('OFF_CONVAL'!O124),LEN(TEXT(ABS('OFF_CONVAL'!O124),"0"))&gt;15),TRUE)),1,0)</f>
        <v/>
      </c>
      <c r="P124">
        <f>IF(AND('OFF_CONVAL'!P124&lt;&gt;"",OR(LEN('OFF_CONVAL'!P124)&gt;3,COUNTIF(CL_MONEDAISO,'OFF_CONVAL'!P124)=0)),1,0)</f>
        <v/>
      </c>
      <c r="Q124">
        <f>IF(AND('OFF_CONVAL'!Q124&lt;&gt;"",NOT(ISNUMBER('OFF_CONVAL'!Q124))),1,0)</f>
        <v/>
      </c>
    </row>
    <row r="125">
      <c r="A125">
        <f>IF(AND('OFF_CONVAL'!A125&lt;&gt;"",NOT(ISNUMBER('OFF_CONVAL'!A125))),1,0)</f>
        <v/>
      </c>
      <c r="B125">
        <f>IF(AND('OFF_CONVAL'!B125&lt;&gt;"",LEN('OFF_CONVAL'!B125)&gt;20),1,0)</f>
        <v/>
      </c>
      <c r="C125">
        <f>IF(AND('OFF_CONVAL'!C125&lt;&gt;"",OR(LEN('OFF_CONVAL'!C125)&gt;1,COUNTIF(CL_POSICIONOPERACION_V4,'OFF_CONVAL'!C125)=0)),1,0)</f>
        <v/>
      </c>
      <c r="D125">
        <f>IF(AND('OFF_CONVAL'!D125&lt;&gt;"",OR(LEN('OFF_CONVAL'!D125)&gt;2,COUNTIF(CL_OBJ_OPE_V1,'OFF_CONVAL'!D125)=0)),1,0)</f>
        <v/>
      </c>
      <c r="E125">
        <f>IF(AND('OFF_CONVAL'!E125&lt;&gt;"",COUNTIF(CL_PAQ_EST_DER_V1,'OFF_CONVAL'!E125)=0),1,0)</f>
        <v/>
      </c>
      <c r="F125">
        <f>IF(AND('OFF_CONVAL'!F125&lt;&gt;"",LEN('OFF_CONVAL'!F125)&gt;20),1,0)</f>
        <v/>
      </c>
      <c r="G125">
        <f>IF(AND('OFF_CONVAL'!G125&lt;&gt;"",IF(ISNUMBER('OFF_CONVAL'!G125),OR('OFF_CONVAL'!G125&lt;&gt;INT('OFF_CONVAL'!G125),LEN(TEXT(ABS('OFF_CONVAL'!G125),"0"))&gt;3),TRUE)),1,0)</f>
        <v/>
      </c>
      <c r="H125">
        <f>IF(AND('OFF_CONVAL'!H125&lt;&gt;"",IF(ISNUMBER('OFF_CONVAL'!H125),OR('OFF_CONVAL'!H125&lt;&gt;INT('OFF_CONVAL'!H125),LEN(TEXT(ABS('OFF_CONVAL'!H125),"0"))&gt;15),TRUE)),1,0)</f>
        <v/>
      </c>
      <c r="I125">
        <f>IF(AND('OFF_CONVAL'!I125&lt;&gt;"",OR(LEN('OFF_CONVAL'!I125)&gt;3,COUNTIF(CL_MONEDAISO,'OFF_CONVAL'!I125)=0)),1,0)</f>
        <v/>
      </c>
      <c r="J125">
        <f>IF(AND('OFF_CONVAL'!J125&lt;&gt;"",IF(ISNUMBER('OFF_CONVAL'!J125),OR('OFF_CONVAL'!J125&lt;&gt;INT('OFF_CONVAL'!J125),LEN(TEXT(ABS('OFF_CONVAL'!J125),"0"))&gt;15),TRUE)),1,0)</f>
        <v/>
      </c>
      <c r="K125">
        <f>IF(AND('OFF_CONVAL'!K125&lt;&gt;"",OR(LEN('OFF_CONVAL'!K125)&gt;3,COUNTIF(CL_MONEDAISO,'OFF_CONVAL'!K125)=0)),1,0)</f>
        <v/>
      </c>
      <c r="L125">
        <f>IF(AND('OFF_CONVAL'!L125&lt;&gt;"",IF(ISNUMBER('OFF_CONVAL'!L125),OR('OFF_CONVAL'!L125&lt;&gt;INT('OFF_CONVAL'!L125),LEN(TEXT(ABS('OFF_CONVAL'!L125),"0"))&gt;5),TRUE)),1,0)</f>
        <v/>
      </c>
      <c r="M125">
        <f>IF(AND('OFF_CONVAL'!M125&lt;&gt;"",IF(ISNUMBER('OFF_CONVAL'!M125),OR('OFF_CONVAL'!M125&lt;&gt;INT('OFF_CONVAL'!M125),LEN(TEXT(ABS('OFF_CONVAL'!M125),"0"))&gt;5),TRUE)),1,0)</f>
        <v/>
      </c>
      <c r="N125">
        <f>IF(AND('OFF_CONVAL'!N125&lt;&gt;"",LEN('OFF_CONVAL'!N125)&gt;20),1,0)</f>
        <v/>
      </c>
      <c r="O125">
        <f>IF(AND('OFF_CONVAL'!O125&lt;&gt;"",IF(ISNUMBER('OFF_CONVAL'!O125),OR('OFF_CONVAL'!O125&lt;&gt;INT('OFF_CONVAL'!O125),LEN(TEXT(ABS('OFF_CONVAL'!O125),"0"))&gt;15),TRUE)),1,0)</f>
        <v/>
      </c>
      <c r="P125">
        <f>IF(AND('OFF_CONVAL'!P125&lt;&gt;"",OR(LEN('OFF_CONVAL'!P125)&gt;3,COUNTIF(CL_MONEDAISO,'OFF_CONVAL'!P125)=0)),1,0)</f>
        <v/>
      </c>
      <c r="Q125">
        <f>IF(AND('OFF_CONVAL'!Q125&lt;&gt;"",NOT(ISNUMBER('OFF_CONVAL'!Q125))),1,0)</f>
        <v/>
      </c>
    </row>
    <row r="126">
      <c r="A126">
        <f>IF(AND('OFF_CONVAL'!A126&lt;&gt;"",NOT(ISNUMBER('OFF_CONVAL'!A126))),1,0)</f>
        <v/>
      </c>
      <c r="B126">
        <f>IF(AND('OFF_CONVAL'!B126&lt;&gt;"",LEN('OFF_CONVAL'!B126)&gt;20),1,0)</f>
        <v/>
      </c>
      <c r="C126">
        <f>IF(AND('OFF_CONVAL'!C126&lt;&gt;"",OR(LEN('OFF_CONVAL'!C126)&gt;1,COUNTIF(CL_POSICIONOPERACION_V4,'OFF_CONVAL'!C126)=0)),1,0)</f>
        <v/>
      </c>
      <c r="D126">
        <f>IF(AND('OFF_CONVAL'!D126&lt;&gt;"",OR(LEN('OFF_CONVAL'!D126)&gt;2,COUNTIF(CL_OBJ_OPE_V1,'OFF_CONVAL'!D126)=0)),1,0)</f>
        <v/>
      </c>
      <c r="E126">
        <f>IF(AND('OFF_CONVAL'!E126&lt;&gt;"",COUNTIF(CL_PAQ_EST_DER_V1,'OFF_CONVAL'!E126)=0),1,0)</f>
        <v/>
      </c>
      <c r="F126">
        <f>IF(AND('OFF_CONVAL'!F126&lt;&gt;"",LEN('OFF_CONVAL'!F126)&gt;20),1,0)</f>
        <v/>
      </c>
      <c r="G126">
        <f>IF(AND('OFF_CONVAL'!G126&lt;&gt;"",IF(ISNUMBER('OFF_CONVAL'!G126),OR('OFF_CONVAL'!G126&lt;&gt;INT('OFF_CONVAL'!G126),LEN(TEXT(ABS('OFF_CONVAL'!G126),"0"))&gt;3),TRUE)),1,0)</f>
        <v/>
      </c>
      <c r="H126">
        <f>IF(AND('OFF_CONVAL'!H126&lt;&gt;"",IF(ISNUMBER('OFF_CONVAL'!H126),OR('OFF_CONVAL'!H126&lt;&gt;INT('OFF_CONVAL'!H126),LEN(TEXT(ABS('OFF_CONVAL'!H126),"0"))&gt;15),TRUE)),1,0)</f>
        <v/>
      </c>
      <c r="I126">
        <f>IF(AND('OFF_CONVAL'!I126&lt;&gt;"",OR(LEN('OFF_CONVAL'!I126)&gt;3,COUNTIF(CL_MONEDAISO,'OFF_CONVAL'!I126)=0)),1,0)</f>
        <v/>
      </c>
      <c r="J126">
        <f>IF(AND('OFF_CONVAL'!J126&lt;&gt;"",IF(ISNUMBER('OFF_CONVAL'!J126),OR('OFF_CONVAL'!J126&lt;&gt;INT('OFF_CONVAL'!J126),LEN(TEXT(ABS('OFF_CONVAL'!J126),"0"))&gt;15),TRUE)),1,0)</f>
        <v/>
      </c>
      <c r="K126">
        <f>IF(AND('OFF_CONVAL'!K126&lt;&gt;"",OR(LEN('OFF_CONVAL'!K126)&gt;3,COUNTIF(CL_MONEDAISO,'OFF_CONVAL'!K126)=0)),1,0)</f>
        <v/>
      </c>
      <c r="L126">
        <f>IF(AND('OFF_CONVAL'!L126&lt;&gt;"",IF(ISNUMBER('OFF_CONVAL'!L126),OR('OFF_CONVAL'!L126&lt;&gt;INT('OFF_CONVAL'!L126),LEN(TEXT(ABS('OFF_CONVAL'!L126),"0"))&gt;5),TRUE)),1,0)</f>
        <v/>
      </c>
      <c r="M126">
        <f>IF(AND('OFF_CONVAL'!M126&lt;&gt;"",IF(ISNUMBER('OFF_CONVAL'!M126),OR('OFF_CONVAL'!M126&lt;&gt;INT('OFF_CONVAL'!M126),LEN(TEXT(ABS('OFF_CONVAL'!M126),"0"))&gt;5),TRUE)),1,0)</f>
        <v/>
      </c>
      <c r="N126">
        <f>IF(AND('OFF_CONVAL'!N126&lt;&gt;"",LEN('OFF_CONVAL'!N126)&gt;20),1,0)</f>
        <v/>
      </c>
      <c r="O126">
        <f>IF(AND('OFF_CONVAL'!O126&lt;&gt;"",IF(ISNUMBER('OFF_CONVAL'!O126),OR('OFF_CONVAL'!O126&lt;&gt;INT('OFF_CONVAL'!O126),LEN(TEXT(ABS('OFF_CONVAL'!O126),"0"))&gt;15),TRUE)),1,0)</f>
        <v/>
      </c>
      <c r="P126">
        <f>IF(AND('OFF_CONVAL'!P126&lt;&gt;"",OR(LEN('OFF_CONVAL'!P126)&gt;3,COUNTIF(CL_MONEDAISO,'OFF_CONVAL'!P126)=0)),1,0)</f>
        <v/>
      </c>
      <c r="Q126">
        <f>IF(AND('OFF_CONVAL'!Q126&lt;&gt;"",NOT(ISNUMBER('OFF_CONVAL'!Q126))),1,0)</f>
        <v/>
      </c>
    </row>
    <row r="127">
      <c r="A127">
        <f>IF(AND('OFF_CONVAL'!A127&lt;&gt;"",NOT(ISNUMBER('OFF_CONVAL'!A127))),1,0)</f>
        <v/>
      </c>
      <c r="B127">
        <f>IF(AND('OFF_CONVAL'!B127&lt;&gt;"",LEN('OFF_CONVAL'!B127)&gt;20),1,0)</f>
        <v/>
      </c>
      <c r="C127">
        <f>IF(AND('OFF_CONVAL'!C127&lt;&gt;"",OR(LEN('OFF_CONVAL'!C127)&gt;1,COUNTIF(CL_POSICIONOPERACION_V4,'OFF_CONVAL'!C127)=0)),1,0)</f>
        <v/>
      </c>
      <c r="D127">
        <f>IF(AND('OFF_CONVAL'!D127&lt;&gt;"",OR(LEN('OFF_CONVAL'!D127)&gt;2,COUNTIF(CL_OBJ_OPE_V1,'OFF_CONVAL'!D127)=0)),1,0)</f>
        <v/>
      </c>
      <c r="E127">
        <f>IF(AND('OFF_CONVAL'!E127&lt;&gt;"",COUNTIF(CL_PAQ_EST_DER_V1,'OFF_CONVAL'!E127)=0),1,0)</f>
        <v/>
      </c>
      <c r="F127">
        <f>IF(AND('OFF_CONVAL'!F127&lt;&gt;"",LEN('OFF_CONVAL'!F127)&gt;20),1,0)</f>
        <v/>
      </c>
      <c r="G127">
        <f>IF(AND('OFF_CONVAL'!G127&lt;&gt;"",IF(ISNUMBER('OFF_CONVAL'!G127),OR('OFF_CONVAL'!G127&lt;&gt;INT('OFF_CONVAL'!G127),LEN(TEXT(ABS('OFF_CONVAL'!G127),"0"))&gt;3),TRUE)),1,0)</f>
        <v/>
      </c>
      <c r="H127">
        <f>IF(AND('OFF_CONVAL'!H127&lt;&gt;"",IF(ISNUMBER('OFF_CONVAL'!H127),OR('OFF_CONVAL'!H127&lt;&gt;INT('OFF_CONVAL'!H127),LEN(TEXT(ABS('OFF_CONVAL'!H127),"0"))&gt;15),TRUE)),1,0)</f>
        <v/>
      </c>
      <c r="I127">
        <f>IF(AND('OFF_CONVAL'!I127&lt;&gt;"",OR(LEN('OFF_CONVAL'!I127)&gt;3,COUNTIF(CL_MONEDAISO,'OFF_CONVAL'!I127)=0)),1,0)</f>
        <v/>
      </c>
      <c r="J127">
        <f>IF(AND('OFF_CONVAL'!J127&lt;&gt;"",IF(ISNUMBER('OFF_CONVAL'!J127),OR('OFF_CONVAL'!J127&lt;&gt;INT('OFF_CONVAL'!J127),LEN(TEXT(ABS('OFF_CONVAL'!J127),"0"))&gt;15),TRUE)),1,0)</f>
        <v/>
      </c>
      <c r="K127">
        <f>IF(AND('OFF_CONVAL'!K127&lt;&gt;"",OR(LEN('OFF_CONVAL'!K127)&gt;3,COUNTIF(CL_MONEDAISO,'OFF_CONVAL'!K127)=0)),1,0)</f>
        <v/>
      </c>
      <c r="L127">
        <f>IF(AND('OFF_CONVAL'!L127&lt;&gt;"",IF(ISNUMBER('OFF_CONVAL'!L127),OR('OFF_CONVAL'!L127&lt;&gt;INT('OFF_CONVAL'!L127),LEN(TEXT(ABS('OFF_CONVAL'!L127),"0"))&gt;5),TRUE)),1,0)</f>
        <v/>
      </c>
      <c r="M127">
        <f>IF(AND('OFF_CONVAL'!M127&lt;&gt;"",IF(ISNUMBER('OFF_CONVAL'!M127),OR('OFF_CONVAL'!M127&lt;&gt;INT('OFF_CONVAL'!M127),LEN(TEXT(ABS('OFF_CONVAL'!M127),"0"))&gt;5),TRUE)),1,0)</f>
        <v/>
      </c>
      <c r="N127">
        <f>IF(AND('OFF_CONVAL'!N127&lt;&gt;"",LEN('OFF_CONVAL'!N127)&gt;20),1,0)</f>
        <v/>
      </c>
      <c r="O127">
        <f>IF(AND('OFF_CONVAL'!O127&lt;&gt;"",IF(ISNUMBER('OFF_CONVAL'!O127),OR('OFF_CONVAL'!O127&lt;&gt;INT('OFF_CONVAL'!O127),LEN(TEXT(ABS('OFF_CONVAL'!O127),"0"))&gt;15),TRUE)),1,0)</f>
        <v/>
      </c>
      <c r="P127">
        <f>IF(AND('OFF_CONVAL'!P127&lt;&gt;"",OR(LEN('OFF_CONVAL'!P127)&gt;3,COUNTIF(CL_MONEDAISO,'OFF_CONVAL'!P127)=0)),1,0)</f>
        <v/>
      </c>
      <c r="Q127">
        <f>IF(AND('OFF_CONVAL'!Q127&lt;&gt;"",NOT(ISNUMBER('OFF_CONVAL'!Q127))),1,0)</f>
        <v/>
      </c>
    </row>
    <row r="128">
      <c r="A128">
        <f>IF(AND('OFF_CONVAL'!A128&lt;&gt;"",NOT(ISNUMBER('OFF_CONVAL'!A128))),1,0)</f>
        <v/>
      </c>
      <c r="B128">
        <f>IF(AND('OFF_CONVAL'!B128&lt;&gt;"",LEN('OFF_CONVAL'!B128)&gt;20),1,0)</f>
        <v/>
      </c>
      <c r="C128">
        <f>IF(AND('OFF_CONVAL'!C128&lt;&gt;"",OR(LEN('OFF_CONVAL'!C128)&gt;1,COUNTIF(CL_POSICIONOPERACION_V4,'OFF_CONVAL'!C128)=0)),1,0)</f>
        <v/>
      </c>
      <c r="D128">
        <f>IF(AND('OFF_CONVAL'!D128&lt;&gt;"",OR(LEN('OFF_CONVAL'!D128)&gt;2,COUNTIF(CL_OBJ_OPE_V1,'OFF_CONVAL'!D128)=0)),1,0)</f>
        <v/>
      </c>
      <c r="E128">
        <f>IF(AND('OFF_CONVAL'!E128&lt;&gt;"",COUNTIF(CL_PAQ_EST_DER_V1,'OFF_CONVAL'!E128)=0),1,0)</f>
        <v/>
      </c>
      <c r="F128">
        <f>IF(AND('OFF_CONVAL'!F128&lt;&gt;"",LEN('OFF_CONVAL'!F128)&gt;20),1,0)</f>
        <v/>
      </c>
      <c r="G128">
        <f>IF(AND('OFF_CONVAL'!G128&lt;&gt;"",IF(ISNUMBER('OFF_CONVAL'!G128),OR('OFF_CONVAL'!G128&lt;&gt;INT('OFF_CONVAL'!G128),LEN(TEXT(ABS('OFF_CONVAL'!G128),"0"))&gt;3),TRUE)),1,0)</f>
        <v/>
      </c>
      <c r="H128">
        <f>IF(AND('OFF_CONVAL'!H128&lt;&gt;"",IF(ISNUMBER('OFF_CONVAL'!H128),OR('OFF_CONVAL'!H128&lt;&gt;INT('OFF_CONVAL'!H128),LEN(TEXT(ABS('OFF_CONVAL'!H128),"0"))&gt;15),TRUE)),1,0)</f>
        <v/>
      </c>
      <c r="I128">
        <f>IF(AND('OFF_CONVAL'!I128&lt;&gt;"",OR(LEN('OFF_CONVAL'!I128)&gt;3,COUNTIF(CL_MONEDAISO,'OFF_CONVAL'!I128)=0)),1,0)</f>
        <v/>
      </c>
      <c r="J128">
        <f>IF(AND('OFF_CONVAL'!J128&lt;&gt;"",IF(ISNUMBER('OFF_CONVAL'!J128),OR('OFF_CONVAL'!J128&lt;&gt;INT('OFF_CONVAL'!J128),LEN(TEXT(ABS('OFF_CONVAL'!J128),"0"))&gt;15),TRUE)),1,0)</f>
        <v/>
      </c>
      <c r="K128">
        <f>IF(AND('OFF_CONVAL'!K128&lt;&gt;"",OR(LEN('OFF_CONVAL'!K128)&gt;3,COUNTIF(CL_MONEDAISO,'OFF_CONVAL'!K128)=0)),1,0)</f>
        <v/>
      </c>
      <c r="L128">
        <f>IF(AND('OFF_CONVAL'!L128&lt;&gt;"",IF(ISNUMBER('OFF_CONVAL'!L128),OR('OFF_CONVAL'!L128&lt;&gt;INT('OFF_CONVAL'!L128),LEN(TEXT(ABS('OFF_CONVAL'!L128),"0"))&gt;5),TRUE)),1,0)</f>
        <v/>
      </c>
      <c r="M128">
        <f>IF(AND('OFF_CONVAL'!M128&lt;&gt;"",IF(ISNUMBER('OFF_CONVAL'!M128),OR('OFF_CONVAL'!M128&lt;&gt;INT('OFF_CONVAL'!M128),LEN(TEXT(ABS('OFF_CONVAL'!M128),"0"))&gt;5),TRUE)),1,0)</f>
        <v/>
      </c>
      <c r="N128">
        <f>IF(AND('OFF_CONVAL'!N128&lt;&gt;"",LEN('OFF_CONVAL'!N128)&gt;20),1,0)</f>
        <v/>
      </c>
      <c r="O128">
        <f>IF(AND('OFF_CONVAL'!O128&lt;&gt;"",IF(ISNUMBER('OFF_CONVAL'!O128),OR('OFF_CONVAL'!O128&lt;&gt;INT('OFF_CONVAL'!O128),LEN(TEXT(ABS('OFF_CONVAL'!O128),"0"))&gt;15),TRUE)),1,0)</f>
        <v/>
      </c>
      <c r="P128">
        <f>IF(AND('OFF_CONVAL'!P128&lt;&gt;"",OR(LEN('OFF_CONVAL'!P128)&gt;3,COUNTIF(CL_MONEDAISO,'OFF_CONVAL'!P128)=0)),1,0)</f>
        <v/>
      </c>
      <c r="Q128">
        <f>IF(AND('OFF_CONVAL'!Q128&lt;&gt;"",NOT(ISNUMBER('OFF_CONVAL'!Q128))),1,0)</f>
        <v/>
      </c>
    </row>
    <row r="129">
      <c r="A129">
        <f>IF(AND('OFF_CONVAL'!A129&lt;&gt;"",NOT(ISNUMBER('OFF_CONVAL'!A129))),1,0)</f>
        <v/>
      </c>
      <c r="B129">
        <f>IF(AND('OFF_CONVAL'!B129&lt;&gt;"",LEN('OFF_CONVAL'!B129)&gt;20),1,0)</f>
        <v/>
      </c>
      <c r="C129">
        <f>IF(AND('OFF_CONVAL'!C129&lt;&gt;"",OR(LEN('OFF_CONVAL'!C129)&gt;1,COUNTIF(CL_POSICIONOPERACION_V4,'OFF_CONVAL'!C129)=0)),1,0)</f>
        <v/>
      </c>
      <c r="D129">
        <f>IF(AND('OFF_CONVAL'!D129&lt;&gt;"",OR(LEN('OFF_CONVAL'!D129)&gt;2,COUNTIF(CL_OBJ_OPE_V1,'OFF_CONVAL'!D129)=0)),1,0)</f>
        <v/>
      </c>
      <c r="E129">
        <f>IF(AND('OFF_CONVAL'!E129&lt;&gt;"",COUNTIF(CL_PAQ_EST_DER_V1,'OFF_CONVAL'!E129)=0),1,0)</f>
        <v/>
      </c>
      <c r="F129">
        <f>IF(AND('OFF_CONVAL'!F129&lt;&gt;"",LEN('OFF_CONVAL'!F129)&gt;20),1,0)</f>
        <v/>
      </c>
      <c r="G129">
        <f>IF(AND('OFF_CONVAL'!G129&lt;&gt;"",IF(ISNUMBER('OFF_CONVAL'!G129),OR('OFF_CONVAL'!G129&lt;&gt;INT('OFF_CONVAL'!G129),LEN(TEXT(ABS('OFF_CONVAL'!G129),"0"))&gt;3),TRUE)),1,0)</f>
        <v/>
      </c>
      <c r="H129">
        <f>IF(AND('OFF_CONVAL'!H129&lt;&gt;"",IF(ISNUMBER('OFF_CONVAL'!H129),OR('OFF_CONVAL'!H129&lt;&gt;INT('OFF_CONVAL'!H129),LEN(TEXT(ABS('OFF_CONVAL'!H129),"0"))&gt;15),TRUE)),1,0)</f>
        <v/>
      </c>
      <c r="I129">
        <f>IF(AND('OFF_CONVAL'!I129&lt;&gt;"",OR(LEN('OFF_CONVAL'!I129)&gt;3,COUNTIF(CL_MONEDAISO,'OFF_CONVAL'!I129)=0)),1,0)</f>
        <v/>
      </c>
      <c r="J129">
        <f>IF(AND('OFF_CONVAL'!J129&lt;&gt;"",IF(ISNUMBER('OFF_CONVAL'!J129),OR('OFF_CONVAL'!J129&lt;&gt;INT('OFF_CONVAL'!J129),LEN(TEXT(ABS('OFF_CONVAL'!J129),"0"))&gt;15),TRUE)),1,0)</f>
        <v/>
      </c>
      <c r="K129">
        <f>IF(AND('OFF_CONVAL'!K129&lt;&gt;"",OR(LEN('OFF_CONVAL'!K129)&gt;3,COUNTIF(CL_MONEDAISO,'OFF_CONVAL'!K129)=0)),1,0)</f>
        <v/>
      </c>
      <c r="L129">
        <f>IF(AND('OFF_CONVAL'!L129&lt;&gt;"",IF(ISNUMBER('OFF_CONVAL'!L129),OR('OFF_CONVAL'!L129&lt;&gt;INT('OFF_CONVAL'!L129),LEN(TEXT(ABS('OFF_CONVAL'!L129),"0"))&gt;5),TRUE)),1,0)</f>
        <v/>
      </c>
      <c r="M129">
        <f>IF(AND('OFF_CONVAL'!M129&lt;&gt;"",IF(ISNUMBER('OFF_CONVAL'!M129),OR('OFF_CONVAL'!M129&lt;&gt;INT('OFF_CONVAL'!M129),LEN(TEXT(ABS('OFF_CONVAL'!M129),"0"))&gt;5),TRUE)),1,0)</f>
        <v/>
      </c>
      <c r="N129">
        <f>IF(AND('OFF_CONVAL'!N129&lt;&gt;"",LEN('OFF_CONVAL'!N129)&gt;20),1,0)</f>
        <v/>
      </c>
      <c r="O129">
        <f>IF(AND('OFF_CONVAL'!O129&lt;&gt;"",IF(ISNUMBER('OFF_CONVAL'!O129),OR('OFF_CONVAL'!O129&lt;&gt;INT('OFF_CONVAL'!O129),LEN(TEXT(ABS('OFF_CONVAL'!O129),"0"))&gt;15),TRUE)),1,0)</f>
        <v/>
      </c>
      <c r="P129">
        <f>IF(AND('OFF_CONVAL'!P129&lt;&gt;"",OR(LEN('OFF_CONVAL'!P129)&gt;3,COUNTIF(CL_MONEDAISO,'OFF_CONVAL'!P129)=0)),1,0)</f>
        <v/>
      </c>
      <c r="Q129">
        <f>IF(AND('OFF_CONVAL'!Q129&lt;&gt;"",NOT(ISNUMBER('OFF_CONVAL'!Q129))),1,0)</f>
        <v/>
      </c>
    </row>
    <row r="130">
      <c r="A130">
        <f>IF(AND('OFF_CONVAL'!A130&lt;&gt;"",NOT(ISNUMBER('OFF_CONVAL'!A130))),1,0)</f>
        <v/>
      </c>
      <c r="B130">
        <f>IF(AND('OFF_CONVAL'!B130&lt;&gt;"",LEN('OFF_CONVAL'!B130)&gt;20),1,0)</f>
        <v/>
      </c>
      <c r="C130">
        <f>IF(AND('OFF_CONVAL'!C130&lt;&gt;"",OR(LEN('OFF_CONVAL'!C130)&gt;1,COUNTIF(CL_POSICIONOPERACION_V4,'OFF_CONVAL'!C130)=0)),1,0)</f>
        <v/>
      </c>
      <c r="D130">
        <f>IF(AND('OFF_CONVAL'!D130&lt;&gt;"",OR(LEN('OFF_CONVAL'!D130)&gt;2,COUNTIF(CL_OBJ_OPE_V1,'OFF_CONVAL'!D130)=0)),1,0)</f>
        <v/>
      </c>
      <c r="E130">
        <f>IF(AND('OFF_CONVAL'!E130&lt;&gt;"",COUNTIF(CL_PAQ_EST_DER_V1,'OFF_CONVAL'!E130)=0),1,0)</f>
        <v/>
      </c>
      <c r="F130">
        <f>IF(AND('OFF_CONVAL'!F130&lt;&gt;"",LEN('OFF_CONVAL'!F130)&gt;20),1,0)</f>
        <v/>
      </c>
      <c r="G130">
        <f>IF(AND('OFF_CONVAL'!G130&lt;&gt;"",IF(ISNUMBER('OFF_CONVAL'!G130),OR('OFF_CONVAL'!G130&lt;&gt;INT('OFF_CONVAL'!G130),LEN(TEXT(ABS('OFF_CONVAL'!G130),"0"))&gt;3),TRUE)),1,0)</f>
        <v/>
      </c>
      <c r="H130">
        <f>IF(AND('OFF_CONVAL'!H130&lt;&gt;"",IF(ISNUMBER('OFF_CONVAL'!H130),OR('OFF_CONVAL'!H130&lt;&gt;INT('OFF_CONVAL'!H130),LEN(TEXT(ABS('OFF_CONVAL'!H130),"0"))&gt;15),TRUE)),1,0)</f>
        <v/>
      </c>
      <c r="I130">
        <f>IF(AND('OFF_CONVAL'!I130&lt;&gt;"",OR(LEN('OFF_CONVAL'!I130)&gt;3,COUNTIF(CL_MONEDAISO,'OFF_CONVAL'!I130)=0)),1,0)</f>
        <v/>
      </c>
      <c r="J130">
        <f>IF(AND('OFF_CONVAL'!J130&lt;&gt;"",IF(ISNUMBER('OFF_CONVAL'!J130),OR('OFF_CONVAL'!J130&lt;&gt;INT('OFF_CONVAL'!J130),LEN(TEXT(ABS('OFF_CONVAL'!J130),"0"))&gt;15),TRUE)),1,0)</f>
        <v/>
      </c>
      <c r="K130">
        <f>IF(AND('OFF_CONVAL'!K130&lt;&gt;"",OR(LEN('OFF_CONVAL'!K130)&gt;3,COUNTIF(CL_MONEDAISO,'OFF_CONVAL'!K130)=0)),1,0)</f>
        <v/>
      </c>
      <c r="L130">
        <f>IF(AND('OFF_CONVAL'!L130&lt;&gt;"",IF(ISNUMBER('OFF_CONVAL'!L130),OR('OFF_CONVAL'!L130&lt;&gt;INT('OFF_CONVAL'!L130),LEN(TEXT(ABS('OFF_CONVAL'!L130),"0"))&gt;5),TRUE)),1,0)</f>
        <v/>
      </c>
      <c r="M130">
        <f>IF(AND('OFF_CONVAL'!M130&lt;&gt;"",IF(ISNUMBER('OFF_CONVAL'!M130),OR('OFF_CONVAL'!M130&lt;&gt;INT('OFF_CONVAL'!M130),LEN(TEXT(ABS('OFF_CONVAL'!M130),"0"))&gt;5),TRUE)),1,0)</f>
        <v/>
      </c>
      <c r="N130">
        <f>IF(AND('OFF_CONVAL'!N130&lt;&gt;"",LEN('OFF_CONVAL'!N130)&gt;20),1,0)</f>
        <v/>
      </c>
      <c r="O130">
        <f>IF(AND('OFF_CONVAL'!O130&lt;&gt;"",IF(ISNUMBER('OFF_CONVAL'!O130),OR('OFF_CONVAL'!O130&lt;&gt;INT('OFF_CONVAL'!O130),LEN(TEXT(ABS('OFF_CONVAL'!O130),"0"))&gt;15),TRUE)),1,0)</f>
        <v/>
      </c>
      <c r="P130">
        <f>IF(AND('OFF_CONVAL'!P130&lt;&gt;"",OR(LEN('OFF_CONVAL'!P130)&gt;3,COUNTIF(CL_MONEDAISO,'OFF_CONVAL'!P130)=0)),1,0)</f>
        <v/>
      </c>
      <c r="Q130">
        <f>IF(AND('OFF_CONVAL'!Q130&lt;&gt;"",NOT(ISNUMBER('OFF_CONVAL'!Q130))),1,0)</f>
        <v/>
      </c>
    </row>
    <row r="131">
      <c r="A131">
        <f>IF(AND('OFF_CONVAL'!A131&lt;&gt;"",NOT(ISNUMBER('OFF_CONVAL'!A131))),1,0)</f>
        <v/>
      </c>
      <c r="B131">
        <f>IF(AND('OFF_CONVAL'!B131&lt;&gt;"",LEN('OFF_CONVAL'!B131)&gt;20),1,0)</f>
        <v/>
      </c>
      <c r="C131">
        <f>IF(AND('OFF_CONVAL'!C131&lt;&gt;"",OR(LEN('OFF_CONVAL'!C131)&gt;1,COUNTIF(CL_POSICIONOPERACION_V4,'OFF_CONVAL'!C131)=0)),1,0)</f>
        <v/>
      </c>
      <c r="D131">
        <f>IF(AND('OFF_CONVAL'!D131&lt;&gt;"",OR(LEN('OFF_CONVAL'!D131)&gt;2,COUNTIF(CL_OBJ_OPE_V1,'OFF_CONVAL'!D131)=0)),1,0)</f>
        <v/>
      </c>
      <c r="E131">
        <f>IF(AND('OFF_CONVAL'!E131&lt;&gt;"",COUNTIF(CL_PAQ_EST_DER_V1,'OFF_CONVAL'!E131)=0),1,0)</f>
        <v/>
      </c>
      <c r="F131">
        <f>IF(AND('OFF_CONVAL'!F131&lt;&gt;"",LEN('OFF_CONVAL'!F131)&gt;20),1,0)</f>
        <v/>
      </c>
      <c r="G131">
        <f>IF(AND('OFF_CONVAL'!G131&lt;&gt;"",IF(ISNUMBER('OFF_CONVAL'!G131),OR('OFF_CONVAL'!G131&lt;&gt;INT('OFF_CONVAL'!G131),LEN(TEXT(ABS('OFF_CONVAL'!G131),"0"))&gt;3),TRUE)),1,0)</f>
        <v/>
      </c>
      <c r="H131">
        <f>IF(AND('OFF_CONVAL'!H131&lt;&gt;"",IF(ISNUMBER('OFF_CONVAL'!H131),OR('OFF_CONVAL'!H131&lt;&gt;INT('OFF_CONVAL'!H131),LEN(TEXT(ABS('OFF_CONVAL'!H131),"0"))&gt;15),TRUE)),1,0)</f>
        <v/>
      </c>
      <c r="I131">
        <f>IF(AND('OFF_CONVAL'!I131&lt;&gt;"",OR(LEN('OFF_CONVAL'!I131)&gt;3,COUNTIF(CL_MONEDAISO,'OFF_CONVAL'!I131)=0)),1,0)</f>
        <v/>
      </c>
      <c r="J131">
        <f>IF(AND('OFF_CONVAL'!J131&lt;&gt;"",IF(ISNUMBER('OFF_CONVAL'!J131),OR('OFF_CONVAL'!J131&lt;&gt;INT('OFF_CONVAL'!J131),LEN(TEXT(ABS('OFF_CONVAL'!J131),"0"))&gt;15),TRUE)),1,0)</f>
        <v/>
      </c>
      <c r="K131">
        <f>IF(AND('OFF_CONVAL'!K131&lt;&gt;"",OR(LEN('OFF_CONVAL'!K131)&gt;3,COUNTIF(CL_MONEDAISO,'OFF_CONVAL'!K131)=0)),1,0)</f>
        <v/>
      </c>
      <c r="L131">
        <f>IF(AND('OFF_CONVAL'!L131&lt;&gt;"",IF(ISNUMBER('OFF_CONVAL'!L131),OR('OFF_CONVAL'!L131&lt;&gt;INT('OFF_CONVAL'!L131),LEN(TEXT(ABS('OFF_CONVAL'!L131),"0"))&gt;5),TRUE)),1,0)</f>
        <v/>
      </c>
      <c r="M131">
        <f>IF(AND('OFF_CONVAL'!M131&lt;&gt;"",IF(ISNUMBER('OFF_CONVAL'!M131),OR('OFF_CONVAL'!M131&lt;&gt;INT('OFF_CONVAL'!M131),LEN(TEXT(ABS('OFF_CONVAL'!M131),"0"))&gt;5),TRUE)),1,0)</f>
        <v/>
      </c>
      <c r="N131">
        <f>IF(AND('OFF_CONVAL'!N131&lt;&gt;"",LEN('OFF_CONVAL'!N131)&gt;20),1,0)</f>
        <v/>
      </c>
      <c r="O131">
        <f>IF(AND('OFF_CONVAL'!O131&lt;&gt;"",IF(ISNUMBER('OFF_CONVAL'!O131),OR('OFF_CONVAL'!O131&lt;&gt;INT('OFF_CONVAL'!O131),LEN(TEXT(ABS('OFF_CONVAL'!O131),"0"))&gt;15),TRUE)),1,0)</f>
        <v/>
      </c>
      <c r="P131">
        <f>IF(AND('OFF_CONVAL'!P131&lt;&gt;"",OR(LEN('OFF_CONVAL'!P131)&gt;3,COUNTIF(CL_MONEDAISO,'OFF_CONVAL'!P131)=0)),1,0)</f>
        <v/>
      </c>
      <c r="Q131">
        <f>IF(AND('OFF_CONVAL'!Q131&lt;&gt;"",NOT(ISNUMBER('OFF_CONVAL'!Q131))),1,0)</f>
        <v/>
      </c>
    </row>
    <row r="132">
      <c r="A132">
        <f>IF(AND('OFF_CONVAL'!A132&lt;&gt;"",NOT(ISNUMBER('OFF_CONVAL'!A132))),1,0)</f>
        <v/>
      </c>
      <c r="B132">
        <f>IF(AND('OFF_CONVAL'!B132&lt;&gt;"",LEN('OFF_CONVAL'!B132)&gt;20),1,0)</f>
        <v/>
      </c>
      <c r="C132">
        <f>IF(AND('OFF_CONVAL'!C132&lt;&gt;"",OR(LEN('OFF_CONVAL'!C132)&gt;1,COUNTIF(CL_POSICIONOPERACION_V4,'OFF_CONVAL'!C132)=0)),1,0)</f>
        <v/>
      </c>
      <c r="D132">
        <f>IF(AND('OFF_CONVAL'!D132&lt;&gt;"",OR(LEN('OFF_CONVAL'!D132)&gt;2,COUNTIF(CL_OBJ_OPE_V1,'OFF_CONVAL'!D132)=0)),1,0)</f>
        <v/>
      </c>
      <c r="E132">
        <f>IF(AND('OFF_CONVAL'!E132&lt;&gt;"",COUNTIF(CL_PAQ_EST_DER_V1,'OFF_CONVAL'!E132)=0),1,0)</f>
        <v/>
      </c>
      <c r="F132">
        <f>IF(AND('OFF_CONVAL'!F132&lt;&gt;"",LEN('OFF_CONVAL'!F132)&gt;20),1,0)</f>
        <v/>
      </c>
      <c r="G132">
        <f>IF(AND('OFF_CONVAL'!G132&lt;&gt;"",IF(ISNUMBER('OFF_CONVAL'!G132),OR('OFF_CONVAL'!G132&lt;&gt;INT('OFF_CONVAL'!G132),LEN(TEXT(ABS('OFF_CONVAL'!G132),"0"))&gt;3),TRUE)),1,0)</f>
        <v/>
      </c>
      <c r="H132">
        <f>IF(AND('OFF_CONVAL'!H132&lt;&gt;"",IF(ISNUMBER('OFF_CONVAL'!H132),OR('OFF_CONVAL'!H132&lt;&gt;INT('OFF_CONVAL'!H132),LEN(TEXT(ABS('OFF_CONVAL'!H132),"0"))&gt;15),TRUE)),1,0)</f>
        <v/>
      </c>
      <c r="I132">
        <f>IF(AND('OFF_CONVAL'!I132&lt;&gt;"",OR(LEN('OFF_CONVAL'!I132)&gt;3,COUNTIF(CL_MONEDAISO,'OFF_CONVAL'!I132)=0)),1,0)</f>
        <v/>
      </c>
      <c r="J132">
        <f>IF(AND('OFF_CONVAL'!J132&lt;&gt;"",IF(ISNUMBER('OFF_CONVAL'!J132),OR('OFF_CONVAL'!J132&lt;&gt;INT('OFF_CONVAL'!J132),LEN(TEXT(ABS('OFF_CONVAL'!J132),"0"))&gt;15),TRUE)),1,0)</f>
        <v/>
      </c>
      <c r="K132">
        <f>IF(AND('OFF_CONVAL'!K132&lt;&gt;"",OR(LEN('OFF_CONVAL'!K132)&gt;3,COUNTIF(CL_MONEDAISO,'OFF_CONVAL'!K132)=0)),1,0)</f>
        <v/>
      </c>
      <c r="L132">
        <f>IF(AND('OFF_CONVAL'!L132&lt;&gt;"",IF(ISNUMBER('OFF_CONVAL'!L132),OR('OFF_CONVAL'!L132&lt;&gt;INT('OFF_CONVAL'!L132),LEN(TEXT(ABS('OFF_CONVAL'!L132),"0"))&gt;5),TRUE)),1,0)</f>
        <v/>
      </c>
      <c r="M132">
        <f>IF(AND('OFF_CONVAL'!M132&lt;&gt;"",IF(ISNUMBER('OFF_CONVAL'!M132),OR('OFF_CONVAL'!M132&lt;&gt;INT('OFF_CONVAL'!M132),LEN(TEXT(ABS('OFF_CONVAL'!M132),"0"))&gt;5),TRUE)),1,0)</f>
        <v/>
      </c>
      <c r="N132">
        <f>IF(AND('OFF_CONVAL'!N132&lt;&gt;"",LEN('OFF_CONVAL'!N132)&gt;20),1,0)</f>
        <v/>
      </c>
      <c r="O132">
        <f>IF(AND('OFF_CONVAL'!O132&lt;&gt;"",IF(ISNUMBER('OFF_CONVAL'!O132),OR('OFF_CONVAL'!O132&lt;&gt;INT('OFF_CONVAL'!O132),LEN(TEXT(ABS('OFF_CONVAL'!O132),"0"))&gt;15),TRUE)),1,0)</f>
        <v/>
      </c>
      <c r="P132">
        <f>IF(AND('OFF_CONVAL'!P132&lt;&gt;"",OR(LEN('OFF_CONVAL'!P132)&gt;3,COUNTIF(CL_MONEDAISO,'OFF_CONVAL'!P132)=0)),1,0)</f>
        <v/>
      </c>
      <c r="Q132">
        <f>IF(AND('OFF_CONVAL'!Q132&lt;&gt;"",NOT(ISNUMBER('OFF_CONVAL'!Q132))),1,0)</f>
        <v/>
      </c>
    </row>
    <row r="133">
      <c r="A133">
        <f>IF(AND('OFF_CONVAL'!A133&lt;&gt;"",NOT(ISNUMBER('OFF_CONVAL'!A133))),1,0)</f>
        <v/>
      </c>
      <c r="B133">
        <f>IF(AND('OFF_CONVAL'!B133&lt;&gt;"",LEN('OFF_CONVAL'!B133)&gt;20),1,0)</f>
        <v/>
      </c>
      <c r="C133">
        <f>IF(AND('OFF_CONVAL'!C133&lt;&gt;"",OR(LEN('OFF_CONVAL'!C133)&gt;1,COUNTIF(CL_POSICIONOPERACION_V4,'OFF_CONVAL'!C133)=0)),1,0)</f>
        <v/>
      </c>
      <c r="D133">
        <f>IF(AND('OFF_CONVAL'!D133&lt;&gt;"",OR(LEN('OFF_CONVAL'!D133)&gt;2,COUNTIF(CL_OBJ_OPE_V1,'OFF_CONVAL'!D133)=0)),1,0)</f>
        <v/>
      </c>
      <c r="E133">
        <f>IF(AND('OFF_CONVAL'!E133&lt;&gt;"",COUNTIF(CL_PAQ_EST_DER_V1,'OFF_CONVAL'!E133)=0),1,0)</f>
        <v/>
      </c>
      <c r="F133">
        <f>IF(AND('OFF_CONVAL'!F133&lt;&gt;"",LEN('OFF_CONVAL'!F133)&gt;20),1,0)</f>
        <v/>
      </c>
      <c r="G133">
        <f>IF(AND('OFF_CONVAL'!G133&lt;&gt;"",IF(ISNUMBER('OFF_CONVAL'!G133),OR('OFF_CONVAL'!G133&lt;&gt;INT('OFF_CONVAL'!G133),LEN(TEXT(ABS('OFF_CONVAL'!G133),"0"))&gt;3),TRUE)),1,0)</f>
        <v/>
      </c>
      <c r="H133">
        <f>IF(AND('OFF_CONVAL'!H133&lt;&gt;"",IF(ISNUMBER('OFF_CONVAL'!H133),OR('OFF_CONVAL'!H133&lt;&gt;INT('OFF_CONVAL'!H133),LEN(TEXT(ABS('OFF_CONVAL'!H133),"0"))&gt;15),TRUE)),1,0)</f>
        <v/>
      </c>
      <c r="I133">
        <f>IF(AND('OFF_CONVAL'!I133&lt;&gt;"",OR(LEN('OFF_CONVAL'!I133)&gt;3,COUNTIF(CL_MONEDAISO,'OFF_CONVAL'!I133)=0)),1,0)</f>
        <v/>
      </c>
      <c r="J133">
        <f>IF(AND('OFF_CONVAL'!J133&lt;&gt;"",IF(ISNUMBER('OFF_CONVAL'!J133),OR('OFF_CONVAL'!J133&lt;&gt;INT('OFF_CONVAL'!J133),LEN(TEXT(ABS('OFF_CONVAL'!J133),"0"))&gt;15),TRUE)),1,0)</f>
        <v/>
      </c>
      <c r="K133">
        <f>IF(AND('OFF_CONVAL'!K133&lt;&gt;"",OR(LEN('OFF_CONVAL'!K133)&gt;3,COUNTIF(CL_MONEDAISO,'OFF_CONVAL'!K133)=0)),1,0)</f>
        <v/>
      </c>
      <c r="L133">
        <f>IF(AND('OFF_CONVAL'!L133&lt;&gt;"",IF(ISNUMBER('OFF_CONVAL'!L133),OR('OFF_CONVAL'!L133&lt;&gt;INT('OFF_CONVAL'!L133),LEN(TEXT(ABS('OFF_CONVAL'!L133),"0"))&gt;5),TRUE)),1,0)</f>
        <v/>
      </c>
      <c r="M133">
        <f>IF(AND('OFF_CONVAL'!M133&lt;&gt;"",IF(ISNUMBER('OFF_CONVAL'!M133),OR('OFF_CONVAL'!M133&lt;&gt;INT('OFF_CONVAL'!M133),LEN(TEXT(ABS('OFF_CONVAL'!M133),"0"))&gt;5),TRUE)),1,0)</f>
        <v/>
      </c>
      <c r="N133">
        <f>IF(AND('OFF_CONVAL'!N133&lt;&gt;"",LEN('OFF_CONVAL'!N133)&gt;20),1,0)</f>
        <v/>
      </c>
      <c r="O133">
        <f>IF(AND('OFF_CONVAL'!O133&lt;&gt;"",IF(ISNUMBER('OFF_CONVAL'!O133),OR('OFF_CONVAL'!O133&lt;&gt;INT('OFF_CONVAL'!O133),LEN(TEXT(ABS('OFF_CONVAL'!O133),"0"))&gt;15),TRUE)),1,0)</f>
        <v/>
      </c>
      <c r="P133">
        <f>IF(AND('OFF_CONVAL'!P133&lt;&gt;"",OR(LEN('OFF_CONVAL'!P133)&gt;3,COUNTIF(CL_MONEDAISO,'OFF_CONVAL'!P133)=0)),1,0)</f>
        <v/>
      </c>
      <c r="Q133">
        <f>IF(AND('OFF_CONVAL'!Q133&lt;&gt;"",NOT(ISNUMBER('OFF_CONVAL'!Q133))),1,0)</f>
        <v/>
      </c>
    </row>
    <row r="134">
      <c r="A134">
        <f>IF(AND('OFF_CONVAL'!A134&lt;&gt;"",NOT(ISNUMBER('OFF_CONVAL'!A134))),1,0)</f>
        <v/>
      </c>
      <c r="B134">
        <f>IF(AND('OFF_CONVAL'!B134&lt;&gt;"",LEN('OFF_CONVAL'!B134)&gt;20),1,0)</f>
        <v/>
      </c>
      <c r="C134">
        <f>IF(AND('OFF_CONVAL'!C134&lt;&gt;"",OR(LEN('OFF_CONVAL'!C134)&gt;1,COUNTIF(CL_POSICIONOPERACION_V4,'OFF_CONVAL'!C134)=0)),1,0)</f>
        <v/>
      </c>
      <c r="D134">
        <f>IF(AND('OFF_CONVAL'!D134&lt;&gt;"",OR(LEN('OFF_CONVAL'!D134)&gt;2,COUNTIF(CL_OBJ_OPE_V1,'OFF_CONVAL'!D134)=0)),1,0)</f>
        <v/>
      </c>
      <c r="E134">
        <f>IF(AND('OFF_CONVAL'!E134&lt;&gt;"",COUNTIF(CL_PAQ_EST_DER_V1,'OFF_CONVAL'!E134)=0),1,0)</f>
        <v/>
      </c>
      <c r="F134">
        <f>IF(AND('OFF_CONVAL'!F134&lt;&gt;"",LEN('OFF_CONVAL'!F134)&gt;20),1,0)</f>
        <v/>
      </c>
      <c r="G134">
        <f>IF(AND('OFF_CONVAL'!G134&lt;&gt;"",IF(ISNUMBER('OFF_CONVAL'!G134),OR('OFF_CONVAL'!G134&lt;&gt;INT('OFF_CONVAL'!G134),LEN(TEXT(ABS('OFF_CONVAL'!G134),"0"))&gt;3),TRUE)),1,0)</f>
        <v/>
      </c>
      <c r="H134">
        <f>IF(AND('OFF_CONVAL'!H134&lt;&gt;"",IF(ISNUMBER('OFF_CONVAL'!H134),OR('OFF_CONVAL'!H134&lt;&gt;INT('OFF_CONVAL'!H134),LEN(TEXT(ABS('OFF_CONVAL'!H134),"0"))&gt;15),TRUE)),1,0)</f>
        <v/>
      </c>
      <c r="I134">
        <f>IF(AND('OFF_CONVAL'!I134&lt;&gt;"",OR(LEN('OFF_CONVAL'!I134)&gt;3,COUNTIF(CL_MONEDAISO,'OFF_CONVAL'!I134)=0)),1,0)</f>
        <v/>
      </c>
      <c r="J134">
        <f>IF(AND('OFF_CONVAL'!J134&lt;&gt;"",IF(ISNUMBER('OFF_CONVAL'!J134),OR('OFF_CONVAL'!J134&lt;&gt;INT('OFF_CONVAL'!J134),LEN(TEXT(ABS('OFF_CONVAL'!J134),"0"))&gt;15),TRUE)),1,0)</f>
        <v/>
      </c>
      <c r="K134">
        <f>IF(AND('OFF_CONVAL'!K134&lt;&gt;"",OR(LEN('OFF_CONVAL'!K134)&gt;3,COUNTIF(CL_MONEDAISO,'OFF_CONVAL'!K134)=0)),1,0)</f>
        <v/>
      </c>
      <c r="L134">
        <f>IF(AND('OFF_CONVAL'!L134&lt;&gt;"",IF(ISNUMBER('OFF_CONVAL'!L134),OR('OFF_CONVAL'!L134&lt;&gt;INT('OFF_CONVAL'!L134),LEN(TEXT(ABS('OFF_CONVAL'!L134),"0"))&gt;5),TRUE)),1,0)</f>
        <v/>
      </c>
      <c r="M134">
        <f>IF(AND('OFF_CONVAL'!M134&lt;&gt;"",IF(ISNUMBER('OFF_CONVAL'!M134),OR('OFF_CONVAL'!M134&lt;&gt;INT('OFF_CONVAL'!M134),LEN(TEXT(ABS('OFF_CONVAL'!M134),"0"))&gt;5),TRUE)),1,0)</f>
        <v/>
      </c>
      <c r="N134">
        <f>IF(AND('OFF_CONVAL'!N134&lt;&gt;"",LEN('OFF_CONVAL'!N134)&gt;20),1,0)</f>
        <v/>
      </c>
      <c r="O134">
        <f>IF(AND('OFF_CONVAL'!O134&lt;&gt;"",IF(ISNUMBER('OFF_CONVAL'!O134),OR('OFF_CONVAL'!O134&lt;&gt;INT('OFF_CONVAL'!O134),LEN(TEXT(ABS('OFF_CONVAL'!O134),"0"))&gt;15),TRUE)),1,0)</f>
        <v/>
      </c>
      <c r="P134">
        <f>IF(AND('OFF_CONVAL'!P134&lt;&gt;"",OR(LEN('OFF_CONVAL'!P134)&gt;3,COUNTIF(CL_MONEDAISO,'OFF_CONVAL'!P134)=0)),1,0)</f>
        <v/>
      </c>
      <c r="Q134">
        <f>IF(AND('OFF_CONVAL'!Q134&lt;&gt;"",NOT(ISNUMBER('OFF_CONVAL'!Q134))),1,0)</f>
        <v/>
      </c>
    </row>
    <row r="135">
      <c r="A135">
        <f>IF(AND('OFF_CONVAL'!A135&lt;&gt;"",NOT(ISNUMBER('OFF_CONVAL'!A135))),1,0)</f>
        <v/>
      </c>
      <c r="B135">
        <f>IF(AND('OFF_CONVAL'!B135&lt;&gt;"",LEN('OFF_CONVAL'!B135)&gt;20),1,0)</f>
        <v/>
      </c>
      <c r="C135">
        <f>IF(AND('OFF_CONVAL'!C135&lt;&gt;"",OR(LEN('OFF_CONVAL'!C135)&gt;1,COUNTIF(CL_POSICIONOPERACION_V4,'OFF_CONVAL'!C135)=0)),1,0)</f>
        <v/>
      </c>
      <c r="D135">
        <f>IF(AND('OFF_CONVAL'!D135&lt;&gt;"",OR(LEN('OFF_CONVAL'!D135)&gt;2,COUNTIF(CL_OBJ_OPE_V1,'OFF_CONVAL'!D135)=0)),1,0)</f>
        <v/>
      </c>
      <c r="E135">
        <f>IF(AND('OFF_CONVAL'!E135&lt;&gt;"",COUNTIF(CL_PAQ_EST_DER_V1,'OFF_CONVAL'!E135)=0),1,0)</f>
        <v/>
      </c>
      <c r="F135">
        <f>IF(AND('OFF_CONVAL'!F135&lt;&gt;"",LEN('OFF_CONVAL'!F135)&gt;20),1,0)</f>
        <v/>
      </c>
      <c r="G135">
        <f>IF(AND('OFF_CONVAL'!G135&lt;&gt;"",IF(ISNUMBER('OFF_CONVAL'!G135),OR('OFF_CONVAL'!G135&lt;&gt;INT('OFF_CONVAL'!G135),LEN(TEXT(ABS('OFF_CONVAL'!G135),"0"))&gt;3),TRUE)),1,0)</f>
        <v/>
      </c>
      <c r="H135">
        <f>IF(AND('OFF_CONVAL'!H135&lt;&gt;"",IF(ISNUMBER('OFF_CONVAL'!H135),OR('OFF_CONVAL'!H135&lt;&gt;INT('OFF_CONVAL'!H135),LEN(TEXT(ABS('OFF_CONVAL'!H135),"0"))&gt;15),TRUE)),1,0)</f>
        <v/>
      </c>
      <c r="I135">
        <f>IF(AND('OFF_CONVAL'!I135&lt;&gt;"",OR(LEN('OFF_CONVAL'!I135)&gt;3,COUNTIF(CL_MONEDAISO,'OFF_CONVAL'!I135)=0)),1,0)</f>
        <v/>
      </c>
      <c r="J135">
        <f>IF(AND('OFF_CONVAL'!J135&lt;&gt;"",IF(ISNUMBER('OFF_CONVAL'!J135),OR('OFF_CONVAL'!J135&lt;&gt;INT('OFF_CONVAL'!J135),LEN(TEXT(ABS('OFF_CONVAL'!J135),"0"))&gt;15),TRUE)),1,0)</f>
        <v/>
      </c>
      <c r="K135">
        <f>IF(AND('OFF_CONVAL'!K135&lt;&gt;"",OR(LEN('OFF_CONVAL'!K135)&gt;3,COUNTIF(CL_MONEDAISO,'OFF_CONVAL'!K135)=0)),1,0)</f>
        <v/>
      </c>
      <c r="L135">
        <f>IF(AND('OFF_CONVAL'!L135&lt;&gt;"",IF(ISNUMBER('OFF_CONVAL'!L135),OR('OFF_CONVAL'!L135&lt;&gt;INT('OFF_CONVAL'!L135),LEN(TEXT(ABS('OFF_CONVAL'!L135),"0"))&gt;5),TRUE)),1,0)</f>
        <v/>
      </c>
      <c r="M135">
        <f>IF(AND('OFF_CONVAL'!M135&lt;&gt;"",IF(ISNUMBER('OFF_CONVAL'!M135),OR('OFF_CONVAL'!M135&lt;&gt;INT('OFF_CONVAL'!M135),LEN(TEXT(ABS('OFF_CONVAL'!M135),"0"))&gt;5),TRUE)),1,0)</f>
        <v/>
      </c>
      <c r="N135">
        <f>IF(AND('OFF_CONVAL'!N135&lt;&gt;"",LEN('OFF_CONVAL'!N135)&gt;20),1,0)</f>
        <v/>
      </c>
      <c r="O135">
        <f>IF(AND('OFF_CONVAL'!O135&lt;&gt;"",IF(ISNUMBER('OFF_CONVAL'!O135),OR('OFF_CONVAL'!O135&lt;&gt;INT('OFF_CONVAL'!O135),LEN(TEXT(ABS('OFF_CONVAL'!O135),"0"))&gt;15),TRUE)),1,0)</f>
        <v/>
      </c>
      <c r="P135">
        <f>IF(AND('OFF_CONVAL'!P135&lt;&gt;"",OR(LEN('OFF_CONVAL'!P135)&gt;3,COUNTIF(CL_MONEDAISO,'OFF_CONVAL'!P135)=0)),1,0)</f>
        <v/>
      </c>
      <c r="Q135">
        <f>IF(AND('OFF_CONVAL'!Q135&lt;&gt;"",NOT(ISNUMBER('OFF_CONVAL'!Q135))),1,0)</f>
        <v/>
      </c>
    </row>
    <row r="136">
      <c r="A136">
        <f>IF(AND('OFF_CONVAL'!A136&lt;&gt;"",NOT(ISNUMBER('OFF_CONVAL'!A136))),1,0)</f>
        <v/>
      </c>
      <c r="B136">
        <f>IF(AND('OFF_CONVAL'!B136&lt;&gt;"",LEN('OFF_CONVAL'!B136)&gt;20),1,0)</f>
        <v/>
      </c>
      <c r="C136">
        <f>IF(AND('OFF_CONVAL'!C136&lt;&gt;"",OR(LEN('OFF_CONVAL'!C136)&gt;1,COUNTIF(CL_POSICIONOPERACION_V4,'OFF_CONVAL'!C136)=0)),1,0)</f>
        <v/>
      </c>
      <c r="D136">
        <f>IF(AND('OFF_CONVAL'!D136&lt;&gt;"",OR(LEN('OFF_CONVAL'!D136)&gt;2,COUNTIF(CL_OBJ_OPE_V1,'OFF_CONVAL'!D136)=0)),1,0)</f>
        <v/>
      </c>
      <c r="E136">
        <f>IF(AND('OFF_CONVAL'!E136&lt;&gt;"",COUNTIF(CL_PAQ_EST_DER_V1,'OFF_CONVAL'!E136)=0),1,0)</f>
        <v/>
      </c>
      <c r="F136">
        <f>IF(AND('OFF_CONVAL'!F136&lt;&gt;"",LEN('OFF_CONVAL'!F136)&gt;20),1,0)</f>
        <v/>
      </c>
      <c r="G136">
        <f>IF(AND('OFF_CONVAL'!G136&lt;&gt;"",IF(ISNUMBER('OFF_CONVAL'!G136),OR('OFF_CONVAL'!G136&lt;&gt;INT('OFF_CONVAL'!G136),LEN(TEXT(ABS('OFF_CONVAL'!G136),"0"))&gt;3),TRUE)),1,0)</f>
        <v/>
      </c>
      <c r="H136">
        <f>IF(AND('OFF_CONVAL'!H136&lt;&gt;"",IF(ISNUMBER('OFF_CONVAL'!H136),OR('OFF_CONVAL'!H136&lt;&gt;INT('OFF_CONVAL'!H136),LEN(TEXT(ABS('OFF_CONVAL'!H136),"0"))&gt;15),TRUE)),1,0)</f>
        <v/>
      </c>
      <c r="I136">
        <f>IF(AND('OFF_CONVAL'!I136&lt;&gt;"",OR(LEN('OFF_CONVAL'!I136)&gt;3,COUNTIF(CL_MONEDAISO,'OFF_CONVAL'!I136)=0)),1,0)</f>
        <v/>
      </c>
      <c r="J136">
        <f>IF(AND('OFF_CONVAL'!J136&lt;&gt;"",IF(ISNUMBER('OFF_CONVAL'!J136),OR('OFF_CONVAL'!J136&lt;&gt;INT('OFF_CONVAL'!J136),LEN(TEXT(ABS('OFF_CONVAL'!J136),"0"))&gt;15),TRUE)),1,0)</f>
        <v/>
      </c>
      <c r="K136">
        <f>IF(AND('OFF_CONVAL'!K136&lt;&gt;"",OR(LEN('OFF_CONVAL'!K136)&gt;3,COUNTIF(CL_MONEDAISO,'OFF_CONVAL'!K136)=0)),1,0)</f>
        <v/>
      </c>
      <c r="L136">
        <f>IF(AND('OFF_CONVAL'!L136&lt;&gt;"",IF(ISNUMBER('OFF_CONVAL'!L136),OR('OFF_CONVAL'!L136&lt;&gt;INT('OFF_CONVAL'!L136),LEN(TEXT(ABS('OFF_CONVAL'!L136),"0"))&gt;5),TRUE)),1,0)</f>
        <v/>
      </c>
      <c r="M136">
        <f>IF(AND('OFF_CONVAL'!M136&lt;&gt;"",IF(ISNUMBER('OFF_CONVAL'!M136),OR('OFF_CONVAL'!M136&lt;&gt;INT('OFF_CONVAL'!M136),LEN(TEXT(ABS('OFF_CONVAL'!M136),"0"))&gt;5),TRUE)),1,0)</f>
        <v/>
      </c>
      <c r="N136">
        <f>IF(AND('OFF_CONVAL'!N136&lt;&gt;"",LEN('OFF_CONVAL'!N136)&gt;20),1,0)</f>
        <v/>
      </c>
      <c r="O136">
        <f>IF(AND('OFF_CONVAL'!O136&lt;&gt;"",IF(ISNUMBER('OFF_CONVAL'!O136),OR('OFF_CONVAL'!O136&lt;&gt;INT('OFF_CONVAL'!O136),LEN(TEXT(ABS('OFF_CONVAL'!O136),"0"))&gt;15),TRUE)),1,0)</f>
        <v/>
      </c>
      <c r="P136">
        <f>IF(AND('OFF_CONVAL'!P136&lt;&gt;"",OR(LEN('OFF_CONVAL'!P136)&gt;3,COUNTIF(CL_MONEDAISO,'OFF_CONVAL'!P136)=0)),1,0)</f>
        <v/>
      </c>
      <c r="Q136">
        <f>IF(AND('OFF_CONVAL'!Q136&lt;&gt;"",NOT(ISNUMBER('OFF_CONVAL'!Q136))),1,0)</f>
        <v/>
      </c>
    </row>
    <row r="137">
      <c r="A137">
        <f>IF(AND('OFF_CONVAL'!A137&lt;&gt;"",NOT(ISNUMBER('OFF_CONVAL'!A137))),1,0)</f>
        <v/>
      </c>
      <c r="B137">
        <f>IF(AND('OFF_CONVAL'!B137&lt;&gt;"",LEN('OFF_CONVAL'!B137)&gt;20),1,0)</f>
        <v/>
      </c>
      <c r="C137">
        <f>IF(AND('OFF_CONVAL'!C137&lt;&gt;"",OR(LEN('OFF_CONVAL'!C137)&gt;1,COUNTIF(CL_POSICIONOPERACION_V4,'OFF_CONVAL'!C137)=0)),1,0)</f>
        <v/>
      </c>
      <c r="D137">
        <f>IF(AND('OFF_CONVAL'!D137&lt;&gt;"",OR(LEN('OFF_CONVAL'!D137)&gt;2,COUNTIF(CL_OBJ_OPE_V1,'OFF_CONVAL'!D137)=0)),1,0)</f>
        <v/>
      </c>
      <c r="E137">
        <f>IF(AND('OFF_CONVAL'!E137&lt;&gt;"",COUNTIF(CL_PAQ_EST_DER_V1,'OFF_CONVAL'!E137)=0),1,0)</f>
        <v/>
      </c>
      <c r="F137">
        <f>IF(AND('OFF_CONVAL'!F137&lt;&gt;"",LEN('OFF_CONVAL'!F137)&gt;20),1,0)</f>
        <v/>
      </c>
      <c r="G137">
        <f>IF(AND('OFF_CONVAL'!G137&lt;&gt;"",IF(ISNUMBER('OFF_CONVAL'!G137),OR('OFF_CONVAL'!G137&lt;&gt;INT('OFF_CONVAL'!G137),LEN(TEXT(ABS('OFF_CONVAL'!G137),"0"))&gt;3),TRUE)),1,0)</f>
        <v/>
      </c>
      <c r="H137">
        <f>IF(AND('OFF_CONVAL'!H137&lt;&gt;"",IF(ISNUMBER('OFF_CONVAL'!H137),OR('OFF_CONVAL'!H137&lt;&gt;INT('OFF_CONVAL'!H137),LEN(TEXT(ABS('OFF_CONVAL'!H137),"0"))&gt;15),TRUE)),1,0)</f>
        <v/>
      </c>
      <c r="I137">
        <f>IF(AND('OFF_CONVAL'!I137&lt;&gt;"",OR(LEN('OFF_CONVAL'!I137)&gt;3,COUNTIF(CL_MONEDAISO,'OFF_CONVAL'!I137)=0)),1,0)</f>
        <v/>
      </c>
      <c r="J137">
        <f>IF(AND('OFF_CONVAL'!J137&lt;&gt;"",IF(ISNUMBER('OFF_CONVAL'!J137),OR('OFF_CONVAL'!J137&lt;&gt;INT('OFF_CONVAL'!J137),LEN(TEXT(ABS('OFF_CONVAL'!J137),"0"))&gt;15),TRUE)),1,0)</f>
        <v/>
      </c>
      <c r="K137">
        <f>IF(AND('OFF_CONVAL'!K137&lt;&gt;"",OR(LEN('OFF_CONVAL'!K137)&gt;3,COUNTIF(CL_MONEDAISO,'OFF_CONVAL'!K137)=0)),1,0)</f>
        <v/>
      </c>
      <c r="L137">
        <f>IF(AND('OFF_CONVAL'!L137&lt;&gt;"",IF(ISNUMBER('OFF_CONVAL'!L137),OR('OFF_CONVAL'!L137&lt;&gt;INT('OFF_CONVAL'!L137),LEN(TEXT(ABS('OFF_CONVAL'!L137),"0"))&gt;5),TRUE)),1,0)</f>
        <v/>
      </c>
      <c r="M137">
        <f>IF(AND('OFF_CONVAL'!M137&lt;&gt;"",IF(ISNUMBER('OFF_CONVAL'!M137),OR('OFF_CONVAL'!M137&lt;&gt;INT('OFF_CONVAL'!M137),LEN(TEXT(ABS('OFF_CONVAL'!M137),"0"))&gt;5),TRUE)),1,0)</f>
        <v/>
      </c>
      <c r="N137">
        <f>IF(AND('OFF_CONVAL'!N137&lt;&gt;"",LEN('OFF_CONVAL'!N137)&gt;20),1,0)</f>
        <v/>
      </c>
      <c r="O137">
        <f>IF(AND('OFF_CONVAL'!O137&lt;&gt;"",IF(ISNUMBER('OFF_CONVAL'!O137),OR('OFF_CONVAL'!O137&lt;&gt;INT('OFF_CONVAL'!O137),LEN(TEXT(ABS('OFF_CONVAL'!O137),"0"))&gt;15),TRUE)),1,0)</f>
        <v/>
      </c>
      <c r="P137">
        <f>IF(AND('OFF_CONVAL'!P137&lt;&gt;"",OR(LEN('OFF_CONVAL'!P137)&gt;3,COUNTIF(CL_MONEDAISO,'OFF_CONVAL'!P137)=0)),1,0)</f>
        <v/>
      </c>
      <c r="Q137">
        <f>IF(AND('OFF_CONVAL'!Q137&lt;&gt;"",NOT(ISNUMBER('OFF_CONVAL'!Q137))),1,0)</f>
        <v/>
      </c>
    </row>
    <row r="138">
      <c r="A138">
        <f>IF(AND('OFF_CONVAL'!A138&lt;&gt;"",NOT(ISNUMBER('OFF_CONVAL'!A138))),1,0)</f>
        <v/>
      </c>
      <c r="B138">
        <f>IF(AND('OFF_CONVAL'!B138&lt;&gt;"",LEN('OFF_CONVAL'!B138)&gt;20),1,0)</f>
        <v/>
      </c>
      <c r="C138">
        <f>IF(AND('OFF_CONVAL'!C138&lt;&gt;"",OR(LEN('OFF_CONVAL'!C138)&gt;1,COUNTIF(CL_POSICIONOPERACION_V4,'OFF_CONVAL'!C138)=0)),1,0)</f>
        <v/>
      </c>
      <c r="D138">
        <f>IF(AND('OFF_CONVAL'!D138&lt;&gt;"",OR(LEN('OFF_CONVAL'!D138)&gt;2,COUNTIF(CL_OBJ_OPE_V1,'OFF_CONVAL'!D138)=0)),1,0)</f>
        <v/>
      </c>
      <c r="E138">
        <f>IF(AND('OFF_CONVAL'!E138&lt;&gt;"",COUNTIF(CL_PAQ_EST_DER_V1,'OFF_CONVAL'!E138)=0),1,0)</f>
        <v/>
      </c>
      <c r="F138">
        <f>IF(AND('OFF_CONVAL'!F138&lt;&gt;"",LEN('OFF_CONVAL'!F138)&gt;20),1,0)</f>
        <v/>
      </c>
      <c r="G138">
        <f>IF(AND('OFF_CONVAL'!G138&lt;&gt;"",IF(ISNUMBER('OFF_CONVAL'!G138),OR('OFF_CONVAL'!G138&lt;&gt;INT('OFF_CONVAL'!G138),LEN(TEXT(ABS('OFF_CONVAL'!G138),"0"))&gt;3),TRUE)),1,0)</f>
        <v/>
      </c>
      <c r="H138">
        <f>IF(AND('OFF_CONVAL'!H138&lt;&gt;"",IF(ISNUMBER('OFF_CONVAL'!H138),OR('OFF_CONVAL'!H138&lt;&gt;INT('OFF_CONVAL'!H138),LEN(TEXT(ABS('OFF_CONVAL'!H138),"0"))&gt;15),TRUE)),1,0)</f>
        <v/>
      </c>
      <c r="I138">
        <f>IF(AND('OFF_CONVAL'!I138&lt;&gt;"",OR(LEN('OFF_CONVAL'!I138)&gt;3,COUNTIF(CL_MONEDAISO,'OFF_CONVAL'!I138)=0)),1,0)</f>
        <v/>
      </c>
      <c r="J138">
        <f>IF(AND('OFF_CONVAL'!J138&lt;&gt;"",IF(ISNUMBER('OFF_CONVAL'!J138),OR('OFF_CONVAL'!J138&lt;&gt;INT('OFF_CONVAL'!J138),LEN(TEXT(ABS('OFF_CONVAL'!J138),"0"))&gt;15),TRUE)),1,0)</f>
        <v/>
      </c>
      <c r="K138">
        <f>IF(AND('OFF_CONVAL'!K138&lt;&gt;"",OR(LEN('OFF_CONVAL'!K138)&gt;3,COUNTIF(CL_MONEDAISO,'OFF_CONVAL'!K138)=0)),1,0)</f>
        <v/>
      </c>
      <c r="L138">
        <f>IF(AND('OFF_CONVAL'!L138&lt;&gt;"",IF(ISNUMBER('OFF_CONVAL'!L138),OR('OFF_CONVAL'!L138&lt;&gt;INT('OFF_CONVAL'!L138),LEN(TEXT(ABS('OFF_CONVAL'!L138),"0"))&gt;5),TRUE)),1,0)</f>
        <v/>
      </c>
      <c r="M138">
        <f>IF(AND('OFF_CONVAL'!M138&lt;&gt;"",IF(ISNUMBER('OFF_CONVAL'!M138),OR('OFF_CONVAL'!M138&lt;&gt;INT('OFF_CONVAL'!M138),LEN(TEXT(ABS('OFF_CONVAL'!M138),"0"))&gt;5),TRUE)),1,0)</f>
        <v/>
      </c>
      <c r="N138">
        <f>IF(AND('OFF_CONVAL'!N138&lt;&gt;"",LEN('OFF_CONVAL'!N138)&gt;20),1,0)</f>
        <v/>
      </c>
      <c r="O138">
        <f>IF(AND('OFF_CONVAL'!O138&lt;&gt;"",IF(ISNUMBER('OFF_CONVAL'!O138),OR('OFF_CONVAL'!O138&lt;&gt;INT('OFF_CONVAL'!O138),LEN(TEXT(ABS('OFF_CONVAL'!O138),"0"))&gt;15),TRUE)),1,0)</f>
        <v/>
      </c>
      <c r="P138">
        <f>IF(AND('OFF_CONVAL'!P138&lt;&gt;"",OR(LEN('OFF_CONVAL'!P138)&gt;3,COUNTIF(CL_MONEDAISO,'OFF_CONVAL'!P138)=0)),1,0)</f>
        <v/>
      </c>
      <c r="Q138">
        <f>IF(AND('OFF_CONVAL'!Q138&lt;&gt;"",NOT(ISNUMBER('OFF_CONVAL'!Q138))),1,0)</f>
        <v/>
      </c>
    </row>
    <row r="139">
      <c r="A139">
        <f>IF(AND('OFF_CONVAL'!A139&lt;&gt;"",NOT(ISNUMBER('OFF_CONVAL'!A139))),1,0)</f>
        <v/>
      </c>
      <c r="B139">
        <f>IF(AND('OFF_CONVAL'!B139&lt;&gt;"",LEN('OFF_CONVAL'!B139)&gt;20),1,0)</f>
        <v/>
      </c>
      <c r="C139">
        <f>IF(AND('OFF_CONVAL'!C139&lt;&gt;"",OR(LEN('OFF_CONVAL'!C139)&gt;1,COUNTIF(CL_POSICIONOPERACION_V4,'OFF_CONVAL'!C139)=0)),1,0)</f>
        <v/>
      </c>
      <c r="D139">
        <f>IF(AND('OFF_CONVAL'!D139&lt;&gt;"",OR(LEN('OFF_CONVAL'!D139)&gt;2,COUNTIF(CL_OBJ_OPE_V1,'OFF_CONVAL'!D139)=0)),1,0)</f>
        <v/>
      </c>
      <c r="E139">
        <f>IF(AND('OFF_CONVAL'!E139&lt;&gt;"",COUNTIF(CL_PAQ_EST_DER_V1,'OFF_CONVAL'!E139)=0),1,0)</f>
        <v/>
      </c>
      <c r="F139">
        <f>IF(AND('OFF_CONVAL'!F139&lt;&gt;"",LEN('OFF_CONVAL'!F139)&gt;20),1,0)</f>
        <v/>
      </c>
      <c r="G139">
        <f>IF(AND('OFF_CONVAL'!G139&lt;&gt;"",IF(ISNUMBER('OFF_CONVAL'!G139),OR('OFF_CONVAL'!G139&lt;&gt;INT('OFF_CONVAL'!G139),LEN(TEXT(ABS('OFF_CONVAL'!G139),"0"))&gt;3),TRUE)),1,0)</f>
        <v/>
      </c>
      <c r="H139">
        <f>IF(AND('OFF_CONVAL'!H139&lt;&gt;"",IF(ISNUMBER('OFF_CONVAL'!H139),OR('OFF_CONVAL'!H139&lt;&gt;INT('OFF_CONVAL'!H139),LEN(TEXT(ABS('OFF_CONVAL'!H139),"0"))&gt;15),TRUE)),1,0)</f>
        <v/>
      </c>
      <c r="I139">
        <f>IF(AND('OFF_CONVAL'!I139&lt;&gt;"",OR(LEN('OFF_CONVAL'!I139)&gt;3,COUNTIF(CL_MONEDAISO,'OFF_CONVAL'!I139)=0)),1,0)</f>
        <v/>
      </c>
      <c r="J139">
        <f>IF(AND('OFF_CONVAL'!J139&lt;&gt;"",IF(ISNUMBER('OFF_CONVAL'!J139),OR('OFF_CONVAL'!J139&lt;&gt;INT('OFF_CONVAL'!J139),LEN(TEXT(ABS('OFF_CONVAL'!J139),"0"))&gt;15),TRUE)),1,0)</f>
        <v/>
      </c>
      <c r="K139">
        <f>IF(AND('OFF_CONVAL'!K139&lt;&gt;"",OR(LEN('OFF_CONVAL'!K139)&gt;3,COUNTIF(CL_MONEDAISO,'OFF_CONVAL'!K139)=0)),1,0)</f>
        <v/>
      </c>
      <c r="L139">
        <f>IF(AND('OFF_CONVAL'!L139&lt;&gt;"",IF(ISNUMBER('OFF_CONVAL'!L139),OR('OFF_CONVAL'!L139&lt;&gt;INT('OFF_CONVAL'!L139),LEN(TEXT(ABS('OFF_CONVAL'!L139),"0"))&gt;5),TRUE)),1,0)</f>
        <v/>
      </c>
      <c r="M139">
        <f>IF(AND('OFF_CONVAL'!M139&lt;&gt;"",IF(ISNUMBER('OFF_CONVAL'!M139),OR('OFF_CONVAL'!M139&lt;&gt;INT('OFF_CONVAL'!M139),LEN(TEXT(ABS('OFF_CONVAL'!M139),"0"))&gt;5),TRUE)),1,0)</f>
        <v/>
      </c>
      <c r="N139">
        <f>IF(AND('OFF_CONVAL'!N139&lt;&gt;"",LEN('OFF_CONVAL'!N139)&gt;20),1,0)</f>
        <v/>
      </c>
      <c r="O139">
        <f>IF(AND('OFF_CONVAL'!O139&lt;&gt;"",IF(ISNUMBER('OFF_CONVAL'!O139),OR('OFF_CONVAL'!O139&lt;&gt;INT('OFF_CONVAL'!O139),LEN(TEXT(ABS('OFF_CONVAL'!O139),"0"))&gt;15),TRUE)),1,0)</f>
        <v/>
      </c>
      <c r="P139">
        <f>IF(AND('OFF_CONVAL'!P139&lt;&gt;"",OR(LEN('OFF_CONVAL'!P139)&gt;3,COUNTIF(CL_MONEDAISO,'OFF_CONVAL'!P139)=0)),1,0)</f>
        <v/>
      </c>
      <c r="Q139">
        <f>IF(AND('OFF_CONVAL'!Q139&lt;&gt;"",NOT(ISNUMBER('OFF_CONVAL'!Q139))),1,0)</f>
        <v/>
      </c>
    </row>
    <row r="140">
      <c r="A140">
        <f>IF(AND('OFF_CONVAL'!A140&lt;&gt;"",NOT(ISNUMBER('OFF_CONVAL'!A140))),1,0)</f>
        <v/>
      </c>
      <c r="B140">
        <f>IF(AND('OFF_CONVAL'!B140&lt;&gt;"",LEN('OFF_CONVAL'!B140)&gt;20),1,0)</f>
        <v/>
      </c>
      <c r="C140">
        <f>IF(AND('OFF_CONVAL'!C140&lt;&gt;"",OR(LEN('OFF_CONVAL'!C140)&gt;1,COUNTIF(CL_POSICIONOPERACION_V4,'OFF_CONVAL'!C140)=0)),1,0)</f>
        <v/>
      </c>
      <c r="D140">
        <f>IF(AND('OFF_CONVAL'!D140&lt;&gt;"",OR(LEN('OFF_CONVAL'!D140)&gt;2,COUNTIF(CL_OBJ_OPE_V1,'OFF_CONVAL'!D140)=0)),1,0)</f>
        <v/>
      </c>
      <c r="E140">
        <f>IF(AND('OFF_CONVAL'!E140&lt;&gt;"",COUNTIF(CL_PAQ_EST_DER_V1,'OFF_CONVAL'!E140)=0),1,0)</f>
        <v/>
      </c>
      <c r="F140">
        <f>IF(AND('OFF_CONVAL'!F140&lt;&gt;"",LEN('OFF_CONVAL'!F140)&gt;20),1,0)</f>
        <v/>
      </c>
      <c r="G140">
        <f>IF(AND('OFF_CONVAL'!G140&lt;&gt;"",IF(ISNUMBER('OFF_CONVAL'!G140),OR('OFF_CONVAL'!G140&lt;&gt;INT('OFF_CONVAL'!G140),LEN(TEXT(ABS('OFF_CONVAL'!G140),"0"))&gt;3),TRUE)),1,0)</f>
        <v/>
      </c>
      <c r="H140">
        <f>IF(AND('OFF_CONVAL'!H140&lt;&gt;"",IF(ISNUMBER('OFF_CONVAL'!H140),OR('OFF_CONVAL'!H140&lt;&gt;INT('OFF_CONVAL'!H140),LEN(TEXT(ABS('OFF_CONVAL'!H140),"0"))&gt;15),TRUE)),1,0)</f>
        <v/>
      </c>
      <c r="I140">
        <f>IF(AND('OFF_CONVAL'!I140&lt;&gt;"",OR(LEN('OFF_CONVAL'!I140)&gt;3,COUNTIF(CL_MONEDAISO,'OFF_CONVAL'!I140)=0)),1,0)</f>
        <v/>
      </c>
      <c r="J140">
        <f>IF(AND('OFF_CONVAL'!J140&lt;&gt;"",IF(ISNUMBER('OFF_CONVAL'!J140),OR('OFF_CONVAL'!J140&lt;&gt;INT('OFF_CONVAL'!J140),LEN(TEXT(ABS('OFF_CONVAL'!J140),"0"))&gt;15),TRUE)),1,0)</f>
        <v/>
      </c>
      <c r="K140">
        <f>IF(AND('OFF_CONVAL'!K140&lt;&gt;"",OR(LEN('OFF_CONVAL'!K140)&gt;3,COUNTIF(CL_MONEDAISO,'OFF_CONVAL'!K140)=0)),1,0)</f>
        <v/>
      </c>
      <c r="L140">
        <f>IF(AND('OFF_CONVAL'!L140&lt;&gt;"",IF(ISNUMBER('OFF_CONVAL'!L140),OR('OFF_CONVAL'!L140&lt;&gt;INT('OFF_CONVAL'!L140),LEN(TEXT(ABS('OFF_CONVAL'!L140),"0"))&gt;5),TRUE)),1,0)</f>
        <v/>
      </c>
      <c r="M140">
        <f>IF(AND('OFF_CONVAL'!M140&lt;&gt;"",IF(ISNUMBER('OFF_CONVAL'!M140),OR('OFF_CONVAL'!M140&lt;&gt;INT('OFF_CONVAL'!M140),LEN(TEXT(ABS('OFF_CONVAL'!M140),"0"))&gt;5),TRUE)),1,0)</f>
        <v/>
      </c>
      <c r="N140">
        <f>IF(AND('OFF_CONVAL'!N140&lt;&gt;"",LEN('OFF_CONVAL'!N140)&gt;20),1,0)</f>
        <v/>
      </c>
      <c r="O140">
        <f>IF(AND('OFF_CONVAL'!O140&lt;&gt;"",IF(ISNUMBER('OFF_CONVAL'!O140),OR('OFF_CONVAL'!O140&lt;&gt;INT('OFF_CONVAL'!O140),LEN(TEXT(ABS('OFF_CONVAL'!O140),"0"))&gt;15),TRUE)),1,0)</f>
        <v/>
      </c>
      <c r="P140">
        <f>IF(AND('OFF_CONVAL'!P140&lt;&gt;"",OR(LEN('OFF_CONVAL'!P140)&gt;3,COUNTIF(CL_MONEDAISO,'OFF_CONVAL'!P140)=0)),1,0)</f>
        <v/>
      </c>
      <c r="Q140">
        <f>IF(AND('OFF_CONVAL'!Q140&lt;&gt;"",NOT(ISNUMBER('OFF_CONVAL'!Q140))),1,0)</f>
        <v/>
      </c>
    </row>
    <row r="141">
      <c r="A141">
        <f>IF(AND('OFF_CONVAL'!A141&lt;&gt;"",NOT(ISNUMBER('OFF_CONVAL'!A141))),1,0)</f>
        <v/>
      </c>
      <c r="B141">
        <f>IF(AND('OFF_CONVAL'!B141&lt;&gt;"",LEN('OFF_CONVAL'!B141)&gt;20),1,0)</f>
        <v/>
      </c>
      <c r="C141">
        <f>IF(AND('OFF_CONVAL'!C141&lt;&gt;"",OR(LEN('OFF_CONVAL'!C141)&gt;1,COUNTIF(CL_POSICIONOPERACION_V4,'OFF_CONVAL'!C141)=0)),1,0)</f>
        <v/>
      </c>
      <c r="D141">
        <f>IF(AND('OFF_CONVAL'!D141&lt;&gt;"",OR(LEN('OFF_CONVAL'!D141)&gt;2,COUNTIF(CL_OBJ_OPE_V1,'OFF_CONVAL'!D141)=0)),1,0)</f>
        <v/>
      </c>
      <c r="E141">
        <f>IF(AND('OFF_CONVAL'!E141&lt;&gt;"",COUNTIF(CL_PAQ_EST_DER_V1,'OFF_CONVAL'!E141)=0),1,0)</f>
        <v/>
      </c>
      <c r="F141">
        <f>IF(AND('OFF_CONVAL'!F141&lt;&gt;"",LEN('OFF_CONVAL'!F141)&gt;20),1,0)</f>
        <v/>
      </c>
      <c r="G141">
        <f>IF(AND('OFF_CONVAL'!G141&lt;&gt;"",IF(ISNUMBER('OFF_CONVAL'!G141),OR('OFF_CONVAL'!G141&lt;&gt;INT('OFF_CONVAL'!G141),LEN(TEXT(ABS('OFF_CONVAL'!G141),"0"))&gt;3),TRUE)),1,0)</f>
        <v/>
      </c>
      <c r="H141">
        <f>IF(AND('OFF_CONVAL'!H141&lt;&gt;"",IF(ISNUMBER('OFF_CONVAL'!H141),OR('OFF_CONVAL'!H141&lt;&gt;INT('OFF_CONVAL'!H141),LEN(TEXT(ABS('OFF_CONVAL'!H141),"0"))&gt;15),TRUE)),1,0)</f>
        <v/>
      </c>
      <c r="I141">
        <f>IF(AND('OFF_CONVAL'!I141&lt;&gt;"",OR(LEN('OFF_CONVAL'!I141)&gt;3,COUNTIF(CL_MONEDAISO,'OFF_CONVAL'!I141)=0)),1,0)</f>
        <v/>
      </c>
      <c r="J141">
        <f>IF(AND('OFF_CONVAL'!J141&lt;&gt;"",IF(ISNUMBER('OFF_CONVAL'!J141),OR('OFF_CONVAL'!J141&lt;&gt;INT('OFF_CONVAL'!J141),LEN(TEXT(ABS('OFF_CONVAL'!J141),"0"))&gt;15),TRUE)),1,0)</f>
        <v/>
      </c>
      <c r="K141">
        <f>IF(AND('OFF_CONVAL'!K141&lt;&gt;"",OR(LEN('OFF_CONVAL'!K141)&gt;3,COUNTIF(CL_MONEDAISO,'OFF_CONVAL'!K141)=0)),1,0)</f>
        <v/>
      </c>
      <c r="L141">
        <f>IF(AND('OFF_CONVAL'!L141&lt;&gt;"",IF(ISNUMBER('OFF_CONVAL'!L141),OR('OFF_CONVAL'!L141&lt;&gt;INT('OFF_CONVAL'!L141),LEN(TEXT(ABS('OFF_CONVAL'!L141),"0"))&gt;5),TRUE)),1,0)</f>
        <v/>
      </c>
      <c r="M141">
        <f>IF(AND('OFF_CONVAL'!M141&lt;&gt;"",IF(ISNUMBER('OFF_CONVAL'!M141),OR('OFF_CONVAL'!M141&lt;&gt;INT('OFF_CONVAL'!M141),LEN(TEXT(ABS('OFF_CONVAL'!M141),"0"))&gt;5),TRUE)),1,0)</f>
        <v/>
      </c>
      <c r="N141">
        <f>IF(AND('OFF_CONVAL'!N141&lt;&gt;"",LEN('OFF_CONVAL'!N141)&gt;20),1,0)</f>
        <v/>
      </c>
      <c r="O141">
        <f>IF(AND('OFF_CONVAL'!O141&lt;&gt;"",IF(ISNUMBER('OFF_CONVAL'!O141),OR('OFF_CONVAL'!O141&lt;&gt;INT('OFF_CONVAL'!O141),LEN(TEXT(ABS('OFF_CONVAL'!O141),"0"))&gt;15),TRUE)),1,0)</f>
        <v/>
      </c>
      <c r="P141">
        <f>IF(AND('OFF_CONVAL'!P141&lt;&gt;"",OR(LEN('OFF_CONVAL'!P141)&gt;3,COUNTIF(CL_MONEDAISO,'OFF_CONVAL'!P141)=0)),1,0)</f>
        <v/>
      </c>
      <c r="Q141">
        <f>IF(AND('OFF_CONVAL'!Q141&lt;&gt;"",NOT(ISNUMBER('OFF_CONVAL'!Q141))),1,0)</f>
        <v/>
      </c>
    </row>
    <row r="142">
      <c r="A142">
        <f>IF(AND('OFF_CONVAL'!A142&lt;&gt;"",NOT(ISNUMBER('OFF_CONVAL'!A142))),1,0)</f>
        <v/>
      </c>
      <c r="B142">
        <f>IF(AND('OFF_CONVAL'!B142&lt;&gt;"",LEN('OFF_CONVAL'!B142)&gt;20),1,0)</f>
        <v/>
      </c>
      <c r="C142">
        <f>IF(AND('OFF_CONVAL'!C142&lt;&gt;"",OR(LEN('OFF_CONVAL'!C142)&gt;1,COUNTIF(CL_POSICIONOPERACION_V4,'OFF_CONVAL'!C142)=0)),1,0)</f>
        <v/>
      </c>
      <c r="D142">
        <f>IF(AND('OFF_CONVAL'!D142&lt;&gt;"",OR(LEN('OFF_CONVAL'!D142)&gt;2,COUNTIF(CL_OBJ_OPE_V1,'OFF_CONVAL'!D142)=0)),1,0)</f>
        <v/>
      </c>
      <c r="E142">
        <f>IF(AND('OFF_CONVAL'!E142&lt;&gt;"",COUNTIF(CL_PAQ_EST_DER_V1,'OFF_CONVAL'!E142)=0),1,0)</f>
        <v/>
      </c>
      <c r="F142">
        <f>IF(AND('OFF_CONVAL'!F142&lt;&gt;"",LEN('OFF_CONVAL'!F142)&gt;20),1,0)</f>
        <v/>
      </c>
      <c r="G142">
        <f>IF(AND('OFF_CONVAL'!G142&lt;&gt;"",IF(ISNUMBER('OFF_CONVAL'!G142),OR('OFF_CONVAL'!G142&lt;&gt;INT('OFF_CONVAL'!G142),LEN(TEXT(ABS('OFF_CONVAL'!G142),"0"))&gt;3),TRUE)),1,0)</f>
        <v/>
      </c>
      <c r="H142">
        <f>IF(AND('OFF_CONVAL'!H142&lt;&gt;"",IF(ISNUMBER('OFF_CONVAL'!H142),OR('OFF_CONVAL'!H142&lt;&gt;INT('OFF_CONVAL'!H142),LEN(TEXT(ABS('OFF_CONVAL'!H142),"0"))&gt;15),TRUE)),1,0)</f>
        <v/>
      </c>
      <c r="I142">
        <f>IF(AND('OFF_CONVAL'!I142&lt;&gt;"",OR(LEN('OFF_CONVAL'!I142)&gt;3,COUNTIF(CL_MONEDAISO,'OFF_CONVAL'!I142)=0)),1,0)</f>
        <v/>
      </c>
      <c r="J142">
        <f>IF(AND('OFF_CONVAL'!J142&lt;&gt;"",IF(ISNUMBER('OFF_CONVAL'!J142),OR('OFF_CONVAL'!J142&lt;&gt;INT('OFF_CONVAL'!J142),LEN(TEXT(ABS('OFF_CONVAL'!J142),"0"))&gt;15),TRUE)),1,0)</f>
        <v/>
      </c>
      <c r="K142">
        <f>IF(AND('OFF_CONVAL'!K142&lt;&gt;"",OR(LEN('OFF_CONVAL'!K142)&gt;3,COUNTIF(CL_MONEDAISO,'OFF_CONVAL'!K142)=0)),1,0)</f>
        <v/>
      </c>
      <c r="L142">
        <f>IF(AND('OFF_CONVAL'!L142&lt;&gt;"",IF(ISNUMBER('OFF_CONVAL'!L142),OR('OFF_CONVAL'!L142&lt;&gt;INT('OFF_CONVAL'!L142),LEN(TEXT(ABS('OFF_CONVAL'!L142),"0"))&gt;5),TRUE)),1,0)</f>
        <v/>
      </c>
      <c r="M142">
        <f>IF(AND('OFF_CONVAL'!M142&lt;&gt;"",IF(ISNUMBER('OFF_CONVAL'!M142),OR('OFF_CONVAL'!M142&lt;&gt;INT('OFF_CONVAL'!M142),LEN(TEXT(ABS('OFF_CONVAL'!M142),"0"))&gt;5),TRUE)),1,0)</f>
        <v/>
      </c>
      <c r="N142">
        <f>IF(AND('OFF_CONVAL'!N142&lt;&gt;"",LEN('OFF_CONVAL'!N142)&gt;20),1,0)</f>
        <v/>
      </c>
      <c r="O142">
        <f>IF(AND('OFF_CONVAL'!O142&lt;&gt;"",IF(ISNUMBER('OFF_CONVAL'!O142),OR('OFF_CONVAL'!O142&lt;&gt;INT('OFF_CONVAL'!O142),LEN(TEXT(ABS('OFF_CONVAL'!O142),"0"))&gt;15),TRUE)),1,0)</f>
        <v/>
      </c>
      <c r="P142">
        <f>IF(AND('OFF_CONVAL'!P142&lt;&gt;"",OR(LEN('OFF_CONVAL'!P142)&gt;3,COUNTIF(CL_MONEDAISO,'OFF_CONVAL'!P142)=0)),1,0)</f>
        <v/>
      </c>
      <c r="Q142">
        <f>IF(AND('OFF_CONVAL'!Q142&lt;&gt;"",NOT(ISNUMBER('OFF_CONVAL'!Q142))),1,0)</f>
        <v/>
      </c>
    </row>
    <row r="143">
      <c r="A143">
        <f>IF(AND('OFF_CONVAL'!A143&lt;&gt;"",NOT(ISNUMBER('OFF_CONVAL'!A143))),1,0)</f>
        <v/>
      </c>
      <c r="B143">
        <f>IF(AND('OFF_CONVAL'!B143&lt;&gt;"",LEN('OFF_CONVAL'!B143)&gt;20),1,0)</f>
        <v/>
      </c>
      <c r="C143">
        <f>IF(AND('OFF_CONVAL'!C143&lt;&gt;"",OR(LEN('OFF_CONVAL'!C143)&gt;1,COUNTIF(CL_POSICIONOPERACION_V4,'OFF_CONVAL'!C143)=0)),1,0)</f>
        <v/>
      </c>
      <c r="D143">
        <f>IF(AND('OFF_CONVAL'!D143&lt;&gt;"",OR(LEN('OFF_CONVAL'!D143)&gt;2,COUNTIF(CL_OBJ_OPE_V1,'OFF_CONVAL'!D143)=0)),1,0)</f>
        <v/>
      </c>
      <c r="E143">
        <f>IF(AND('OFF_CONVAL'!E143&lt;&gt;"",COUNTIF(CL_PAQ_EST_DER_V1,'OFF_CONVAL'!E143)=0),1,0)</f>
        <v/>
      </c>
      <c r="F143">
        <f>IF(AND('OFF_CONVAL'!F143&lt;&gt;"",LEN('OFF_CONVAL'!F143)&gt;20),1,0)</f>
        <v/>
      </c>
      <c r="G143">
        <f>IF(AND('OFF_CONVAL'!G143&lt;&gt;"",IF(ISNUMBER('OFF_CONVAL'!G143),OR('OFF_CONVAL'!G143&lt;&gt;INT('OFF_CONVAL'!G143),LEN(TEXT(ABS('OFF_CONVAL'!G143),"0"))&gt;3),TRUE)),1,0)</f>
        <v/>
      </c>
      <c r="H143">
        <f>IF(AND('OFF_CONVAL'!H143&lt;&gt;"",IF(ISNUMBER('OFF_CONVAL'!H143),OR('OFF_CONVAL'!H143&lt;&gt;INT('OFF_CONVAL'!H143),LEN(TEXT(ABS('OFF_CONVAL'!H143),"0"))&gt;15),TRUE)),1,0)</f>
        <v/>
      </c>
      <c r="I143">
        <f>IF(AND('OFF_CONVAL'!I143&lt;&gt;"",OR(LEN('OFF_CONVAL'!I143)&gt;3,COUNTIF(CL_MONEDAISO,'OFF_CONVAL'!I143)=0)),1,0)</f>
        <v/>
      </c>
      <c r="J143">
        <f>IF(AND('OFF_CONVAL'!J143&lt;&gt;"",IF(ISNUMBER('OFF_CONVAL'!J143),OR('OFF_CONVAL'!J143&lt;&gt;INT('OFF_CONVAL'!J143),LEN(TEXT(ABS('OFF_CONVAL'!J143),"0"))&gt;15),TRUE)),1,0)</f>
        <v/>
      </c>
      <c r="K143">
        <f>IF(AND('OFF_CONVAL'!K143&lt;&gt;"",OR(LEN('OFF_CONVAL'!K143)&gt;3,COUNTIF(CL_MONEDAISO,'OFF_CONVAL'!K143)=0)),1,0)</f>
        <v/>
      </c>
      <c r="L143">
        <f>IF(AND('OFF_CONVAL'!L143&lt;&gt;"",IF(ISNUMBER('OFF_CONVAL'!L143),OR('OFF_CONVAL'!L143&lt;&gt;INT('OFF_CONVAL'!L143),LEN(TEXT(ABS('OFF_CONVAL'!L143),"0"))&gt;5),TRUE)),1,0)</f>
        <v/>
      </c>
      <c r="M143">
        <f>IF(AND('OFF_CONVAL'!M143&lt;&gt;"",IF(ISNUMBER('OFF_CONVAL'!M143),OR('OFF_CONVAL'!M143&lt;&gt;INT('OFF_CONVAL'!M143),LEN(TEXT(ABS('OFF_CONVAL'!M143),"0"))&gt;5),TRUE)),1,0)</f>
        <v/>
      </c>
      <c r="N143">
        <f>IF(AND('OFF_CONVAL'!N143&lt;&gt;"",LEN('OFF_CONVAL'!N143)&gt;20),1,0)</f>
        <v/>
      </c>
      <c r="O143">
        <f>IF(AND('OFF_CONVAL'!O143&lt;&gt;"",IF(ISNUMBER('OFF_CONVAL'!O143),OR('OFF_CONVAL'!O143&lt;&gt;INT('OFF_CONVAL'!O143),LEN(TEXT(ABS('OFF_CONVAL'!O143),"0"))&gt;15),TRUE)),1,0)</f>
        <v/>
      </c>
      <c r="P143">
        <f>IF(AND('OFF_CONVAL'!P143&lt;&gt;"",OR(LEN('OFF_CONVAL'!P143)&gt;3,COUNTIF(CL_MONEDAISO,'OFF_CONVAL'!P143)=0)),1,0)</f>
        <v/>
      </c>
      <c r="Q143">
        <f>IF(AND('OFF_CONVAL'!Q143&lt;&gt;"",NOT(ISNUMBER('OFF_CONVAL'!Q143))),1,0)</f>
        <v/>
      </c>
    </row>
    <row r="144">
      <c r="A144">
        <f>IF(AND('OFF_CONVAL'!A144&lt;&gt;"",NOT(ISNUMBER('OFF_CONVAL'!A144))),1,0)</f>
        <v/>
      </c>
      <c r="B144">
        <f>IF(AND('OFF_CONVAL'!B144&lt;&gt;"",LEN('OFF_CONVAL'!B144)&gt;20),1,0)</f>
        <v/>
      </c>
      <c r="C144">
        <f>IF(AND('OFF_CONVAL'!C144&lt;&gt;"",OR(LEN('OFF_CONVAL'!C144)&gt;1,COUNTIF(CL_POSICIONOPERACION_V4,'OFF_CONVAL'!C144)=0)),1,0)</f>
        <v/>
      </c>
      <c r="D144">
        <f>IF(AND('OFF_CONVAL'!D144&lt;&gt;"",OR(LEN('OFF_CONVAL'!D144)&gt;2,COUNTIF(CL_OBJ_OPE_V1,'OFF_CONVAL'!D144)=0)),1,0)</f>
        <v/>
      </c>
      <c r="E144">
        <f>IF(AND('OFF_CONVAL'!E144&lt;&gt;"",COUNTIF(CL_PAQ_EST_DER_V1,'OFF_CONVAL'!E144)=0),1,0)</f>
        <v/>
      </c>
      <c r="F144">
        <f>IF(AND('OFF_CONVAL'!F144&lt;&gt;"",LEN('OFF_CONVAL'!F144)&gt;20),1,0)</f>
        <v/>
      </c>
      <c r="G144">
        <f>IF(AND('OFF_CONVAL'!G144&lt;&gt;"",IF(ISNUMBER('OFF_CONVAL'!G144),OR('OFF_CONVAL'!G144&lt;&gt;INT('OFF_CONVAL'!G144),LEN(TEXT(ABS('OFF_CONVAL'!G144),"0"))&gt;3),TRUE)),1,0)</f>
        <v/>
      </c>
      <c r="H144">
        <f>IF(AND('OFF_CONVAL'!H144&lt;&gt;"",IF(ISNUMBER('OFF_CONVAL'!H144),OR('OFF_CONVAL'!H144&lt;&gt;INT('OFF_CONVAL'!H144),LEN(TEXT(ABS('OFF_CONVAL'!H144),"0"))&gt;15),TRUE)),1,0)</f>
        <v/>
      </c>
      <c r="I144">
        <f>IF(AND('OFF_CONVAL'!I144&lt;&gt;"",OR(LEN('OFF_CONVAL'!I144)&gt;3,COUNTIF(CL_MONEDAISO,'OFF_CONVAL'!I144)=0)),1,0)</f>
        <v/>
      </c>
      <c r="J144">
        <f>IF(AND('OFF_CONVAL'!J144&lt;&gt;"",IF(ISNUMBER('OFF_CONVAL'!J144),OR('OFF_CONVAL'!J144&lt;&gt;INT('OFF_CONVAL'!J144),LEN(TEXT(ABS('OFF_CONVAL'!J144),"0"))&gt;15),TRUE)),1,0)</f>
        <v/>
      </c>
      <c r="K144">
        <f>IF(AND('OFF_CONVAL'!K144&lt;&gt;"",OR(LEN('OFF_CONVAL'!K144)&gt;3,COUNTIF(CL_MONEDAISO,'OFF_CONVAL'!K144)=0)),1,0)</f>
        <v/>
      </c>
      <c r="L144">
        <f>IF(AND('OFF_CONVAL'!L144&lt;&gt;"",IF(ISNUMBER('OFF_CONVAL'!L144),OR('OFF_CONVAL'!L144&lt;&gt;INT('OFF_CONVAL'!L144),LEN(TEXT(ABS('OFF_CONVAL'!L144),"0"))&gt;5),TRUE)),1,0)</f>
        <v/>
      </c>
      <c r="M144">
        <f>IF(AND('OFF_CONVAL'!M144&lt;&gt;"",IF(ISNUMBER('OFF_CONVAL'!M144),OR('OFF_CONVAL'!M144&lt;&gt;INT('OFF_CONVAL'!M144),LEN(TEXT(ABS('OFF_CONVAL'!M144),"0"))&gt;5),TRUE)),1,0)</f>
        <v/>
      </c>
      <c r="N144">
        <f>IF(AND('OFF_CONVAL'!N144&lt;&gt;"",LEN('OFF_CONVAL'!N144)&gt;20),1,0)</f>
        <v/>
      </c>
      <c r="O144">
        <f>IF(AND('OFF_CONVAL'!O144&lt;&gt;"",IF(ISNUMBER('OFF_CONVAL'!O144),OR('OFF_CONVAL'!O144&lt;&gt;INT('OFF_CONVAL'!O144),LEN(TEXT(ABS('OFF_CONVAL'!O144),"0"))&gt;15),TRUE)),1,0)</f>
        <v/>
      </c>
      <c r="P144">
        <f>IF(AND('OFF_CONVAL'!P144&lt;&gt;"",OR(LEN('OFF_CONVAL'!P144)&gt;3,COUNTIF(CL_MONEDAISO,'OFF_CONVAL'!P144)=0)),1,0)</f>
        <v/>
      </c>
      <c r="Q144">
        <f>IF(AND('OFF_CONVAL'!Q144&lt;&gt;"",NOT(ISNUMBER('OFF_CONVAL'!Q144))),1,0)</f>
        <v/>
      </c>
    </row>
    <row r="145">
      <c r="A145">
        <f>IF(AND('OFF_CONVAL'!A145&lt;&gt;"",NOT(ISNUMBER('OFF_CONVAL'!A145))),1,0)</f>
        <v/>
      </c>
      <c r="B145">
        <f>IF(AND('OFF_CONVAL'!B145&lt;&gt;"",LEN('OFF_CONVAL'!B145)&gt;20),1,0)</f>
        <v/>
      </c>
      <c r="C145">
        <f>IF(AND('OFF_CONVAL'!C145&lt;&gt;"",OR(LEN('OFF_CONVAL'!C145)&gt;1,COUNTIF(CL_POSICIONOPERACION_V4,'OFF_CONVAL'!C145)=0)),1,0)</f>
        <v/>
      </c>
      <c r="D145">
        <f>IF(AND('OFF_CONVAL'!D145&lt;&gt;"",OR(LEN('OFF_CONVAL'!D145)&gt;2,COUNTIF(CL_OBJ_OPE_V1,'OFF_CONVAL'!D145)=0)),1,0)</f>
        <v/>
      </c>
      <c r="E145">
        <f>IF(AND('OFF_CONVAL'!E145&lt;&gt;"",COUNTIF(CL_PAQ_EST_DER_V1,'OFF_CONVAL'!E145)=0),1,0)</f>
        <v/>
      </c>
      <c r="F145">
        <f>IF(AND('OFF_CONVAL'!F145&lt;&gt;"",LEN('OFF_CONVAL'!F145)&gt;20),1,0)</f>
        <v/>
      </c>
      <c r="G145">
        <f>IF(AND('OFF_CONVAL'!G145&lt;&gt;"",IF(ISNUMBER('OFF_CONVAL'!G145),OR('OFF_CONVAL'!G145&lt;&gt;INT('OFF_CONVAL'!G145),LEN(TEXT(ABS('OFF_CONVAL'!G145),"0"))&gt;3),TRUE)),1,0)</f>
        <v/>
      </c>
      <c r="H145">
        <f>IF(AND('OFF_CONVAL'!H145&lt;&gt;"",IF(ISNUMBER('OFF_CONVAL'!H145),OR('OFF_CONVAL'!H145&lt;&gt;INT('OFF_CONVAL'!H145),LEN(TEXT(ABS('OFF_CONVAL'!H145),"0"))&gt;15),TRUE)),1,0)</f>
        <v/>
      </c>
      <c r="I145">
        <f>IF(AND('OFF_CONVAL'!I145&lt;&gt;"",OR(LEN('OFF_CONVAL'!I145)&gt;3,COUNTIF(CL_MONEDAISO,'OFF_CONVAL'!I145)=0)),1,0)</f>
        <v/>
      </c>
      <c r="J145">
        <f>IF(AND('OFF_CONVAL'!J145&lt;&gt;"",IF(ISNUMBER('OFF_CONVAL'!J145),OR('OFF_CONVAL'!J145&lt;&gt;INT('OFF_CONVAL'!J145),LEN(TEXT(ABS('OFF_CONVAL'!J145),"0"))&gt;15),TRUE)),1,0)</f>
        <v/>
      </c>
      <c r="K145">
        <f>IF(AND('OFF_CONVAL'!K145&lt;&gt;"",OR(LEN('OFF_CONVAL'!K145)&gt;3,COUNTIF(CL_MONEDAISO,'OFF_CONVAL'!K145)=0)),1,0)</f>
        <v/>
      </c>
      <c r="L145">
        <f>IF(AND('OFF_CONVAL'!L145&lt;&gt;"",IF(ISNUMBER('OFF_CONVAL'!L145),OR('OFF_CONVAL'!L145&lt;&gt;INT('OFF_CONVAL'!L145),LEN(TEXT(ABS('OFF_CONVAL'!L145),"0"))&gt;5),TRUE)),1,0)</f>
        <v/>
      </c>
      <c r="M145">
        <f>IF(AND('OFF_CONVAL'!M145&lt;&gt;"",IF(ISNUMBER('OFF_CONVAL'!M145),OR('OFF_CONVAL'!M145&lt;&gt;INT('OFF_CONVAL'!M145),LEN(TEXT(ABS('OFF_CONVAL'!M145),"0"))&gt;5),TRUE)),1,0)</f>
        <v/>
      </c>
      <c r="N145">
        <f>IF(AND('OFF_CONVAL'!N145&lt;&gt;"",LEN('OFF_CONVAL'!N145)&gt;20),1,0)</f>
        <v/>
      </c>
      <c r="O145">
        <f>IF(AND('OFF_CONVAL'!O145&lt;&gt;"",IF(ISNUMBER('OFF_CONVAL'!O145),OR('OFF_CONVAL'!O145&lt;&gt;INT('OFF_CONVAL'!O145),LEN(TEXT(ABS('OFF_CONVAL'!O145),"0"))&gt;15),TRUE)),1,0)</f>
        <v/>
      </c>
      <c r="P145">
        <f>IF(AND('OFF_CONVAL'!P145&lt;&gt;"",OR(LEN('OFF_CONVAL'!P145)&gt;3,COUNTIF(CL_MONEDAISO,'OFF_CONVAL'!P145)=0)),1,0)</f>
        <v/>
      </c>
      <c r="Q145">
        <f>IF(AND('OFF_CONVAL'!Q145&lt;&gt;"",NOT(ISNUMBER('OFF_CONVAL'!Q145))),1,0)</f>
        <v/>
      </c>
    </row>
    <row r="146">
      <c r="A146">
        <f>IF(AND('OFF_CONVAL'!A146&lt;&gt;"",NOT(ISNUMBER('OFF_CONVAL'!A146))),1,0)</f>
        <v/>
      </c>
      <c r="B146">
        <f>IF(AND('OFF_CONVAL'!B146&lt;&gt;"",LEN('OFF_CONVAL'!B146)&gt;20),1,0)</f>
        <v/>
      </c>
      <c r="C146">
        <f>IF(AND('OFF_CONVAL'!C146&lt;&gt;"",OR(LEN('OFF_CONVAL'!C146)&gt;1,COUNTIF(CL_POSICIONOPERACION_V4,'OFF_CONVAL'!C146)=0)),1,0)</f>
        <v/>
      </c>
      <c r="D146">
        <f>IF(AND('OFF_CONVAL'!D146&lt;&gt;"",OR(LEN('OFF_CONVAL'!D146)&gt;2,COUNTIF(CL_OBJ_OPE_V1,'OFF_CONVAL'!D146)=0)),1,0)</f>
        <v/>
      </c>
      <c r="E146">
        <f>IF(AND('OFF_CONVAL'!E146&lt;&gt;"",COUNTIF(CL_PAQ_EST_DER_V1,'OFF_CONVAL'!E146)=0),1,0)</f>
        <v/>
      </c>
      <c r="F146">
        <f>IF(AND('OFF_CONVAL'!F146&lt;&gt;"",LEN('OFF_CONVAL'!F146)&gt;20),1,0)</f>
        <v/>
      </c>
      <c r="G146">
        <f>IF(AND('OFF_CONVAL'!G146&lt;&gt;"",IF(ISNUMBER('OFF_CONVAL'!G146),OR('OFF_CONVAL'!G146&lt;&gt;INT('OFF_CONVAL'!G146),LEN(TEXT(ABS('OFF_CONVAL'!G146),"0"))&gt;3),TRUE)),1,0)</f>
        <v/>
      </c>
      <c r="H146">
        <f>IF(AND('OFF_CONVAL'!H146&lt;&gt;"",IF(ISNUMBER('OFF_CONVAL'!H146),OR('OFF_CONVAL'!H146&lt;&gt;INT('OFF_CONVAL'!H146),LEN(TEXT(ABS('OFF_CONVAL'!H146),"0"))&gt;15),TRUE)),1,0)</f>
        <v/>
      </c>
      <c r="I146">
        <f>IF(AND('OFF_CONVAL'!I146&lt;&gt;"",OR(LEN('OFF_CONVAL'!I146)&gt;3,COUNTIF(CL_MONEDAISO,'OFF_CONVAL'!I146)=0)),1,0)</f>
        <v/>
      </c>
      <c r="J146">
        <f>IF(AND('OFF_CONVAL'!J146&lt;&gt;"",IF(ISNUMBER('OFF_CONVAL'!J146),OR('OFF_CONVAL'!J146&lt;&gt;INT('OFF_CONVAL'!J146),LEN(TEXT(ABS('OFF_CONVAL'!J146),"0"))&gt;15),TRUE)),1,0)</f>
        <v/>
      </c>
      <c r="K146">
        <f>IF(AND('OFF_CONVAL'!K146&lt;&gt;"",OR(LEN('OFF_CONVAL'!K146)&gt;3,COUNTIF(CL_MONEDAISO,'OFF_CONVAL'!K146)=0)),1,0)</f>
        <v/>
      </c>
      <c r="L146">
        <f>IF(AND('OFF_CONVAL'!L146&lt;&gt;"",IF(ISNUMBER('OFF_CONVAL'!L146),OR('OFF_CONVAL'!L146&lt;&gt;INT('OFF_CONVAL'!L146),LEN(TEXT(ABS('OFF_CONVAL'!L146),"0"))&gt;5),TRUE)),1,0)</f>
        <v/>
      </c>
      <c r="M146">
        <f>IF(AND('OFF_CONVAL'!M146&lt;&gt;"",IF(ISNUMBER('OFF_CONVAL'!M146),OR('OFF_CONVAL'!M146&lt;&gt;INT('OFF_CONVAL'!M146),LEN(TEXT(ABS('OFF_CONVAL'!M146),"0"))&gt;5),TRUE)),1,0)</f>
        <v/>
      </c>
      <c r="N146">
        <f>IF(AND('OFF_CONVAL'!N146&lt;&gt;"",LEN('OFF_CONVAL'!N146)&gt;20),1,0)</f>
        <v/>
      </c>
      <c r="O146">
        <f>IF(AND('OFF_CONVAL'!O146&lt;&gt;"",IF(ISNUMBER('OFF_CONVAL'!O146),OR('OFF_CONVAL'!O146&lt;&gt;INT('OFF_CONVAL'!O146),LEN(TEXT(ABS('OFF_CONVAL'!O146),"0"))&gt;15),TRUE)),1,0)</f>
        <v/>
      </c>
      <c r="P146">
        <f>IF(AND('OFF_CONVAL'!P146&lt;&gt;"",OR(LEN('OFF_CONVAL'!P146)&gt;3,COUNTIF(CL_MONEDAISO,'OFF_CONVAL'!P146)=0)),1,0)</f>
        <v/>
      </c>
      <c r="Q146">
        <f>IF(AND('OFF_CONVAL'!Q146&lt;&gt;"",NOT(ISNUMBER('OFF_CONVAL'!Q146))),1,0)</f>
        <v/>
      </c>
    </row>
    <row r="147">
      <c r="A147">
        <f>IF(AND('OFF_CONVAL'!A147&lt;&gt;"",NOT(ISNUMBER('OFF_CONVAL'!A147))),1,0)</f>
        <v/>
      </c>
      <c r="B147">
        <f>IF(AND('OFF_CONVAL'!B147&lt;&gt;"",LEN('OFF_CONVAL'!B147)&gt;20),1,0)</f>
        <v/>
      </c>
      <c r="C147">
        <f>IF(AND('OFF_CONVAL'!C147&lt;&gt;"",OR(LEN('OFF_CONVAL'!C147)&gt;1,COUNTIF(CL_POSICIONOPERACION_V4,'OFF_CONVAL'!C147)=0)),1,0)</f>
        <v/>
      </c>
      <c r="D147">
        <f>IF(AND('OFF_CONVAL'!D147&lt;&gt;"",OR(LEN('OFF_CONVAL'!D147)&gt;2,COUNTIF(CL_OBJ_OPE_V1,'OFF_CONVAL'!D147)=0)),1,0)</f>
        <v/>
      </c>
      <c r="E147">
        <f>IF(AND('OFF_CONVAL'!E147&lt;&gt;"",COUNTIF(CL_PAQ_EST_DER_V1,'OFF_CONVAL'!E147)=0),1,0)</f>
        <v/>
      </c>
      <c r="F147">
        <f>IF(AND('OFF_CONVAL'!F147&lt;&gt;"",LEN('OFF_CONVAL'!F147)&gt;20),1,0)</f>
        <v/>
      </c>
      <c r="G147">
        <f>IF(AND('OFF_CONVAL'!G147&lt;&gt;"",IF(ISNUMBER('OFF_CONVAL'!G147),OR('OFF_CONVAL'!G147&lt;&gt;INT('OFF_CONVAL'!G147),LEN(TEXT(ABS('OFF_CONVAL'!G147),"0"))&gt;3),TRUE)),1,0)</f>
        <v/>
      </c>
      <c r="H147">
        <f>IF(AND('OFF_CONVAL'!H147&lt;&gt;"",IF(ISNUMBER('OFF_CONVAL'!H147),OR('OFF_CONVAL'!H147&lt;&gt;INT('OFF_CONVAL'!H147),LEN(TEXT(ABS('OFF_CONVAL'!H147),"0"))&gt;15),TRUE)),1,0)</f>
        <v/>
      </c>
      <c r="I147">
        <f>IF(AND('OFF_CONVAL'!I147&lt;&gt;"",OR(LEN('OFF_CONVAL'!I147)&gt;3,COUNTIF(CL_MONEDAISO,'OFF_CONVAL'!I147)=0)),1,0)</f>
        <v/>
      </c>
      <c r="J147">
        <f>IF(AND('OFF_CONVAL'!J147&lt;&gt;"",IF(ISNUMBER('OFF_CONVAL'!J147),OR('OFF_CONVAL'!J147&lt;&gt;INT('OFF_CONVAL'!J147),LEN(TEXT(ABS('OFF_CONVAL'!J147),"0"))&gt;15),TRUE)),1,0)</f>
        <v/>
      </c>
      <c r="K147">
        <f>IF(AND('OFF_CONVAL'!K147&lt;&gt;"",OR(LEN('OFF_CONVAL'!K147)&gt;3,COUNTIF(CL_MONEDAISO,'OFF_CONVAL'!K147)=0)),1,0)</f>
        <v/>
      </c>
      <c r="L147">
        <f>IF(AND('OFF_CONVAL'!L147&lt;&gt;"",IF(ISNUMBER('OFF_CONVAL'!L147),OR('OFF_CONVAL'!L147&lt;&gt;INT('OFF_CONVAL'!L147),LEN(TEXT(ABS('OFF_CONVAL'!L147),"0"))&gt;5),TRUE)),1,0)</f>
        <v/>
      </c>
      <c r="M147">
        <f>IF(AND('OFF_CONVAL'!M147&lt;&gt;"",IF(ISNUMBER('OFF_CONVAL'!M147),OR('OFF_CONVAL'!M147&lt;&gt;INT('OFF_CONVAL'!M147),LEN(TEXT(ABS('OFF_CONVAL'!M147),"0"))&gt;5),TRUE)),1,0)</f>
        <v/>
      </c>
      <c r="N147">
        <f>IF(AND('OFF_CONVAL'!N147&lt;&gt;"",LEN('OFF_CONVAL'!N147)&gt;20),1,0)</f>
        <v/>
      </c>
      <c r="O147">
        <f>IF(AND('OFF_CONVAL'!O147&lt;&gt;"",IF(ISNUMBER('OFF_CONVAL'!O147),OR('OFF_CONVAL'!O147&lt;&gt;INT('OFF_CONVAL'!O147),LEN(TEXT(ABS('OFF_CONVAL'!O147),"0"))&gt;15),TRUE)),1,0)</f>
        <v/>
      </c>
      <c r="P147">
        <f>IF(AND('OFF_CONVAL'!P147&lt;&gt;"",OR(LEN('OFF_CONVAL'!P147)&gt;3,COUNTIF(CL_MONEDAISO,'OFF_CONVAL'!P147)=0)),1,0)</f>
        <v/>
      </c>
      <c r="Q147">
        <f>IF(AND('OFF_CONVAL'!Q147&lt;&gt;"",NOT(ISNUMBER('OFF_CONVAL'!Q147))),1,0)</f>
        <v/>
      </c>
    </row>
    <row r="148">
      <c r="A148">
        <f>IF(AND('OFF_CONVAL'!A148&lt;&gt;"",NOT(ISNUMBER('OFF_CONVAL'!A148))),1,0)</f>
        <v/>
      </c>
      <c r="B148">
        <f>IF(AND('OFF_CONVAL'!B148&lt;&gt;"",LEN('OFF_CONVAL'!B148)&gt;20),1,0)</f>
        <v/>
      </c>
      <c r="C148">
        <f>IF(AND('OFF_CONVAL'!C148&lt;&gt;"",OR(LEN('OFF_CONVAL'!C148)&gt;1,COUNTIF(CL_POSICIONOPERACION_V4,'OFF_CONVAL'!C148)=0)),1,0)</f>
        <v/>
      </c>
      <c r="D148">
        <f>IF(AND('OFF_CONVAL'!D148&lt;&gt;"",OR(LEN('OFF_CONVAL'!D148)&gt;2,COUNTIF(CL_OBJ_OPE_V1,'OFF_CONVAL'!D148)=0)),1,0)</f>
        <v/>
      </c>
      <c r="E148">
        <f>IF(AND('OFF_CONVAL'!E148&lt;&gt;"",COUNTIF(CL_PAQ_EST_DER_V1,'OFF_CONVAL'!E148)=0),1,0)</f>
        <v/>
      </c>
      <c r="F148">
        <f>IF(AND('OFF_CONVAL'!F148&lt;&gt;"",LEN('OFF_CONVAL'!F148)&gt;20),1,0)</f>
        <v/>
      </c>
      <c r="G148">
        <f>IF(AND('OFF_CONVAL'!G148&lt;&gt;"",IF(ISNUMBER('OFF_CONVAL'!G148),OR('OFF_CONVAL'!G148&lt;&gt;INT('OFF_CONVAL'!G148),LEN(TEXT(ABS('OFF_CONVAL'!G148),"0"))&gt;3),TRUE)),1,0)</f>
        <v/>
      </c>
      <c r="H148">
        <f>IF(AND('OFF_CONVAL'!H148&lt;&gt;"",IF(ISNUMBER('OFF_CONVAL'!H148),OR('OFF_CONVAL'!H148&lt;&gt;INT('OFF_CONVAL'!H148),LEN(TEXT(ABS('OFF_CONVAL'!H148),"0"))&gt;15),TRUE)),1,0)</f>
        <v/>
      </c>
      <c r="I148">
        <f>IF(AND('OFF_CONVAL'!I148&lt;&gt;"",OR(LEN('OFF_CONVAL'!I148)&gt;3,COUNTIF(CL_MONEDAISO,'OFF_CONVAL'!I148)=0)),1,0)</f>
        <v/>
      </c>
      <c r="J148">
        <f>IF(AND('OFF_CONVAL'!J148&lt;&gt;"",IF(ISNUMBER('OFF_CONVAL'!J148),OR('OFF_CONVAL'!J148&lt;&gt;INT('OFF_CONVAL'!J148),LEN(TEXT(ABS('OFF_CONVAL'!J148),"0"))&gt;15),TRUE)),1,0)</f>
        <v/>
      </c>
      <c r="K148">
        <f>IF(AND('OFF_CONVAL'!K148&lt;&gt;"",OR(LEN('OFF_CONVAL'!K148)&gt;3,COUNTIF(CL_MONEDAISO,'OFF_CONVAL'!K148)=0)),1,0)</f>
        <v/>
      </c>
      <c r="L148">
        <f>IF(AND('OFF_CONVAL'!L148&lt;&gt;"",IF(ISNUMBER('OFF_CONVAL'!L148),OR('OFF_CONVAL'!L148&lt;&gt;INT('OFF_CONVAL'!L148),LEN(TEXT(ABS('OFF_CONVAL'!L148),"0"))&gt;5),TRUE)),1,0)</f>
        <v/>
      </c>
      <c r="M148">
        <f>IF(AND('OFF_CONVAL'!M148&lt;&gt;"",IF(ISNUMBER('OFF_CONVAL'!M148),OR('OFF_CONVAL'!M148&lt;&gt;INT('OFF_CONVAL'!M148),LEN(TEXT(ABS('OFF_CONVAL'!M148),"0"))&gt;5),TRUE)),1,0)</f>
        <v/>
      </c>
      <c r="N148">
        <f>IF(AND('OFF_CONVAL'!N148&lt;&gt;"",LEN('OFF_CONVAL'!N148)&gt;20),1,0)</f>
        <v/>
      </c>
      <c r="O148">
        <f>IF(AND('OFF_CONVAL'!O148&lt;&gt;"",IF(ISNUMBER('OFF_CONVAL'!O148),OR('OFF_CONVAL'!O148&lt;&gt;INT('OFF_CONVAL'!O148),LEN(TEXT(ABS('OFF_CONVAL'!O148),"0"))&gt;15),TRUE)),1,0)</f>
        <v/>
      </c>
      <c r="P148">
        <f>IF(AND('OFF_CONVAL'!P148&lt;&gt;"",OR(LEN('OFF_CONVAL'!P148)&gt;3,COUNTIF(CL_MONEDAISO,'OFF_CONVAL'!P148)=0)),1,0)</f>
        <v/>
      </c>
      <c r="Q148">
        <f>IF(AND('OFF_CONVAL'!Q148&lt;&gt;"",NOT(ISNUMBER('OFF_CONVAL'!Q148))),1,0)</f>
        <v/>
      </c>
    </row>
    <row r="149">
      <c r="A149">
        <f>IF(AND('OFF_CONVAL'!A149&lt;&gt;"",NOT(ISNUMBER('OFF_CONVAL'!A149))),1,0)</f>
        <v/>
      </c>
      <c r="B149">
        <f>IF(AND('OFF_CONVAL'!B149&lt;&gt;"",LEN('OFF_CONVAL'!B149)&gt;20),1,0)</f>
        <v/>
      </c>
      <c r="C149">
        <f>IF(AND('OFF_CONVAL'!C149&lt;&gt;"",OR(LEN('OFF_CONVAL'!C149)&gt;1,COUNTIF(CL_POSICIONOPERACION_V4,'OFF_CONVAL'!C149)=0)),1,0)</f>
        <v/>
      </c>
      <c r="D149">
        <f>IF(AND('OFF_CONVAL'!D149&lt;&gt;"",OR(LEN('OFF_CONVAL'!D149)&gt;2,COUNTIF(CL_OBJ_OPE_V1,'OFF_CONVAL'!D149)=0)),1,0)</f>
        <v/>
      </c>
      <c r="E149">
        <f>IF(AND('OFF_CONVAL'!E149&lt;&gt;"",COUNTIF(CL_PAQ_EST_DER_V1,'OFF_CONVAL'!E149)=0),1,0)</f>
        <v/>
      </c>
      <c r="F149">
        <f>IF(AND('OFF_CONVAL'!F149&lt;&gt;"",LEN('OFF_CONVAL'!F149)&gt;20),1,0)</f>
        <v/>
      </c>
      <c r="G149">
        <f>IF(AND('OFF_CONVAL'!G149&lt;&gt;"",IF(ISNUMBER('OFF_CONVAL'!G149),OR('OFF_CONVAL'!G149&lt;&gt;INT('OFF_CONVAL'!G149),LEN(TEXT(ABS('OFF_CONVAL'!G149),"0"))&gt;3),TRUE)),1,0)</f>
        <v/>
      </c>
      <c r="H149">
        <f>IF(AND('OFF_CONVAL'!H149&lt;&gt;"",IF(ISNUMBER('OFF_CONVAL'!H149),OR('OFF_CONVAL'!H149&lt;&gt;INT('OFF_CONVAL'!H149),LEN(TEXT(ABS('OFF_CONVAL'!H149),"0"))&gt;15),TRUE)),1,0)</f>
        <v/>
      </c>
      <c r="I149">
        <f>IF(AND('OFF_CONVAL'!I149&lt;&gt;"",OR(LEN('OFF_CONVAL'!I149)&gt;3,COUNTIF(CL_MONEDAISO,'OFF_CONVAL'!I149)=0)),1,0)</f>
        <v/>
      </c>
      <c r="J149">
        <f>IF(AND('OFF_CONVAL'!J149&lt;&gt;"",IF(ISNUMBER('OFF_CONVAL'!J149),OR('OFF_CONVAL'!J149&lt;&gt;INT('OFF_CONVAL'!J149),LEN(TEXT(ABS('OFF_CONVAL'!J149),"0"))&gt;15),TRUE)),1,0)</f>
        <v/>
      </c>
      <c r="K149">
        <f>IF(AND('OFF_CONVAL'!K149&lt;&gt;"",OR(LEN('OFF_CONVAL'!K149)&gt;3,COUNTIF(CL_MONEDAISO,'OFF_CONVAL'!K149)=0)),1,0)</f>
        <v/>
      </c>
      <c r="L149">
        <f>IF(AND('OFF_CONVAL'!L149&lt;&gt;"",IF(ISNUMBER('OFF_CONVAL'!L149),OR('OFF_CONVAL'!L149&lt;&gt;INT('OFF_CONVAL'!L149),LEN(TEXT(ABS('OFF_CONVAL'!L149),"0"))&gt;5),TRUE)),1,0)</f>
        <v/>
      </c>
      <c r="M149">
        <f>IF(AND('OFF_CONVAL'!M149&lt;&gt;"",IF(ISNUMBER('OFF_CONVAL'!M149),OR('OFF_CONVAL'!M149&lt;&gt;INT('OFF_CONVAL'!M149),LEN(TEXT(ABS('OFF_CONVAL'!M149),"0"))&gt;5),TRUE)),1,0)</f>
        <v/>
      </c>
      <c r="N149">
        <f>IF(AND('OFF_CONVAL'!N149&lt;&gt;"",LEN('OFF_CONVAL'!N149)&gt;20),1,0)</f>
        <v/>
      </c>
      <c r="O149">
        <f>IF(AND('OFF_CONVAL'!O149&lt;&gt;"",IF(ISNUMBER('OFF_CONVAL'!O149),OR('OFF_CONVAL'!O149&lt;&gt;INT('OFF_CONVAL'!O149),LEN(TEXT(ABS('OFF_CONVAL'!O149),"0"))&gt;15),TRUE)),1,0)</f>
        <v/>
      </c>
      <c r="P149">
        <f>IF(AND('OFF_CONVAL'!P149&lt;&gt;"",OR(LEN('OFF_CONVAL'!P149)&gt;3,COUNTIF(CL_MONEDAISO,'OFF_CONVAL'!P149)=0)),1,0)</f>
        <v/>
      </c>
      <c r="Q149">
        <f>IF(AND('OFF_CONVAL'!Q149&lt;&gt;"",NOT(ISNUMBER('OFF_CONVAL'!Q149))),1,0)</f>
        <v/>
      </c>
    </row>
    <row r="150">
      <c r="A150">
        <f>IF(AND('OFF_CONVAL'!A150&lt;&gt;"",NOT(ISNUMBER('OFF_CONVAL'!A150))),1,0)</f>
        <v/>
      </c>
      <c r="B150">
        <f>IF(AND('OFF_CONVAL'!B150&lt;&gt;"",LEN('OFF_CONVAL'!B150)&gt;20),1,0)</f>
        <v/>
      </c>
      <c r="C150">
        <f>IF(AND('OFF_CONVAL'!C150&lt;&gt;"",OR(LEN('OFF_CONVAL'!C150)&gt;1,COUNTIF(CL_POSICIONOPERACION_V4,'OFF_CONVAL'!C150)=0)),1,0)</f>
        <v/>
      </c>
      <c r="D150">
        <f>IF(AND('OFF_CONVAL'!D150&lt;&gt;"",OR(LEN('OFF_CONVAL'!D150)&gt;2,COUNTIF(CL_OBJ_OPE_V1,'OFF_CONVAL'!D150)=0)),1,0)</f>
        <v/>
      </c>
      <c r="E150">
        <f>IF(AND('OFF_CONVAL'!E150&lt;&gt;"",COUNTIF(CL_PAQ_EST_DER_V1,'OFF_CONVAL'!E150)=0),1,0)</f>
        <v/>
      </c>
      <c r="F150">
        <f>IF(AND('OFF_CONVAL'!F150&lt;&gt;"",LEN('OFF_CONVAL'!F150)&gt;20),1,0)</f>
        <v/>
      </c>
      <c r="G150">
        <f>IF(AND('OFF_CONVAL'!G150&lt;&gt;"",IF(ISNUMBER('OFF_CONVAL'!G150),OR('OFF_CONVAL'!G150&lt;&gt;INT('OFF_CONVAL'!G150),LEN(TEXT(ABS('OFF_CONVAL'!G150),"0"))&gt;3),TRUE)),1,0)</f>
        <v/>
      </c>
      <c r="H150">
        <f>IF(AND('OFF_CONVAL'!H150&lt;&gt;"",IF(ISNUMBER('OFF_CONVAL'!H150),OR('OFF_CONVAL'!H150&lt;&gt;INT('OFF_CONVAL'!H150),LEN(TEXT(ABS('OFF_CONVAL'!H150),"0"))&gt;15),TRUE)),1,0)</f>
        <v/>
      </c>
      <c r="I150">
        <f>IF(AND('OFF_CONVAL'!I150&lt;&gt;"",OR(LEN('OFF_CONVAL'!I150)&gt;3,COUNTIF(CL_MONEDAISO,'OFF_CONVAL'!I150)=0)),1,0)</f>
        <v/>
      </c>
      <c r="J150">
        <f>IF(AND('OFF_CONVAL'!J150&lt;&gt;"",IF(ISNUMBER('OFF_CONVAL'!J150),OR('OFF_CONVAL'!J150&lt;&gt;INT('OFF_CONVAL'!J150),LEN(TEXT(ABS('OFF_CONVAL'!J150),"0"))&gt;15),TRUE)),1,0)</f>
        <v/>
      </c>
      <c r="K150">
        <f>IF(AND('OFF_CONVAL'!K150&lt;&gt;"",OR(LEN('OFF_CONVAL'!K150)&gt;3,COUNTIF(CL_MONEDAISO,'OFF_CONVAL'!K150)=0)),1,0)</f>
        <v/>
      </c>
      <c r="L150">
        <f>IF(AND('OFF_CONVAL'!L150&lt;&gt;"",IF(ISNUMBER('OFF_CONVAL'!L150),OR('OFF_CONVAL'!L150&lt;&gt;INT('OFF_CONVAL'!L150),LEN(TEXT(ABS('OFF_CONVAL'!L150),"0"))&gt;5),TRUE)),1,0)</f>
        <v/>
      </c>
      <c r="M150">
        <f>IF(AND('OFF_CONVAL'!M150&lt;&gt;"",IF(ISNUMBER('OFF_CONVAL'!M150),OR('OFF_CONVAL'!M150&lt;&gt;INT('OFF_CONVAL'!M150),LEN(TEXT(ABS('OFF_CONVAL'!M150),"0"))&gt;5),TRUE)),1,0)</f>
        <v/>
      </c>
      <c r="N150">
        <f>IF(AND('OFF_CONVAL'!N150&lt;&gt;"",LEN('OFF_CONVAL'!N150)&gt;20),1,0)</f>
        <v/>
      </c>
      <c r="O150">
        <f>IF(AND('OFF_CONVAL'!O150&lt;&gt;"",IF(ISNUMBER('OFF_CONVAL'!O150),OR('OFF_CONVAL'!O150&lt;&gt;INT('OFF_CONVAL'!O150),LEN(TEXT(ABS('OFF_CONVAL'!O150),"0"))&gt;15),TRUE)),1,0)</f>
        <v/>
      </c>
      <c r="P150">
        <f>IF(AND('OFF_CONVAL'!P150&lt;&gt;"",OR(LEN('OFF_CONVAL'!P150)&gt;3,COUNTIF(CL_MONEDAISO,'OFF_CONVAL'!P150)=0)),1,0)</f>
        <v/>
      </c>
      <c r="Q150">
        <f>IF(AND('OFF_CONVAL'!Q150&lt;&gt;"",NOT(ISNUMBER('OFF_CONVAL'!Q150))),1,0)</f>
        <v/>
      </c>
    </row>
    <row r="151">
      <c r="A151">
        <f>IF(AND('OFF_CONVAL'!A151&lt;&gt;"",NOT(ISNUMBER('OFF_CONVAL'!A151))),1,0)</f>
        <v/>
      </c>
      <c r="B151">
        <f>IF(AND('OFF_CONVAL'!B151&lt;&gt;"",LEN('OFF_CONVAL'!B151)&gt;20),1,0)</f>
        <v/>
      </c>
      <c r="C151">
        <f>IF(AND('OFF_CONVAL'!C151&lt;&gt;"",OR(LEN('OFF_CONVAL'!C151)&gt;1,COUNTIF(CL_POSICIONOPERACION_V4,'OFF_CONVAL'!C151)=0)),1,0)</f>
        <v/>
      </c>
      <c r="D151">
        <f>IF(AND('OFF_CONVAL'!D151&lt;&gt;"",OR(LEN('OFF_CONVAL'!D151)&gt;2,COUNTIF(CL_OBJ_OPE_V1,'OFF_CONVAL'!D151)=0)),1,0)</f>
        <v/>
      </c>
      <c r="E151">
        <f>IF(AND('OFF_CONVAL'!E151&lt;&gt;"",COUNTIF(CL_PAQ_EST_DER_V1,'OFF_CONVAL'!E151)=0),1,0)</f>
        <v/>
      </c>
      <c r="F151">
        <f>IF(AND('OFF_CONVAL'!F151&lt;&gt;"",LEN('OFF_CONVAL'!F151)&gt;20),1,0)</f>
        <v/>
      </c>
      <c r="G151">
        <f>IF(AND('OFF_CONVAL'!G151&lt;&gt;"",IF(ISNUMBER('OFF_CONVAL'!G151),OR('OFF_CONVAL'!G151&lt;&gt;INT('OFF_CONVAL'!G151),LEN(TEXT(ABS('OFF_CONVAL'!G151),"0"))&gt;3),TRUE)),1,0)</f>
        <v/>
      </c>
      <c r="H151">
        <f>IF(AND('OFF_CONVAL'!H151&lt;&gt;"",IF(ISNUMBER('OFF_CONVAL'!H151),OR('OFF_CONVAL'!H151&lt;&gt;INT('OFF_CONVAL'!H151),LEN(TEXT(ABS('OFF_CONVAL'!H151),"0"))&gt;15),TRUE)),1,0)</f>
        <v/>
      </c>
      <c r="I151">
        <f>IF(AND('OFF_CONVAL'!I151&lt;&gt;"",OR(LEN('OFF_CONVAL'!I151)&gt;3,COUNTIF(CL_MONEDAISO,'OFF_CONVAL'!I151)=0)),1,0)</f>
        <v/>
      </c>
      <c r="J151">
        <f>IF(AND('OFF_CONVAL'!J151&lt;&gt;"",IF(ISNUMBER('OFF_CONVAL'!J151),OR('OFF_CONVAL'!J151&lt;&gt;INT('OFF_CONVAL'!J151),LEN(TEXT(ABS('OFF_CONVAL'!J151),"0"))&gt;15),TRUE)),1,0)</f>
        <v/>
      </c>
      <c r="K151">
        <f>IF(AND('OFF_CONVAL'!K151&lt;&gt;"",OR(LEN('OFF_CONVAL'!K151)&gt;3,COUNTIF(CL_MONEDAISO,'OFF_CONVAL'!K151)=0)),1,0)</f>
        <v/>
      </c>
      <c r="L151">
        <f>IF(AND('OFF_CONVAL'!L151&lt;&gt;"",IF(ISNUMBER('OFF_CONVAL'!L151),OR('OFF_CONVAL'!L151&lt;&gt;INT('OFF_CONVAL'!L151),LEN(TEXT(ABS('OFF_CONVAL'!L151),"0"))&gt;5),TRUE)),1,0)</f>
        <v/>
      </c>
      <c r="M151">
        <f>IF(AND('OFF_CONVAL'!M151&lt;&gt;"",IF(ISNUMBER('OFF_CONVAL'!M151),OR('OFF_CONVAL'!M151&lt;&gt;INT('OFF_CONVAL'!M151),LEN(TEXT(ABS('OFF_CONVAL'!M151),"0"))&gt;5),TRUE)),1,0)</f>
        <v/>
      </c>
      <c r="N151">
        <f>IF(AND('OFF_CONVAL'!N151&lt;&gt;"",LEN('OFF_CONVAL'!N151)&gt;20),1,0)</f>
        <v/>
      </c>
      <c r="O151">
        <f>IF(AND('OFF_CONVAL'!O151&lt;&gt;"",IF(ISNUMBER('OFF_CONVAL'!O151),OR('OFF_CONVAL'!O151&lt;&gt;INT('OFF_CONVAL'!O151),LEN(TEXT(ABS('OFF_CONVAL'!O151),"0"))&gt;15),TRUE)),1,0)</f>
        <v/>
      </c>
      <c r="P151">
        <f>IF(AND('OFF_CONVAL'!P151&lt;&gt;"",OR(LEN('OFF_CONVAL'!P151)&gt;3,COUNTIF(CL_MONEDAISO,'OFF_CONVAL'!P151)=0)),1,0)</f>
        <v/>
      </c>
      <c r="Q151">
        <f>IF(AND('OFF_CONVAL'!Q151&lt;&gt;"",NOT(ISNUMBER('OFF_CONVAL'!Q151))),1,0)</f>
        <v/>
      </c>
    </row>
    <row r="152">
      <c r="A152">
        <f>IF(AND('OFF_CONVAL'!A152&lt;&gt;"",NOT(ISNUMBER('OFF_CONVAL'!A152))),1,0)</f>
        <v/>
      </c>
      <c r="B152">
        <f>IF(AND('OFF_CONVAL'!B152&lt;&gt;"",LEN('OFF_CONVAL'!B152)&gt;20),1,0)</f>
        <v/>
      </c>
      <c r="C152">
        <f>IF(AND('OFF_CONVAL'!C152&lt;&gt;"",OR(LEN('OFF_CONVAL'!C152)&gt;1,COUNTIF(CL_POSICIONOPERACION_V4,'OFF_CONVAL'!C152)=0)),1,0)</f>
        <v/>
      </c>
      <c r="D152">
        <f>IF(AND('OFF_CONVAL'!D152&lt;&gt;"",OR(LEN('OFF_CONVAL'!D152)&gt;2,COUNTIF(CL_OBJ_OPE_V1,'OFF_CONVAL'!D152)=0)),1,0)</f>
        <v/>
      </c>
      <c r="E152">
        <f>IF(AND('OFF_CONVAL'!E152&lt;&gt;"",COUNTIF(CL_PAQ_EST_DER_V1,'OFF_CONVAL'!E152)=0),1,0)</f>
        <v/>
      </c>
      <c r="F152">
        <f>IF(AND('OFF_CONVAL'!F152&lt;&gt;"",LEN('OFF_CONVAL'!F152)&gt;20),1,0)</f>
        <v/>
      </c>
      <c r="G152">
        <f>IF(AND('OFF_CONVAL'!G152&lt;&gt;"",IF(ISNUMBER('OFF_CONVAL'!G152),OR('OFF_CONVAL'!G152&lt;&gt;INT('OFF_CONVAL'!G152),LEN(TEXT(ABS('OFF_CONVAL'!G152),"0"))&gt;3),TRUE)),1,0)</f>
        <v/>
      </c>
      <c r="H152">
        <f>IF(AND('OFF_CONVAL'!H152&lt;&gt;"",IF(ISNUMBER('OFF_CONVAL'!H152),OR('OFF_CONVAL'!H152&lt;&gt;INT('OFF_CONVAL'!H152),LEN(TEXT(ABS('OFF_CONVAL'!H152),"0"))&gt;15),TRUE)),1,0)</f>
        <v/>
      </c>
      <c r="I152">
        <f>IF(AND('OFF_CONVAL'!I152&lt;&gt;"",OR(LEN('OFF_CONVAL'!I152)&gt;3,COUNTIF(CL_MONEDAISO,'OFF_CONVAL'!I152)=0)),1,0)</f>
        <v/>
      </c>
      <c r="J152">
        <f>IF(AND('OFF_CONVAL'!J152&lt;&gt;"",IF(ISNUMBER('OFF_CONVAL'!J152),OR('OFF_CONVAL'!J152&lt;&gt;INT('OFF_CONVAL'!J152),LEN(TEXT(ABS('OFF_CONVAL'!J152),"0"))&gt;15),TRUE)),1,0)</f>
        <v/>
      </c>
      <c r="K152">
        <f>IF(AND('OFF_CONVAL'!K152&lt;&gt;"",OR(LEN('OFF_CONVAL'!K152)&gt;3,COUNTIF(CL_MONEDAISO,'OFF_CONVAL'!K152)=0)),1,0)</f>
        <v/>
      </c>
      <c r="L152">
        <f>IF(AND('OFF_CONVAL'!L152&lt;&gt;"",IF(ISNUMBER('OFF_CONVAL'!L152),OR('OFF_CONVAL'!L152&lt;&gt;INT('OFF_CONVAL'!L152),LEN(TEXT(ABS('OFF_CONVAL'!L152),"0"))&gt;5),TRUE)),1,0)</f>
        <v/>
      </c>
      <c r="M152">
        <f>IF(AND('OFF_CONVAL'!M152&lt;&gt;"",IF(ISNUMBER('OFF_CONVAL'!M152),OR('OFF_CONVAL'!M152&lt;&gt;INT('OFF_CONVAL'!M152),LEN(TEXT(ABS('OFF_CONVAL'!M152),"0"))&gt;5),TRUE)),1,0)</f>
        <v/>
      </c>
      <c r="N152">
        <f>IF(AND('OFF_CONVAL'!N152&lt;&gt;"",LEN('OFF_CONVAL'!N152)&gt;20),1,0)</f>
        <v/>
      </c>
      <c r="O152">
        <f>IF(AND('OFF_CONVAL'!O152&lt;&gt;"",IF(ISNUMBER('OFF_CONVAL'!O152),OR('OFF_CONVAL'!O152&lt;&gt;INT('OFF_CONVAL'!O152),LEN(TEXT(ABS('OFF_CONVAL'!O152),"0"))&gt;15),TRUE)),1,0)</f>
        <v/>
      </c>
      <c r="P152">
        <f>IF(AND('OFF_CONVAL'!P152&lt;&gt;"",OR(LEN('OFF_CONVAL'!P152)&gt;3,COUNTIF(CL_MONEDAISO,'OFF_CONVAL'!P152)=0)),1,0)</f>
        <v/>
      </c>
      <c r="Q152">
        <f>IF(AND('OFF_CONVAL'!Q152&lt;&gt;"",NOT(ISNUMBER('OFF_CONVAL'!Q152))),1,0)</f>
        <v/>
      </c>
    </row>
    <row r="153">
      <c r="A153">
        <f>IF(AND('OFF_CONVAL'!A153&lt;&gt;"",NOT(ISNUMBER('OFF_CONVAL'!A153))),1,0)</f>
        <v/>
      </c>
      <c r="B153">
        <f>IF(AND('OFF_CONVAL'!B153&lt;&gt;"",LEN('OFF_CONVAL'!B153)&gt;20),1,0)</f>
        <v/>
      </c>
      <c r="C153">
        <f>IF(AND('OFF_CONVAL'!C153&lt;&gt;"",OR(LEN('OFF_CONVAL'!C153)&gt;1,COUNTIF(CL_POSICIONOPERACION_V4,'OFF_CONVAL'!C153)=0)),1,0)</f>
        <v/>
      </c>
      <c r="D153">
        <f>IF(AND('OFF_CONVAL'!D153&lt;&gt;"",OR(LEN('OFF_CONVAL'!D153)&gt;2,COUNTIF(CL_OBJ_OPE_V1,'OFF_CONVAL'!D153)=0)),1,0)</f>
        <v/>
      </c>
      <c r="E153">
        <f>IF(AND('OFF_CONVAL'!E153&lt;&gt;"",COUNTIF(CL_PAQ_EST_DER_V1,'OFF_CONVAL'!E153)=0),1,0)</f>
        <v/>
      </c>
      <c r="F153">
        <f>IF(AND('OFF_CONVAL'!F153&lt;&gt;"",LEN('OFF_CONVAL'!F153)&gt;20),1,0)</f>
        <v/>
      </c>
      <c r="G153">
        <f>IF(AND('OFF_CONVAL'!G153&lt;&gt;"",IF(ISNUMBER('OFF_CONVAL'!G153),OR('OFF_CONVAL'!G153&lt;&gt;INT('OFF_CONVAL'!G153),LEN(TEXT(ABS('OFF_CONVAL'!G153),"0"))&gt;3),TRUE)),1,0)</f>
        <v/>
      </c>
      <c r="H153">
        <f>IF(AND('OFF_CONVAL'!H153&lt;&gt;"",IF(ISNUMBER('OFF_CONVAL'!H153),OR('OFF_CONVAL'!H153&lt;&gt;INT('OFF_CONVAL'!H153),LEN(TEXT(ABS('OFF_CONVAL'!H153),"0"))&gt;15),TRUE)),1,0)</f>
        <v/>
      </c>
      <c r="I153">
        <f>IF(AND('OFF_CONVAL'!I153&lt;&gt;"",OR(LEN('OFF_CONVAL'!I153)&gt;3,COUNTIF(CL_MONEDAISO,'OFF_CONVAL'!I153)=0)),1,0)</f>
        <v/>
      </c>
      <c r="J153">
        <f>IF(AND('OFF_CONVAL'!J153&lt;&gt;"",IF(ISNUMBER('OFF_CONVAL'!J153),OR('OFF_CONVAL'!J153&lt;&gt;INT('OFF_CONVAL'!J153),LEN(TEXT(ABS('OFF_CONVAL'!J153),"0"))&gt;15),TRUE)),1,0)</f>
        <v/>
      </c>
      <c r="K153">
        <f>IF(AND('OFF_CONVAL'!K153&lt;&gt;"",OR(LEN('OFF_CONVAL'!K153)&gt;3,COUNTIF(CL_MONEDAISO,'OFF_CONVAL'!K153)=0)),1,0)</f>
        <v/>
      </c>
      <c r="L153">
        <f>IF(AND('OFF_CONVAL'!L153&lt;&gt;"",IF(ISNUMBER('OFF_CONVAL'!L153),OR('OFF_CONVAL'!L153&lt;&gt;INT('OFF_CONVAL'!L153),LEN(TEXT(ABS('OFF_CONVAL'!L153),"0"))&gt;5),TRUE)),1,0)</f>
        <v/>
      </c>
      <c r="M153">
        <f>IF(AND('OFF_CONVAL'!M153&lt;&gt;"",IF(ISNUMBER('OFF_CONVAL'!M153),OR('OFF_CONVAL'!M153&lt;&gt;INT('OFF_CONVAL'!M153),LEN(TEXT(ABS('OFF_CONVAL'!M153),"0"))&gt;5),TRUE)),1,0)</f>
        <v/>
      </c>
      <c r="N153">
        <f>IF(AND('OFF_CONVAL'!N153&lt;&gt;"",LEN('OFF_CONVAL'!N153)&gt;20),1,0)</f>
        <v/>
      </c>
      <c r="O153">
        <f>IF(AND('OFF_CONVAL'!O153&lt;&gt;"",IF(ISNUMBER('OFF_CONVAL'!O153),OR('OFF_CONVAL'!O153&lt;&gt;INT('OFF_CONVAL'!O153),LEN(TEXT(ABS('OFF_CONVAL'!O153),"0"))&gt;15),TRUE)),1,0)</f>
        <v/>
      </c>
      <c r="P153">
        <f>IF(AND('OFF_CONVAL'!P153&lt;&gt;"",OR(LEN('OFF_CONVAL'!P153)&gt;3,COUNTIF(CL_MONEDAISO,'OFF_CONVAL'!P153)=0)),1,0)</f>
        <v/>
      </c>
      <c r="Q153">
        <f>IF(AND('OFF_CONVAL'!Q153&lt;&gt;"",NOT(ISNUMBER('OFF_CONVAL'!Q153))),1,0)</f>
        <v/>
      </c>
    </row>
    <row r="154">
      <c r="A154">
        <f>IF(AND('OFF_CONVAL'!A154&lt;&gt;"",NOT(ISNUMBER('OFF_CONVAL'!A154))),1,0)</f>
        <v/>
      </c>
      <c r="B154">
        <f>IF(AND('OFF_CONVAL'!B154&lt;&gt;"",LEN('OFF_CONVAL'!B154)&gt;20),1,0)</f>
        <v/>
      </c>
      <c r="C154">
        <f>IF(AND('OFF_CONVAL'!C154&lt;&gt;"",OR(LEN('OFF_CONVAL'!C154)&gt;1,COUNTIF(CL_POSICIONOPERACION_V4,'OFF_CONVAL'!C154)=0)),1,0)</f>
        <v/>
      </c>
      <c r="D154">
        <f>IF(AND('OFF_CONVAL'!D154&lt;&gt;"",OR(LEN('OFF_CONVAL'!D154)&gt;2,COUNTIF(CL_OBJ_OPE_V1,'OFF_CONVAL'!D154)=0)),1,0)</f>
        <v/>
      </c>
      <c r="E154">
        <f>IF(AND('OFF_CONVAL'!E154&lt;&gt;"",COUNTIF(CL_PAQ_EST_DER_V1,'OFF_CONVAL'!E154)=0),1,0)</f>
        <v/>
      </c>
      <c r="F154">
        <f>IF(AND('OFF_CONVAL'!F154&lt;&gt;"",LEN('OFF_CONVAL'!F154)&gt;20),1,0)</f>
        <v/>
      </c>
      <c r="G154">
        <f>IF(AND('OFF_CONVAL'!G154&lt;&gt;"",IF(ISNUMBER('OFF_CONVAL'!G154),OR('OFF_CONVAL'!G154&lt;&gt;INT('OFF_CONVAL'!G154),LEN(TEXT(ABS('OFF_CONVAL'!G154),"0"))&gt;3),TRUE)),1,0)</f>
        <v/>
      </c>
      <c r="H154">
        <f>IF(AND('OFF_CONVAL'!H154&lt;&gt;"",IF(ISNUMBER('OFF_CONVAL'!H154),OR('OFF_CONVAL'!H154&lt;&gt;INT('OFF_CONVAL'!H154),LEN(TEXT(ABS('OFF_CONVAL'!H154),"0"))&gt;15),TRUE)),1,0)</f>
        <v/>
      </c>
      <c r="I154">
        <f>IF(AND('OFF_CONVAL'!I154&lt;&gt;"",OR(LEN('OFF_CONVAL'!I154)&gt;3,COUNTIF(CL_MONEDAISO,'OFF_CONVAL'!I154)=0)),1,0)</f>
        <v/>
      </c>
      <c r="J154">
        <f>IF(AND('OFF_CONVAL'!J154&lt;&gt;"",IF(ISNUMBER('OFF_CONVAL'!J154),OR('OFF_CONVAL'!J154&lt;&gt;INT('OFF_CONVAL'!J154),LEN(TEXT(ABS('OFF_CONVAL'!J154),"0"))&gt;15),TRUE)),1,0)</f>
        <v/>
      </c>
      <c r="K154">
        <f>IF(AND('OFF_CONVAL'!K154&lt;&gt;"",OR(LEN('OFF_CONVAL'!K154)&gt;3,COUNTIF(CL_MONEDAISO,'OFF_CONVAL'!K154)=0)),1,0)</f>
        <v/>
      </c>
      <c r="L154">
        <f>IF(AND('OFF_CONVAL'!L154&lt;&gt;"",IF(ISNUMBER('OFF_CONVAL'!L154),OR('OFF_CONVAL'!L154&lt;&gt;INT('OFF_CONVAL'!L154),LEN(TEXT(ABS('OFF_CONVAL'!L154),"0"))&gt;5),TRUE)),1,0)</f>
        <v/>
      </c>
      <c r="M154">
        <f>IF(AND('OFF_CONVAL'!M154&lt;&gt;"",IF(ISNUMBER('OFF_CONVAL'!M154),OR('OFF_CONVAL'!M154&lt;&gt;INT('OFF_CONVAL'!M154),LEN(TEXT(ABS('OFF_CONVAL'!M154),"0"))&gt;5),TRUE)),1,0)</f>
        <v/>
      </c>
      <c r="N154">
        <f>IF(AND('OFF_CONVAL'!N154&lt;&gt;"",LEN('OFF_CONVAL'!N154)&gt;20),1,0)</f>
        <v/>
      </c>
      <c r="O154">
        <f>IF(AND('OFF_CONVAL'!O154&lt;&gt;"",IF(ISNUMBER('OFF_CONVAL'!O154),OR('OFF_CONVAL'!O154&lt;&gt;INT('OFF_CONVAL'!O154),LEN(TEXT(ABS('OFF_CONVAL'!O154),"0"))&gt;15),TRUE)),1,0)</f>
        <v/>
      </c>
      <c r="P154">
        <f>IF(AND('OFF_CONVAL'!P154&lt;&gt;"",OR(LEN('OFF_CONVAL'!P154)&gt;3,COUNTIF(CL_MONEDAISO,'OFF_CONVAL'!P154)=0)),1,0)</f>
        <v/>
      </c>
      <c r="Q154">
        <f>IF(AND('OFF_CONVAL'!Q154&lt;&gt;"",NOT(ISNUMBER('OFF_CONVAL'!Q154))),1,0)</f>
        <v/>
      </c>
    </row>
    <row r="155">
      <c r="A155">
        <f>IF(AND('OFF_CONVAL'!A155&lt;&gt;"",NOT(ISNUMBER('OFF_CONVAL'!A155))),1,0)</f>
        <v/>
      </c>
      <c r="B155">
        <f>IF(AND('OFF_CONVAL'!B155&lt;&gt;"",LEN('OFF_CONVAL'!B155)&gt;20),1,0)</f>
        <v/>
      </c>
      <c r="C155">
        <f>IF(AND('OFF_CONVAL'!C155&lt;&gt;"",OR(LEN('OFF_CONVAL'!C155)&gt;1,COUNTIF(CL_POSICIONOPERACION_V4,'OFF_CONVAL'!C155)=0)),1,0)</f>
        <v/>
      </c>
      <c r="D155">
        <f>IF(AND('OFF_CONVAL'!D155&lt;&gt;"",OR(LEN('OFF_CONVAL'!D155)&gt;2,COUNTIF(CL_OBJ_OPE_V1,'OFF_CONVAL'!D155)=0)),1,0)</f>
        <v/>
      </c>
      <c r="E155">
        <f>IF(AND('OFF_CONVAL'!E155&lt;&gt;"",COUNTIF(CL_PAQ_EST_DER_V1,'OFF_CONVAL'!E155)=0),1,0)</f>
        <v/>
      </c>
      <c r="F155">
        <f>IF(AND('OFF_CONVAL'!F155&lt;&gt;"",LEN('OFF_CONVAL'!F155)&gt;20),1,0)</f>
        <v/>
      </c>
      <c r="G155">
        <f>IF(AND('OFF_CONVAL'!G155&lt;&gt;"",IF(ISNUMBER('OFF_CONVAL'!G155),OR('OFF_CONVAL'!G155&lt;&gt;INT('OFF_CONVAL'!G155),LEN(TEXT(ABS('OFF_CONVAL'!G155),"0"))&gt;3),TRUE)),1,0)</f>
        <v/>
      </c>
      <c r="H155">
        <f>IF(AND('OFF_CONVAL'!H155&lt;&gt;"",IF(ISNUMBER('OFF_CONVAL'!H155),OR('OFF_CONVAL'!H155&lt;&gt;INT('OFF_CONVAL'!H155),LEN(TEXT(ABS('OFF_CONVAL'!H155),"0"))&gt;15),TRUE)),1,0)</f>
        <v/>
      </c>
      <c r="I155">
        <f>IF(AND('OFF_CONVAL'!I155&lt;&gt;"",OR(LEN('OFF_CONVAL'!I155)&gt;3,COUNTIF(CL_MONEDAISO,'OFF_CONVAL'!I155)=0)),1,0)</f>
        <v/>
      </c>
      <c r="J155">
        <f>IF(AND('OFF_CONVAL'!J155&lt;&gt;"",IF(ISNUMBER('OFF_CONVAL'!J155),OR('OFF_CONVAL'!J155&lt;&gt;INT('OFF_CONVAL'!J155),LEN(TEXT(ABS('OFF_CONVAL'!J155),"0"))&gt;15),TRUE)),1,0)</f>
        <v/>
      </c>
      <c r="K155">
        <f>IF(AND('OFF_CONVAL'!K155&lt;&gt;"",OR(LEN('OFF_CONVAL'!K155)&gt;3,COUNTIF(CL_MONEDAISO,'OFF_CONVAL'!K155)=0)),1,0)</f>
        <v/>
      </c>
      <c r="L155">
        <f>IF(AND('OFF_CONVAL'!L155&lt;&gt;"",IF(ISNUMBER('OFF_CONVAL'!L155),OR('OFF_CONVAL'!L155&lt;&gt;INT('OFF_CONVAL'!L155),LEN(TEXT(ABS('OFF_CONVAL'!L155),"0"))&gt;5),TRUE)),1,0)</f>
        <v/>
      </c>
      <c r="M155">
        <f>IF(AND('OFF_CONVAL'!M155&lt;&gt;"",IF(ISNUMBER('OFF_CONVAL'!M155),OR('OFF_CONVAL'!M155&lt;&gt;INT('OFF_CONVAL'!M155),LEN(TEXT(ABS('OFF_CONVAL'!M155),"0"))&gt;5),TRUE)),1,0)</f>
        <v/>
      </c>
      <c r="N155">
        <f>IF(AND('OFF_CONVAL'!N155&lt;&gt;"",LEN('OFF_CONVAL'!N155)&gt;20),1,0)</f>
        <v/>
      </c>
      <c r="O155">
        <f>IF(AND('OFF_CONVAL'!O155&lt;&gt;"",IF(ISNUMBER('OFF_CONVAL'!O155),OR('OFF_CONVAL'!O155&lt;&gt;INT('OFF_CONVAL'!O155),LEN(TEXT(ABS('OFF_CONVAL'!O155),"0"))&gt;15),TRUE)),1,0)</f>
        <v/>
      </c>
      <c r="P155">
        <f>IF(AND('OFF_CONVAL'!P155&lt;&gt;"",OR(LEN('OFF_CONVAL'!P155)&gt;3,COUNTIF(CL_MONEDAISO,'OFF_CONVAL'!P155)=0)),1,0)</f>
        <v/>
      </c>
      <c r="Q155">
        <f>IF(AND('OFF_CONVAL'!Q155&lt;&gt;"",NOT(ISNUMBER('OFF_CONVAL'!Q155))),1,0)</f>
        <v/>
      </c>
    </row>
    <row r="156">
      <c r="A156">
        <f>IF(AND('OFF_CONVAL'!A156&lt;&gt;"",NOT(ISNUMBER('OFF_CONVAL'!A156))),1,0)</f>
        <v/>
      </c>
      <c r="B156">
        <f>IF(AND('OFF_CONVAL'!B156&lt;&gt;"",LEN('OFF_CONVAL'!B156)&gt;20),1,0)</f>
        <v/>
      </c>
      <c r="C156">
        <f>IF(AND('OFF_CONVAL'!C156&lt;&gt;"",OR(LEN('OFF_CONVAL'!C156)&gt;1,COUNTIF(CL_POSICIONOPERACION_V4,'OFF_CONVAL'!C156)=0)),1,0)</f>
        <v/>
      </c>
      <c r="D156">
        <f>IF(AND('OFF_CONVAL'!D156&lt;&gt;"",OR(LEN('OFF_CONVAL'!D156)&gt;2,COUNTIF(CL_OBJ_OPE_V1,'OFF_CONVAL'!D156)=0)),1,0)</f>
        <v/>
      </c>
      <c r="E156">
        <f>IF(AND('OFF_CONVAL'!E156&lt;&gt;"",COUNTIF(CL_PAQ_EST_DER_V1,'OFF_CONVAL'!E156)=0),1,0)</f>
        <v/>
      </c>
      <c r="F156">
        <f>IF(AND('OFF_CONVAL'!F156&lt;&gt;"",LEN('OFF_CONVAL'!F156)&gt;20),1,0)</f>
        <v/>
      </c>
      <c r="G156">
        <f>IF(AND('OFF_CONVAL'!G156&lt;&gt;"",IF(ISNUMBER('OFF_CONVAL'!G156),OR('OFF_CONVAL'!G156&lt;&gt;INT('OFF_CONVAL'!G156),LEN(TEXT(ABS('OFF_CONVAL'!G156),"0"))&gt;3),TRUE)),1,0)</f>
        <v/>
      </c>
      <c r="H156">
        <f>IF(AND('OFF_CONVAL'!H156&lt;&gt;"",IF(ISNUMBER('OFF_CONVAL'!H156),OR('OFF_CONVAL'!H156&lt;&gt;INT('OFF_CONVAL'!H156),LEN(TEXT(ABS('OFF_CONVAL'!H156),"0"))&gt;15),TRUE)),1,0)</f>
        <v/>
      </c>
      <c r="I156">
        <f>IF(AND('OFF_CONVAL'!I156&lt;&gt;"",OR(LEN('OFF_CONVAL'!I156)&gt;3,COUNTIF(CL_MONEDAISO,'OFF_CONVAL'!I156)=0)),1,0)</f>
        <v/>
      </c>
      <c r="J156">
        <f>IF(AND('OFF_CONVAL'!J156&lt;&gt;"",IF(ISNUMBER('OFF_CONVAL'!J156),OR('OFF_CONVAL'!J156&lt;&gt;INT('OFF_CONVAL'!J156),LEN(TEXT(ABS('OFF_CONVAL'!J156),"0"))&gt;15),TRUE)),1,0)</f>
        <v/>
      </c>
      <c r="K156">
        <f>IF(AND('OFF_CONVAL'!K156&lt;&gt;"",OR(LEN('OFF_CONVAL'!K156)&gt;3,COUNTIF(CL_MONEDAISO,'OFF_CONVAL'!K156)=0)),1,0)</f>
        <v/>
      </c>
      <c r="L156">
        <f>IF(AND('OFF_CONVAL'!L156&lt;&gt;"",IF(ISNUMBER('OFF_CONVAL'!L156),OR('OFF_CONVAL'!L156&lt;&gt;INT('OFF_CONVAL'!L156),LEN(TEXT(ABS('OFF_CONVAL'!L156),"0"))&gt;5),TRUE)),1,0)</f>
        <v/>
      </c>
      <c r="M156">
        <f>IF(AND('OFF_CONVAL'!M156&lt;&gt;"",IF(ISNUMBER('OFF_CONVAL'!M156),OR('OFF_CONVAL'!M156&lt;&gt;INT('OFF_CONVAL'!M156),LEN(TEXT(ABS('OFF_CONVAL'!M156),"0"))&gt;5),TRUE)),1,0)</f>
        <v/>
      </c>
      <c r="N156">
        <f>IF(AND('OFF_CONVAL'!N156&lt;&gt;"",LEN('OFF_CONVAL'!N156)&gt;20),1,0)</f>
        <v/>
      </c>
      <c r="O156">
        <f>IF(AND('OFF_CONVAL'!O156&lt;&gt;"",IF(ISNUMBER('OFF_CONVAL'!O156),OR('OFF_CONVAL'!O156&lt;&gt;INT('OFF_CONVAL'!O156),LEN(TEXT(ABS('OFF_CONVAL'!O156),"0"))&gt;15),TRUE)),1,0)</f>
        <v/>
      </c>
      <c r="P156">
        <f>IF(AND('OFF_CONVAL'!P156&lt;&gt;"",OR(LEN('OFF_CONVAL'!P156)&gt;3,COUNTIF(CL_MONEDAISO,'OFF_CONVAL'!P156)=0)),1,0)</f>
        <v/>
      </c>
      <c r="Q156">
        <f>IF(AND('OFF_CONVAL'!Q156&lt;&gt;"",NOT(ISNUMBER('OFF_CONVAL'!Q156))),1,0)</f>
        <v/>
      </c>
    </row>
    <row r="157">
      <c r="A157">
        <f>IF(AND('OFF_CONVAL'!A157&lt;&gt;"",NOT(ISNUMBER('OFF_CONVAL'!A157))),1,0)</f>
        <v/>
      </c>
      <c r="B157">
        <f>IF(AND('OFF_CONVAL'!B157&lt;&gt;"",LEN('OFF_CONVAL'!B157)&gt;20),1,0)</f>
        <v/>
      </c>
      <c r="C157">
        <f>IF(AND('OFF_CONVAL'!C157&lt;&gt;"",OR(LEN('OFF_CONVAL'!C157)&gt;1,COUNTIF(CL_POSICIONOPERACION_V4,'OFF_CONVAL'!C157)=0)),1,0)</f>
        <v/>
      </c>
      <c r="D157">
        <f>IF(AND('OFF_CONVAL'!D157&lt;&gt;"",OR(LEN('OFF_CONVAL'!D157)&gt;2,COUNTIF(CL_OBJ_OPE_V1,'OFF_CONVAL'!D157)=0)),1,0)</f>
        <v/>
      </c>
      <c r="E157">
        <f>IF(AND('OFF_CONVAL'!E157&lt;&gt;"",COUNTIF(CL_PAQ_EST_DER_V1,'OFF_CONVAL'!E157)=0),1,0)</f>
        <v/>
      </c>
      <c r="F157">
        <f>IF(AND('OFF_CONVAL'!F157&lt;&gt;"",LEN('OFF_CONVAL'!F157)&gt;20),1,0)</f>
        <v/>
      </c>
      <c r="G157">
        <f>IF(AND('OFF_CONVAL'!G157&lt;&gt;"",IF(ISNUMBER('OFF_CONVAL'!G157),OR('OFF_CONVAL'!G157&lt;&gt;INT('OFF_CONVAL'!G157),LEN(TEXT(ABS('OFF_CONVAL'!G157),"0"))&gt;3),TRUE)),1,0)</f>
        <v/>
      </c>
      <c r="H157">
        <f>IF(AND('OFF_CONVAL'!H157&lt;&gt;"",IF(ISNUMBER('OFF_CONVAL'!H157),OR('OFF_CONVAL'!H157&lt;&gt;INT('OFF_CONVAL'!H157),LEN(TEXT(ABS('OFF_CONVAL'!H157),"0"))&gt;15),TRUE)),1,0)</f>
        <v/>
      </c>
      <c r="I157">
        <f>IF(AND('OFF_CONVAL'!I157&lt;&gt;"",OR(LEN('OFF_CONVAL'!I157)&gt;3,COUNTIF(CL_MONEDAISO,'OFF_CONVAL'!I157)=0)),1,0)</f>
        <v/>
      </c>
      <c r="J157">
        <f>IF(AND('OFF_CONVAL'!J157&lt;&gt;"",IF(ISNUMBER('OFF_CONVAL'!J157),OR('OFF_CONVAL'!J157&lt;&gt;INT('OFF_CONVAL'!J157),LEN(TEXT(ABS('OFF_CONVAL'!J157),"0"))&gt;15),TRUE)),1,0)</f>
        <v/>
      </c>
      <c r="K157">
        <f>IF(AND('OFF_CONVAL'!K157&lt;&gt;"",OR(LEN('OFF_CONVAL'!K157)&gt;3,COUNTIF(CL_MONEDAISO,'OFF_CONVAL'!K157)=0)),1,0)</f>
        <v/>
      </c>
      <c r="L157">
        <f>IF(AND('OFF_CONVAL'!L157&lt;&gt;"",IF(ISNUMBER('OFF_CONVAL'!L157),OR('OFF_CONVAL'!L157&lt;&gt;INT('OFF_CONVAL'!L157),LEN(TEXT(ABS('OFF_CONVAL'!L157),"0"))&gt;5),TRUE)),1,0)</f>
        <v/>
      </c>
      <c r="M157">
        <f>IF(AND('OFF_CONVAL'!M157&lt;&gt;"",IF(ISNUMBER('OFF_CONVAL'!M157),OR('OFF_CONVAL'!M157&lt;&gt;INT('OFF_CONVAL'!M157),LEN(TEXT(ABS('OFF_CONVAL'!M157),"0"))&gt;5),TRUE)),1,0)</f>
        <v/>
      </c>
      <c r="N157">
        <f>IF(AND('OFF_CONVAL'!N157&lt;&gt;"",LEN('OFF_CONVAL'!N157)&gt;20),1,0)</f>
        <v/>
      </c>
      <c r="O157">
        <f>IF(AND('OFF_CONVAL'!O157&lt;&gt;"",IF(ISNUMBER('OFF_CONVAL'!O157),OR('OFF_CONVAL'!O157&lt;&gt;INT('OFF_CONVAL'!O157),LEN(TEXT(ABS('OFF_CONVAL'!O157),"0"))&gt;15),TRUE)),1,0)</f>
        <v/>
      </c>
      <c r="P157">
        <f>IF(AND('OFF_CONVAL'!P157&lt;&gt;"",OR(LEN('OFF_CONVAL'!P157)&gt;3,COUNTIF(CL_MONEDAISO,'OFF_CONVAL'!P157)=0)),1,0)</f>
        <v/>
      </c>
      <c r="Q157">
        <f>IF(AND('OFF_CONVAL'!Q157&lt;&gt;"",NOT(ISNUMBER('OFF_CONVAL'!Q157))),1,0)</f>
        <v/>
      </c>
    </row>
    <row r="158">
      <c r="A158">
        <f>IF(AND('OFF_CONVAL'!A158&lt;&gt;"",NOT(ISNUMBER('OFF_CONVAL'!A158))),1,0)</f>
        <v/>
      </c>
      <c r="B158">
        <f>IF(AND('OFF_CONVAL'!B158&lt;&gt;"",LEN('OFF_CONVAL'!B158)&gt;20),1,0)</f>
        <v/>
      </c>
      <c r="C158">
        <f>IF(AND('OFF_CONVAL'!C158&lt;&gt;"",OR(LEN('OFF_CONVAL'!C158)&gt;1,COUNTIF(CL_POSICIONOPERACION_V4,'OFF_CONVAL'!C158)=0)),1,0)</f>
        <v/>
      </c>
      <c r="D158">
        <f>IF(AND('OFF_CONVAL'!D158&lt;&gt;"",OR(LEN('OFF_CONVAL'!D158)&gt;2,COUNTIF(CL_OBJ_OPE_V1,'OFF_CONVAL'!D158)=0)),1,0)</f>
        <v/>
      </c>
      <c r="E158">
        <f>IF(AND('OFF_CONVAL'!E158&lt;&gt;"",COUNTIF(CL_PAQ_EST_DER_V1,'OFF_CONVAL'!E158)=0),1,0)</f>
        <v/>
      </c>
      <c r="F158">
        <f>IF(AND('OFF_CONVAL'!F158&lt;&gt;"",LEN('OFF_CONVAL'!F158)&gt;20),1,0)</f>
        <v/>
      </c>
      <c r="G158">
        <f>IF(AND('OFF_CONVAL'!G158&lt;&gt;"",IF(ISNUMBER('OFF_CONVAL'!G158),OR('OFF_CONVAL'!G158&lt;&gt;INT('OFF_CONVAL'!G158),LEN(TEXT(ABS('OFF_CONVAL'!G158),"0"))&gt;3),TRUE)),1,0)</f>
        <v/>
      </c>
      <c r="H158">
        <f>IF(AND('OFF_CONVAL'!H158&lt;&gt;"",IF(ISNUMBER('OFF_CONVAL'!H158),OR('OFF_CONVAL'!H158&lt;&gt;INT('OFF_CONVAL'!H158),LEN(TEXT(ABS('OFF_CONVAL'!H158),"0"))&gt;15),TRUE)),1,0)</f>
        <v/>
      </c>
      <c r="I158">
        <f>IF(AND('OFF_CONVAL'!I158&lt;&gt;"",OR(LEN('OFF_CONVAL'!I158)&gt;3,COUNTIF(CL_MONEDAISO,'OFF_CONVAL'!I158)=0)),1,0)</f>
        <v/>
      </c>
      <c r="J158">
        <f>IF(AND('OFF_CONVAL'!J158&lt;&gt;"",IF(ISNUMBER('OFF_CONVAL'!J158),OR('OFF_CONVAL'!J158&lt;&gt;INT('OFF_CONVAL'!J158),LEN(TEXT(ABS('OFF_CONVAL'!J158),"0"))&gt;15),TRUE)),1,0)</f>
        <v/>
      </c>
      <c r="K158">
        <f>IF(AND('OFF_CONVAL'!K158&lt;&gt;"",OR(LEN('OFF_CONVAL'!K158)&gt;3,COUNTIF(CL_MONEDAISO,'OFF_CONVAL'!K158)=0)),1,0)</f>
        <v/>
      </c>
      <c r="L158">
        <f>IF(AND('OFF_CONVAL'!L158&lt;&gt;"",IF(ISNUMBER('OFF_CONVAL'!L158),OR('OFF_CONVAL'!L158&lt;&gt;INT('OFF_CONVAL'!L158),LEN(TEXT(ABS('OFF_CONVAL'!L158),"0"))&gt;5),TRUE)),1,0)</f>
        <v/>
      </c>
      <c r="M158">
        <f>IF(AND('OFF_CONVAL'!M158&lt;&gt;"",IF(ISNUMBER('OFF_CONVAL'!M158),OR('OFF_CONVAL'!M158&lt;&gt;INT('OFF_CONVAL'!M158),LEN(TEXT(ABS('OFF_CONVAL'!M158),"0"))&gt;5),TRUE)),1,0)</f>
        <v/>
      </c>
      <c r="N158">
        <f>IF(AND('OFF_CONVAL'!N158&lt;&gt;"",LEN('OFF_CONVAL'!N158)&gt;20),1,0)</f>
        <v/>
      </c>
      <c r="O158">
        <f>IF(AND('OFF_CONVAL'!O158&lt;&gt;"",IF(ISNUMBER('OFF_CONVAL'!O158),OR('OFF_CONVAL'!O158&lt;&gt;INT('OFF_CONVAL'!O158),LEN(TEXT(ABS('OFF_CONVAL'!O158),"0"))&gt;15),TRUE)),1,0)</f>
        <v/>
      </c>
      <c r="P158">
        <f>IF(AND('OFF_CONVAL'!P158&lt;&gt;"",OR(LEN('OFF_CONVAL'!P158)&gt;3,COUNTIF(CL_MONEDAISO,'OFF_CONVAL'!P158)=0)),1,0)</f>
        <v/>
      </c>
      <c r="Q158">
        <f>IF(AND('OFF_CONVAL'!Q158&lt;&gt;"",NOT(ISNUMBER('OFF_CONVAL'!Q158))),1,0)</f>
        <v/>
      </c>
    </row>
    <row r="159">
      <c r="A159">
        <f>IF(AND('OFF_CONVAL'!A159&lt;&gt;"",NOT(ISNUMBER('OFF_CONVAL'!A159))),1,0)</f>
        <v/>
      </c>
      <c r="B159">
        <f>IF(AND('OFF_CONVAL'!B159&lt;&gt;"",LEN('OFF_CONVAL'!B159)&gt;20),1,0)</f>
        <v/>
      </c>
      <c r="C159">
        <f>IF(AND('OFF_CONVAL'!C159&lt;&gt;"",OR(LEN('OFF_CONVAL'!C159)&gt;1,COUNTIF(CL_POSICIONOPERACION_V4,'OFF_CONVAL'!C159)=0)),1,0)</f>
        <v/>
      </c>
      <c r="D159">
        <f>IF(AND('OFF_CONVAL'!D159&lt;&gt;"",OR(LEN('OFF_CONVAL'!D159)&gt;2,COUNTIF(CL_OBJ_OPE_V1,'OFF_CONVAL'!D159)=0)),1,0)</f>
        <v/>
      </c>
      <c r="E159">
        <f>IF(AND('OFF_CONVAL'!E159&lt;&gt;"",COUNTIF(CL_PAQ_EST_DER_V1,'OFF_CONVAL'!E159)=0),1,0)</f>
        <v/>
      </c>
      <c r="F159">
        <f>IF(AND('OFF_CONVAL'!F159&lt;&gt;"",LEN('OFF_CONVAL'!F159)&gt;20),1,0)</f>
        <v/>
      </c>
      <c r="G159">
        <f>IF(AND('OFF_CONVAL'!G159&lt;&gt;"",IF(ISNUMBER('OFF_CONVAL'!G159),OR('OFF_CONVAL'!G159&lt;&gt;INT('OFF_CONVAL'!G159),LEN(TEXT(ABS('OFF_CONVAL'!G159),"0"))&gt;3),TRUE)),1,0)</f>
        <v/>
      </c>
      <c r="H159">
        <f>IF(AND('OFF_CONVAL'!H159&lt;&gt;"",IF(ISNUMBER('OFF_CONVAL'!H159),OR('OFF_CONVAL'!H159&lt;&gt;INT('OFF_CONVAL'!H159),LEN(TEXT(ABS('OFF_CONVAL'!H159),"0"))&gt;15),TRUE)),1,0)</f>
        <v/>
      </c>
      <c r="I159">
        <f>IF(AND('OFF_CONVAL'!I159&lt;&gt;"",OR(LEN('OFF_CONVAL'!I159)&gt;3,COUNTIF(CL_MONEDAISO,'OFF_CONVAL'!I159)=0)),1,0)</f>
        <v/>
      </c>
      <c r="J159">
        <f>IF(AND('OFF_CONVAL'!J159&lt;&gt;"",IF(ISNUMBER('OFF_CONVAL'!J159),OR('OFF_CONVAL'!J159&lt;&gt;INT('OFF_CONVAL'!J159),LEN(TEXT(ABS('OFF_CONVAL'!J159),"0"))&gt;15),TRUE)),1,0)</f>
        <v/>
      </c>
      <c r="K159">
        <f>IF(AND('OFF_CONVAL'!K159&lt;&gt;"",OR(LEN('OFF_CONVAL'!K159)&gt;3,COUNTIF(CL_MONEDAISO,'OFF_CONVAL'!K159)=0)),1,0)</f>
        <v/>
      </c>
      <c r="L159">
        <f>IF(AND('OFF_CONVAL'!L159&lt;&gt;"",IF(ISNUMBER('OFF_CONVAL'!L159),OR('OFF_CONVAL'!L159&lt;&gt;INT('OFF_CONVAL'!L159),LEN(TEXT(ABS('OFF_CONVAL'!L159),"0"))&gt;5),TRUE)),1,0)</f>
        <v/>
      </c>
      <c r="M159">
        <f>IF(AND('OFF_CONVAL'!M159&lt;&gt;"",IF(ISNUMBER('OFF_CONVAL'!M159),OR('OFF_CONVAL'!M159&lt;&gt;INT('OFF_CONVAL'!M159),LEN(TEXT(ABS('OFF_CONVAL'!M159),"0"))&gt;5),TRUE)),1,0)</f>
        <v/>
      </c>
      <c r="N159">
        <f>IF(AND('OFF_CONVAL'!N159&lt;&gt;"",LEN('OFF_CONVAL'!N159)&gt;20),1,0)</f>
        <v/>
      </c>
      <c r="O159">
        <f>IF(AND('OFF_CONVAL'!O159&lt;&gt;"",IF(ISNUMBER('OFF_CONVAL'!O159),OR('OFF_CONVAL'!O159&lt;&gt;INT('OFF_CONVAL'!O159),LEN(TEXT(ABS('OFF_CONVAL'!O159),"0"))&gt;15),TRUE)),1,0)</f>
        <v/>
      </c>
      <c r="P159">
        <f>IF(AND('OFF_CONVAL'!P159&lt;&gt;"",OR(LEN('OFF_CONVAL'!P159)&gt;3,COUNTIF(CL_MONEDAISO,'OFF_CONVAL'!P159)=0)),1,0)</f>
        <v/>
      </c>
      <c r="Q159">
        <f>IF(AND('OFF_CONVAL'!Q159&lt;&gt;"",NOT(ISNUMBER('OFF_CONVAL'!Q159))),1,0)</f>
        <v/>
      </c>
    </row>
    <row r="160">
      <c r="A160">
        <f>IF(AND('OFF_CONVAL'!A160&lt;&gt;"",NOT(ISNUMBER('OFF_CONVAL'!A160))),1,0)</f>
        <v/>
      </c>
      <c r="B160">
        <f>IF(AND('OFF_CONVAL'!B160&lt;&gt;"",LEN('OFF_CONVAL'!B160)&gt;20),1,0)</f>
        <v/>
      </c>
      <c r="C160">
        <f>IF(AND('OFF_CONVAL'!C160&lt;&gt;"",OR(LEN('OFF_CONVAL'!C160)&gt;1,COUNTIF(CL_POSICIONOPERACION_V4,'OFF_CONVAL'!C160)=0)),1,0)</f>
        <v/>
      </c>
      <c r="D160">
        <f>IF(AND('OFF_CONVAL'!D160&lt;&gt;"",OR(LEN('OFF_CONVAL'!D160)&gt;2,COUNTIF(CL_OBJ_OPE_V1,'OFF_CONVAL'!D160)=0)),1,0)</f>
        <v/>
      </c>
      <c r="E160">
        <f>IF(AND('OFF_CONVAL'!E160&lt;&gt;"",COUNTIF(CL_PAQ_EST_DER_V1,'OFF_CONVAL'!E160)=0),1,0)</f>
        <v/>
      </c>
      <c r="F160">
        <f>IF(AND('OFF_CONVAL'!F160&lt;&gt;"",LEN('OFF_CONVAL'!F160)&gt;20),1,0)</f>
        <v/>
      </c>
      <c r="G160">
        <f>IF(AND('OFF_CONVAL'!G160&lt;&gt;"",IF(ISNUMBER('OFF_CONVAL'!G160),OR('OFF_CONVAL'!G160&lt;&gt;INT('OFF_CONVAL'!G160),LEN(TEXT(ABS('OFF_CONVAL'!G160),"0"))&gt;3),TRUE)),1,0)</f>
        <v/>
      </c>
      <c r="H160">
        <f>IF(AND('OFF_CONVAL'!H160&lt;&gt;"",IF(ISNUMBER('OFF_CONVAL'!H160),OR('OFF_CONVAL'!H160&lt;&gt;INT('OFF_CONVAL'!H160),LEN(TEXT(ABS('OFF_CONVAL'!H160),"0"))&gt;15),TRUE)),1,0)</f>
        <v/>
      </c>
      <c r="I160">
        <f>IF(AND('OFF_CONVAL'!I160&lt;&gt;"",OR(LEN('OFF_CONVAL'!I160)&gt;3,COUNTIF(CL_MONEDAISO,'OFF_CONVAL'!I160)=0)),1,0)</f>
        <v/>
      </c>
      <c r="J160">
        <f>IF(AND('OFF_CONVAL'!J160&lt;&gt;"",IF(ISNUMBER('OFF_CONVAL'!J160),OR('OFF_CONVAL'!J160&lt;&gt;INT('OFF_CONVAL'!J160),LEN(TEXT(ABS('OFF_CONVAL'!J160),"0"))&gt;15),TRUE)),1,0)</f>
        <v/>
      </c>
      <c r="K160">
        <f>IF(AND('OFF_CONVAL'!K160&lt;&gt;"",OR(LEN('OFF_CONVAL'!K160)&gt;3,COUNTIF(CL_MONEDAISO,'OFF_CONVAL'!K160)=0)),1,0)</f>
        <v/>
      </c>
      <c r="L160">
        <f>IF(AND('OFF_CONVAL'!L160&lt;&gt;"",IF(ISNUMBER('OFF_CONVAL'!L160),OR('OFF_CONVAL'!L160&lt;&gt;INT('OFF_CONVAL'!L160),LEN(TEXT(ABS('OFF_CONVAL'!L160),"0"))&gt;5),TRUE)),1,0)</f>
        <v/>
      </c>
      <c r="M160">
        <f>IF(AND('OFF_CONVAL'!M160&lt;&gt;"",IF(ISNUMBER('OFF_CONVAL'!M160),OR('OFF_CONVAL'!M160&lt;&gt;INT('OFF_CONVAL'!M160),LEN(TEXT(ABS('OFF_CONVAL'!M160),"0"))&gt;5),TRUE)),1,0)</f>
        <v/>
      </c>
      <c r="N160">
        <f>IF(AND('OFF_CONVAL'!N160&lt;&gt;"",LEN('OFF_CONVAL'!N160)&gt;20),1,0)</f>
        <v/>
      </c>
      <c r="O160">
        <f>IF(AND('OFF_CONVAL'!O160&lt;&gt;"",IF(ISNUMBER('OFF_CONVAL'!O160),OR('OFF_CONVAL'!O160&lt;&gt;INT('OFF_CONVAL'!O160),LEN(TEXT(ABS('OFF_CONVAL'!O160),"0"))&gt;15),TRUE)),1,0)</f>
        <v/>
      </c>
      <c r="P160">
        <f>IF(AND('OFF_CONVAL'!P160&lt;&gt;"",OR(LEN('OFF_CONVAL'!P160)&gt;3,COUNTIF(CL_MONEDAISO,'OFF_CONVAL'!P160)=0)),1,0)</f>
        <v/>
      </c>
      <c r="Q160">
        <f>IF(AND('OFF_CONVAL'!Q160&lt;&gt;"",NOT(ISNUMBER('OFF_CONVAL'!Q160))),1,0)</f>
        <v/>
      </c>
    </row>
    <row r="161">
      <c r="A161">
        <f>IF(AND('OFF_CONVAL'!A161&lt;&gt;"",NOT(ISNUMBER('OFF_CONVAL'!A161))),1,0)</f>
        <v/>
      </c>
      <c r="B161">
        <f>IF(AND('OFF_CONVAL'!B161&lt;&gt;"",LEN('OFF_CONVAL'!B161)&gt;20),1,0)</f>
        <v/>
      </c>
      <c r="C161">
        <f>IF(AND('OFF_CONVAL'!C161&lt;&gt;"",OR(LEN('OFF_CONVAL'!C161)&gt;1,COUNTIF(CL_POSICIONOPERACION_V4,'OFF_CONVAL'!C161)=0)),1,0)</f>
        <v/>
      </c>
      <c r="D161">
        <f>IF(AND('OFF_CONVAL'!D161&lt;&gt;"",OR(LEN('OFF_CONVAL'!D161)&gt;2,COUNTIF(CL_OBJ_OPE_V1,'OFF_CONVAL'!D161)=0)),1,0)</f>
        <v/>
      </c>
      <c r="E161">
        <f>IF(AND('OFF_CONVAL'!E161&lt;&gt;"",COUNTIF(CL_PAQ_EST_DER_V1,'OFF_CONVAL'!E161)=0),1,0)</f>
        <v/>
      </c>
      <c r="F161">
        <f>IF(AND('OFF_CONVAL'!F161&lt;&gt;"",LEN('OFF_CONVAL'!F161)&gt;20),1,0)</f>
        <v/>
      </c>
      <c r="G161">
        <f>IF(AND('OFF_CONVAL'!G161&lt;&gt;"",IF(ISNUMBER('OFF_CONVAL'!G161),OR('OFF_CONVAL'!G161&lt;&gt;INT('OFF_CONVAL'!G161),LEN(TEXT(ABS('OFF_CONVAL'!G161),"0"))&gt;3),TRUE)),1,0)</f>
        <v/>
      </c>
      <c r="H161">
        <f>IF(AND('OFF_CONVAL'!H161&lt;&gt;"",IF(ISNUMBER('OFF_CONVAL'!H161),OR('OFF_CONVAL'!H161&lt;&gt;INT('OFF_CONVAL'!H161),LEN(TEXT(ABS('OFF_CONVAL'!H161),"0"))&gt;15),TRUE)),1,0)</f>
        <v/>
      </c>
      <c r="I161">
        <f>IF(AND('OFF_CONVAL'!I161&lt;&gt;"",OR(LEN('OFF_CONVAL'!I161)&gt;3,COUNTIF(CL_MONEDAISO,'OFF_CONVAL'!I161)=0)),1,0)</f>
        <v/>
      </c>
      <c r="J161">
        <f>IF(AND('OFF_CONVAL'!J161&lt;&gt;"",IF(ISNUMBER('OFF_CONVAL'!J161),OR('OFF_CONVAL'!J161&lt;&gt;INT('OFF_CONVAL'!J161),LEN(TEXT(ABS('OFF_CONVAL'!J161),"0"))&gt;15),TRUE)),1,0)</f>
        <v/>
      </c>
      <c r="K161">
        <f>IF(AND('OFF_CONVAL'!K161&lt;&gt;"",OR(LEN('OFF_CONVAL'!K161)&gt;3,COUNTIF(CL_MONEDAISO,'OFF_CONVAL'!K161)=0)),1,0)</f>
        <v/>
      </c>
      <c r="L161">
        <f>IF(AND('OFF_CONVAL'!L161&lt;&gt;"",IF(ISNUMBER('OFF_CONVAL'!L161),OR('OFF_CONVAL'!L161&lt;&gt;INT('OFF_CONVAL'!L161),LEN(TEXT(ABS('OFF_CONVAL'!L161),"0"))&gt;5),TRUE)),1,0)</f>
        <v/>
      </c>
      <c r="M161">
        <f>IF(AND('OFF_CONVAL'!M161&lt;&gt;"",IF(ISNUMBER('OFF_CONVAL'!M161),OR('OFF_CONVAL'!M161&lt;&gt;INT('OFF_CONVAL'!M161),LEN(TEXT(ABS('OFF_CONVAL'!M161),"0"))&gt;5),TRUE)),1,0)</f>
        <v/>
      </c>
      <c r="N161">
        <f>IF(AND('OFF_CONVAL'!N161&lt;&gt;"",LEN('OFF_CONVAL'!N161)&gt;20),1,0)</f>
        <v/>
      </c>
      <c r="O161">
        <f>IF(AND('OFF_CONVAL'!O161&lt;&gt;"",IF(ISNUMBER('OFF_CONVAL'!O161),OR('OFF_CONVAL'!O161&lt;&gt;INT('OFF_CONVAL'!O161),LEN(TEXT(ABS('OFF_CONVAL'!O161),"0"))&gt;15),TRUE)),1,0)</f>
        <v/>
      </c>
      <c r="P161">
        <f>IF(AND('OFF_CONVAL'!P161&lt;&gt;"",OR(LEN('OFF_CONVAL'!P161)&gt;3,COUNTIF(CL_MONEDAISO,'OFF_CONVAL'!P161)=0)),1,0)</f>
        <v/>
      </c>
      <c r="Q161">
        <f>IF(AND('OFF_CONVAL'!Q161&lt;&gt;"",NOT(ISNUMBER('OFF_CONVAL'!Q161))),1,0)</f>
        <v/>
      </c>
    </row>
    <row r="162">
      <c r="A162">
        <f>IF(AND('OFF_CONVAL'!A162&lt;&gt;"",NOT(ISNUMBER('OFF_CONVAL'!A162))),1,0)</f>
        <v/>
      </c>
      <c r="B162">
        <f>IF(AND('OFF_CONVAL'!B162&lt;&gt;"",LEN('OFF_CONVAL'!B162)&gt;20),1,0)</f>
        <v/>
      </c>
      <c r="C162">
        <f>IF(AND('OFF_CONVAL'!C162&lt;&gt;"",OR(LEN('OFF_CONVAL'!C162)&gt;1,COUNTIF(CL_POSICIONOPERACION_V4,'OFF_CONVAL'!C162)=0)),1,0)</f>
        <v/>
      </c>
      <c r="D162">
        <f>IF(AND('OFF_CONVAL'!D162&lt;&gt;"",OR(LEN('OFF_CONVAL'!D162)&gt;2,COUNTIF(CL_OBJ_OPE_V1,'OFF_CONVAL'!D162)=0)),1,0)</f>
        <v/>
      </c>
      <c r="E162">
        <f>IF(AND('OFF_CONVAL'!E162&lt;&gt;"",COUNTIF(CL_PAQ_EST_DER_V1,'OFF_CONVAL'!E162)=0),1,0)</f>
        <v/>
      </c>
      <c r="F162">
        <f>IF(AND('OFF_CONVAL'!F162&lt;&gt;"",LEN('OFF_CONVAL'!F162)&gt;20),1,0)</f>
        <v/>
      </c>
      <c r="G162">
        <f>IF(AND('OFF_CONVAL'!G162&lt;&gt;"",IF(ISNUMBER('OFF_CONVAL'!G162),OR('OFF_CONVAL'!G162&lt;&gt;INT('OFF_CONVAL'!G162),LEN(TEXT(ABS('OFF_CONVAL'!G162),"0"))&gt;3),TRUE)),1,0)</f>
        <v/>
      </c>
      <c r="H162">
        <f>IF(AND('OFF_CONVAL'!H162&lt;&gt;"",IF(ISNUMBER('OFF_CONVAL'!H162),OR('OFF_CONVAL'!H162&lt;&gt;INT('OFF_CONVAL'!H162),LEN(TEXT(ABS('OFF_CONVAL'!H162),"0"))&gt;15),TRUE)),1,0)</f>
        <v/>
      </c>
      <c r="I162">
        <f>IF(AND('OFF_CONVAL'!I162&lt;&gt;"",OR(LEN('OFF_CONVAL'!I162)&gt;3,COUNTIF(CL_MONEDAISO,'OFF_CONVAL'!I162)=0)),1,0)</f>
        <v/>
      </c>
      <c r="J162">
        <f>IF(AND('OFF_CONVAL'!J162&lt;&gt;"",IF(ISNUMBER('OFF_CONVAL'!J162),OR('OFF_CONVAL'!J162&lt;&gt;INT('OFF_CONVAL'!J162),LEN(TEXT(ABS('OFF_CONVAL'!J162),"0"))&gt;15),TRUE)),1,0)</f>
        <v/>
      </c>
      <c r="K162">
        <f>IF(AND('OFF_CONVAL'!K162&lt;&gt;"",OR(LEN('OFF_CONVAL'!K162)&gt;3,COUNTIF(CL_MONEDAISO,'OFF_CONVAL'!K162)=0)),1,0)</f>
        <v/>
      </c>
      <c r="L162">
        <f>IF(AND('OFF_CONVAL'!L162&lt;&gt;"",IF(ISNUMBER('OFF_CONVAL'!L162),OR('OFF_CONVAL'!L162&lt;&gt;INT('OFF_CONVAL'!L162),LEN(TEXT(ABS('OFF_CONVAL'!L162),"0"))&gt;5),TRUE)),1,0)</f>
        <v/>
      </c>
      <c r="M162">
        <f>IF(AND('OFF_CONVAL'!M162&lt;&gt;"",IF(ISNUMBER('OFF_CONVAL'!M162),OR('OFF_CONVAL'!M162&lt;&gt;INT('OFF_CONVAL'!M162),LEN(TEXT(ABS('OFF_CONVAL'!M162),"0"))&gt;5),TRUE)),1,0)</f>
        <v/>
      </c>
      <c r="N162">
        <f>IF(AND('OFF_CONVAL'!N162&lt;&gt;"",LEN('OFF_CONVAL'!N162)&gt;20),1,0)</f>
        <v/>
      </c>
      <c r="O162">
        <f>IF(AND('OFF_CONVAL'!O162&lt;&gt;"",IF(ISNUMBER('OFF_CONVAL'!O162),OR('OFF_CONVAL'!O162&lt;&gt;INT('OFF_CONVAL'!O162),LEN(TEXT(ABS('OFF_CONVAL'!O162),"0"))&gt;15),TRUE)),1,0)</f>
        <v/>
      </c>
      <c r="P162">
        <f>IF(AND('OFF_CONVAL'!P162&lt;&gt;"",OR(LEN('OFF_CONVAL'!P162)&gt;3,COUNTIF(CL_MONEDAISO,'OFF_CONVAL'!P162)=0)),1,0)</f>
        <v/>
      </c>
      <c r="Q162">
        <f>IF(AND('OFF_CONVAL'!Q162&lt;&gt;"",NOT(ISNUMBER('OFF_CONVAL'!Q162))),1,0)</f>
        <v/>
      </c>
    </row>
    <row r="163">
      <c r="A163">
        <f>IF(AND('OFF_CONVAL'!A163&lt;&gt;"",NOT(ISNUMBER('OFF_CONVAL'!A163))),1,0)</f>
        <v/>
      </c>
      <c r="B163">
        <f>IF(AND('OFF_CONVAL'!B163&lt;&gt;"",LEN('OFF_CONVAL'!B163)&gt;20),1,0)</f>
        <v/>
      </c>
      <c r="C163">
        <f>IF(AND('OFF_CONVAL'!C163&lt;&gt;"",OR(LEN('OFF_CONVAL'!C163)&gt;1,COUNTIF(CL_POSICIONOPERACION_V4,'OFF_CONVAL'!C163)=0)),1,0)</f>
        <v/>
      </c>
      <c r="D163">
        <f>IF(AND('OFF_CONVAL'!D163&lt;&gt;"",OR(LEN('OFF_CONVAL'!D163)&gt;2,COUNTIF(CL_OBJ_OPE_V1,'OFF_CONVAL'!D163)=0)),1,0)</f>
        <v/>
      </c>
      <c r="E163">
        <f>IF(AND('OFF_CONVAL'!E163&lt;&gt;"",COUNTIF(CL_PAQ_EST_DER_V1,'OFF_CONVAL'!E163)=0),1,0)</f>
        <v/>
      </c>
      <c r="F163">
        <f>IF(AND('OFF_CONVAL'!F163&lt;&gt;"",LEN('OFF_CONVAL'!F163)&gt;20),1,0)</f>
        <v/>
      </c>
      <c r="G163">
        <f>IF(AND('OFF_CONVAL'!G163&lt;&gt;"",IF(ISNUMBER('OFF_CONVAL'!G163),OR('OFF_CONVAL'!G163&lt;&gt;INT('OFF_CONVAL'!G163),LEN(TEXT(ABS('OFF_CONVAL'!G163),"0"))&gt;3),TRUE)),1,0)</f>
        <v/>
      </c>
      <c r="H163">
        <f>IF(AND('OFF_CONVAL'!H163&lt;&gt;"",IF(ISNUMBER('OFF_CONVAL'!H163),OR('OFF_CONVAL'!H163&lt;&gt;INT('OFF_CONVAL'!H163),LEN(TEXT(ABS('OFF_CONVAL'!H163),"0"))&gt;15),TRUE)),1,0)</f>
        <v/>
      </c>
      <c r="I163">
        <f>IF(AND('OFF_CONVAL'!I163&lt;&gt;"",OR(LEN('OFF_CONVAL'!I163)&gt;3,COUNTIF(CL_MONEDAISO,'OFF_CONVAL'!I163)=0)),1,0)</f>
        <v/>
      </c>
      <c r="J163">
        <f>IF(AND('OFF_CONVAL'!J163&lt;&gt;"",IF(ISNUMBER('OFF_CONVAL'!J163),OR('OFF_CONVAL'!J163&lt;&gt;INT('OFF_CONVAL'!J163),LEN(TEXT(ABS('OFF_CONVAL'!J163),"0"))&gt;15),TRUE)),1,0)</f>
        <v/>
      </c>
      <c r="K163">
        <f>IF(AND('OFF_CONVAL'!K163&lt;&gt;"",OR(LEN('OFF_CONVAL'!K163)&gt;3,COUNTIF(CL_MONEDAISO,'OFF_CONVAL'!K163)=0)),1,0)</f>
        <v/>
      </c>
      <c r="L163">
        <f>IF(AND('OFF_CONVAL'!L163&lt;&gt;"",IF(ISNUMBER('OFF_CONVAL'!L163),OR('OFF_CONVAL'!L163&lt;&gt;INT('OFF_CONVAL'!L163),LEN(TEXT(ABS('OFF_CONVAL'!L163),"0"))&gt;5),TRUE)),1,0)</f>
        <v/>
      </c>
      <c r="M163">
        <f>IF(AND('OFF_CONVAL'!M163&lt;&gt;"",IF(ISNUMBER('OFF_CONVAL'!M163),OR('OFF_CONVAL'!M163&lt;&gt;INT('OFF_CONVAL'!M163),LEN(TEXT(ABS('OFF_CONVAL'!M163),"0"))&gt;5),TRUE)),1,0)</f>
        <v/>
      </c>
      <c r="N163">
        <f>IF(AND('OFF_CONVAL'!N163&lt;&gt;"",LEN('OFF_CONVAL'!N163)&gt;20),1,0)</f>
        <v/>
      </c>
      <c r="O163">
        <f>IF(AND('OFF_CONVAL'!O163&lt;&gt;"",IF(ISNUMBER('OFF_CONVAL'!O163),OR('OFF_CONVAL'!O163&lt;&gt;INT('OFF_CONVAL'!O163),LEN(TEXT(ABS('OFF_CONVAL'!O163),"0"))&gt;15),TRUE)),1,0)</f>
        <v/>
      </c>
      <c r="P163">
        <f>IF(AND('OFF_CONVAL'!P163&lt;&gt;"",OR(LEN('OFF_CONVAL'!P163)&gt;3,COUNTIF(CL_MONEDAISO,'OFF_CONVAL'!P163)=0)),1,0)</f>
        <v/>
      </c>
      <c r="Q163">
        <f>IF(AND('OFF_CONVAL'!Q163&lt;&gt;"",NOT(ISNUMBER('OFF_CONVAL'!Q163))),1,0)</f>
        <v/>
      </c>
    </row>
    <row r="164">
      <c r="A164">
        <f>IF(AND('OFF_CONVAL'!A164&lt;&gt;"",NOT(ISNUMBER('OFF_CONVAL'!A164))),1,0)</f>
        <v/>
      </c>
      <c r="B164">
        <f>IF(AND('OFF_CONVAL'!B164&lt;&gt;"",LEN('OFF_CONVAL'!B164)&gt;20),1,0)</f>
        <v/>
      </c>
      <c r="C164">
        <f>IF(AND('OFF_CONVAL'!C164&lt;&gt;"",OR(LEN('OFF_CONVAL'!C164)&gt;1,COUNTIF(CL_POSICIONOPERACION_V4,'OFF_CONVAL'!C164)=0)),1,0)</f>
        <v/>
      </c>
      <c r="D164">
        <f>IF(AND('OFF_CONVAL'!D164&lt;&gt;"",OR(LEN('OFF_CONVAL'!D164)&gt;2,COUNTIF(CL_OBJ_OPE_V1,'OFF_CONVAL'!D164)=0)),1,0)</f>
        <v/>
      </c>
      <c r="E164">
        <f>IF(AND('OFF_CONVAL'!E164&lt;&gt;"",COUNTIF(CL_PAQ_EST_DER_V1,'OFF_CONVAL'!E164)=0),1,0)</f>
        <v/>
      </c>
      <c r="F164">
        <f>IF(AND('OFF_CONVAL'!F164&lt;&gt;"",LEN('OFF_CONVAL'!F164)&gt;20),1,0)</f>
        <v/>
      </c>
      <c r="G164">
        <f>IF(AND('OFF_CONVAL'!G164&lt;&gt;"",IF(ISNUMBER('OFF_CONVAL'!G164),OR('OFF_CONVAL'!G164&lt;&gt;INT('OFF_CONVAL'!G164),LEN(TEXT(ABS('OFF_CONVAL'!G164),"0"))&gt;3),TRUE)),1,0)</f>
        <v/>
      </c>
      <c r="H164">
        <f>IF(AND('OFF_CONVAL'!H164&lt;&gt;"",IF(ISNUMBER('OFF_CONVAL'!H164),OR('OFF_CONVAL'!H164&lt;&gt;INT('OFF_CONVAL'!H164),LEN(TEXT(ABS('OFF_CONVAL'!H164),"0"))&gt;15),TRUE)),1,0)</f>
        <v/>
      </c>
      <c r="I164">
        <f>IF(AND('OFF_CONVAL'!I164&lt;&gt;"",OR(LEN('OFF_CONVAL'!I164)&gt;3,COUNTIF(CL_MONEDAISO,'OFF_CONVAL'!I164)=0)),1,0)</f>
        <v/>
      </c>
      <c r="J164">
        <f>IF(AND('OFF_CONVAL'!J164&lt;&gt;"",IF(ISNUMBER('OFF_CONVAL'!J164),OR('OFF_CONVAL'!J164&lt;&gt;INT('OFF_CONVAL'!J164),LEN(TEXT(ABS('OFF_CONVAL'!J164),"0"))&gt;15),TRUE)),1,0)</f>
        <v/>
      </c>
      <c r="K164">
        <f>IF(AND('OFF_CONVAL'!K164&lt;&gt;"",OR(LEN('OFF_CONVAL'!K164)&gt;3,COUNTIF(CL_MONEDAISO,'OFF_CONVAL'!K164)=0)),1,0)</f>
        <v/>
      </c>
      <c r="L164">
        <f>IF(AND('OFF_CONVAL'!L164&lt;&gt;"",IF(ISNUMBER('OFF_CONVAL'!L164),OR('OFF_CONVAL'!L164&lt;&gt;INT('OFF_CONVAL'!L164),LEN(TEXT(ABS('OFF_CONVAL'!L164),"0"))&gt;5),TRUE)),1,0)</f>
        <v/>
      </c>
      <c r="M164">
        <f>IF(AND('OFF_CONVAL'!M164&lt;&gt;"",IF(ISNUMBER('OFF_CONVAL'!M164),OR('OFF_CONVAL'!M164&lt;&gt;INT('OFF_CONVAL'!M164),LEN(TEXT(ABS('OFF_CONVAL'!M164),"0"))&gt;5),TRUE)),1,0)</f>
        <v/>
      </c>
      <c r="N164">
        <f>IF(AND('OFF_CONVAL'!N164&lt;&gt;"",LEN('OFF_CONVAL'!N164)&gt;20),1,0)</f>
        <v/>
      </c>
      <c r="O164">
        <f>IF(AND('OFF_CONVAL'!O164&lt;&gt;"",IF(ISNUMBER('OFF_CONVAL'!O164),OR('OFF_CONVAL'!O164&lt;&gt;INT('OFF_CONVAL'!O164),LEN(TEXT(ABS('OFF_CONVAL'!O164),"0"))&gt;15),TRUE)),1,0)</f>
        <v/>
      </c>
      <c r="P164">
        <f>IF(AND('OFF_CONVAL'!P164&lt;&gt;"",OR(LEN('OFF_CONVAL'!P164)&gt;3,COUNTIF(CL_MONEDAISO,'OFF_CONVAL'!P164)=0)),1,0)</f>
        <v/>
      </c>
      <c r="Q164">
        <f>IF(AND('OFF_CONVAL'!Q164&lt;&gt;"",NOT(ISNUMBER('OFF_CONVAL'!Q164))),1,0)</f>
        <v/>
      </c>
    </row>
    <row r="165">
      <c r="A165">
        <f>IF(AND('OFF_CONVAL'!A165&lt;&gt;"",NOT(ISNUMBER('OFF_CONVAL'!A165))),1,0)</f>
        <v/>
      </c>
      <c r="B165">
        <f>IF(AND('OFF_CONVAL'!B165&lt;&gt;"",LEN('OFF_CONVAL'!B165)&gt;20),1,0)</f>
        <v/>
      </c>
      <c r="C165">
        <f>IF(AND('OFF_CONVAL'!C165&lt;&gt;"",OR(LEN('OFF_CONVAL'!C165)&gt;1,COUNTIF(CL_POSICIONOPERACION_V4,'OFF_CONVAL'!C165)=0)),1,0)</f>
        <v/>
      </c>
      <c r="D165">
        <f>IF(AND('OFF_CONVAL'!D165&lt;&gt;"",OR(LEN('OFF_CONVAL'!D165)&gt;2,COUNTIF(CL_OBJ_OPE_V1,'OFF_CONVAL'!D165)=0)),1,0)</f>
        <v/>
      </c>
      <c r="E165">
        <f>IF(AND('OFF_CONVAL'!E165&lt;&gt;"",COUNTIF(CL_PAQ_EST_DER_V1,'OFF_CONVAL'!E165)=0),1,0)</f>
        <v/>
      </c>
      <c r="F165">
        <f>IF(AND('OFF_CONVAL'!F165&lt;&gt;"",LEN('OFF_CONVAL'!F165)&gt;20),1,0)</f>
        <v/>
      </c>
      <c r="G165">
        <f>IF(AND('OFF_CONVAL'!G165&lt;&gt;"",IF(ISNUMBER('OFF_CONVAL'!G165),OR('OFF_CONVAL'!G165&lt;&gt;INT('OFF_CONVAL'!G165),LEN(TEXT(ABS('OFF_CONVAL'!G165),"0"))&gt;3),TRUE)),1,0)</f>
        <v/>
      </c>
      <c r="H165">
        <f>IF(AND('OFF_CONVAL'!H165&lt;&gt;"",IF(ISNUMBER('OFF_CONVAL'!H165),OR('OFF_CONVAL'!H165&lt;&gt;INT('OFF_CONVAL'!H165),LEN(TEXT(ABS('OFF_CONVAL'!H165),"0"))&gt;15),TRUE)),1,0)</f>
        <v/>
      </c>
      <c r="I165">
        <f>IF(AND('OFF_CONVAL'!I165&lt;&gt;"",OR(LEN('OFF_CONVAL'!I165)&gt;3,COUNTIF(CL_MONEDAISO,'OFF_CONVAL'!I165)=0)),1,0)</f>
        <v/>
      </c>
      <c r="J165">
        <f>IF(AND('OFF_CONVAL'!J165&lt;&gt;"",IF(ISNUMBER('OFF_CONVAL'!J165),OR('OFF_CONVAL'!J165&lt;&gt;INT('OFF_CONVAL'!J165),LEN(TEXT(ABS('OFF_CONVAL'!J165),"0"))&gt;15),TRUE)),1,0)</f>
        <v/>
      </c>
      <c r="K165">
        <f>IF(AND('OFF_CONVAL'!K165&lt;&gt;"",OR(LEN('OFF_CONVAL'!K165)&gt;3,COUNTIF(CL_MONEDAISO,'OFF_CONVAL'!K165)=0)),1,0)</f>
        <v/>
      </c>
      <c r="L165">
        <f>IF(AND('OFF_CONVAL'!L165&lt;&gt;"",IF(ISNUMBER('OFF_CONVAL'!L165),OR('OFF_CONVAL'!L165&lt;&gt;INT('OFF_CONVAL'!L165),LEN(TEXT(ABS('OFF_CONVAL'!L165),"0"))&gt;5),TRUE)),1,0)</f>
        <v/>
      </c>
      <c r="M165">
        <f>IF(AND('OFF_CONVAL'!M165&lt;&gt;"",IF(ISNUMBER('OFF_CONVAL'!M165),OR('OFF_CONVAL'!M165&lt;&gt;INT('OFF_CONVAL'!M165),LEN(TEXT(ABS('OFF_CONVAL'!M165),"0"))&gt;5),TRUE)),1,0)</f>
        <v/>
      </c>
      <c r="N165">
        <f>IF(AND('OFF_CONVAL'!N165&lt;&gt;"",LEN('OFF_CONVAL'!N165)&gt;20),1,0)</f>
        <v/>
      </c>
      <c r="O165">
        <f>IF(AND('OFF_CONVAL'!O165&lt;&gt;"",IF(ISNUMBER('OFF_CONVAL'!O165),OR('OFF_CONVAL'!O165&lt;&gt;INT('OFF_CONVAL'!O165),LEN(TEXT(ABS('OFF_CONVAL'!O165),"0"))&gt;15),TRUE)),1,0)</f>
        <v/>
      </c>
      <c r="P165">
        <f>IF(AND('OFF_CONVAL'!P165&lt;&gt;"",OR(LEN('OFF_CONVAL'!P165)&gt;3,COUNTIF(CL_MONEDAISO,'OFF_CONVAL'!P165)=0)),1,0)</f>
        <v/>
      </c>
      <c r="Q165">
        <f>IF(AND('OFF_CONVAL'!Q165&lt;&gt;"",NOT(ISNUMBER('OFF_CONVAL'!Q165))),1,0)</f>
        <v/>
      </c>
    </row>
    <row r="166">
      <c r="A166">
        <f>IF(AND('OFF_CONVAL'!A166&lt;&gt;"",NOT(ISNUMBER('OFF_CONVAL'!A166))),1,0)</f>
        <v/>
      </c>
      <c r="B166">
        <f>IF(AND('OFF_CONVAL'!B166&lt;&gt;"",LEN('OFF_CONVAL'!B166)&gt;20),1,0)</f>
        <v/>
      </c>
      <c r="C166">
        <f>IF(AND('OFF_CONVAL'!C166&lt;&gt;"",OR(LEN('OFF_CONVAL'!C166)&gt;1,COUNTIF(CL_POSICIONOPERACION_V4,'OFF_CONVAL'!C166)=0)),1,0)</f>
        <v/>
      </c>
      <c r="D166">
        <f>IF(AND('OFF_CONVAL'!D166&lt;&gt;"",OR(LEN('OFF_CONVAL'!D166)&gt;2,COUNTIF(CL_OBJ_OPE_V1,'OFF_CONVAL'!D166)=0)),1,0)</f>
        <v/>
      </c>
      <c r="E166">
        <f>IF(AND('OFF_CONVAL'!E166&lt;&gt;"",COUNTIF(CL_PAQ_EST_DER_V1,'OFF_CONVAL'!E166)=0),1,0)</f>
        <v/>
      </c>
      <c r="F166">
        <f>IF(AND('OFF_CONVAL'!F166&lt;&gt;"",LEN('OFF_CONVAL'!F166)&gt;20),1,0)</f>
        <v/>
      </c>
      <c r="G166">
        <f>IF(AND('OFF_CONVAL'!G166&lt;&gt;"",IF(ISNUMBER('OFF_CONVAL'!G166),OR('OFF_CONVAL'!G166&lt;&gt;INT('OFF_CONVAL'!G166),LEN(TEXT(ABS('OFF_CONVAL'!G166),"0"))&gt;3),TRUE)),1,0)</f>
        <v/>
      </c>
      <c r="H166">
        <f>IF(AND('OFF_CONVAL'!H166&lt;&gt;"",IF(ISNUMBER('OFF_CONVAL'!H166),OR('OFF_CONVAL'!H166&lt;&gt;INT('OFF_CONVAL'!H166),LEN(TEXT(ABS('OFF_CONVAL'!H166),"0"))&gt;15),TRUE)),1,0)</f>
        <v/>
      </c>
      <c r="I166">
        <f>IF(AND('OFF_CONVAL'!I166&lt;&gt;"",OR(LEN('OFF_CONVAL'!I166)&gt;3,COUNTIF(CL_MONEDAISO,'OFF_CONVAL'!I166)=0)),1,0)</f>
        <v/>
      </c>
      <c r="J166">
        <f>IF(AND('OFF_CONVAL'!J166&lt;&gt;"",IF(ISNUMBER('OFF_CONVAL'!J166),OR('OFF_CONVAL'!J166&lt;&gt;INT('OFF_CONVAL'!J166),LEN(TEXT(ABS('OFF_CONVAL'!J166),"0"))&gt;15),TRUE)),1,0)</f>
        <v/>
      </c>
      <c r="K166">
        <f>IF(AND('OFF_CONVAL'!K166&lt;&gt;"",OR(LEN('OFF_CONVAL'!K166)&gt;3,COUNTIF(CL_MONEDAISO,'OFF_CONVAL'!K166)=0)),1,0)</f>
        <v/>
      </c>
      <c r="L166">
        <f>IF(AND('OFF_CONVAL'!L166&lt;&gt;"",IF(ISNUMBER('OFF_CONVAL'!L166),OR('OFF_CONVAL'!L166&lt;&gt;INT('OFF_CONVAL'!L166),LEN(TEXT(ABS('OFF_CONVAL'!L166),"0"))&gt;5),TRUE)),1,0)</f>
        <v/>
      </c>
      <c r="M166">
        <f>IF(AND('OFF_CONVAL'!M166&lt;&gt;"",IF(ISNUMBER('OFF_CONVAL'!M166),OR('OFF_CONVAL'!M166&lt;&gt;INT('OFF_CONVAL'!M166),LEN(TEXT(ABS('OFF_CONVAL'!M166),"0"))&gt;5),TRUE)),1,0)</f>
        <v/>
      </c>
      <c r="N166">
        <f>IF(AND('OFF_CONVAL'!N166&lt;&gt;"",LEN('OFF_CONVAL'!N166)&gt;20),1,0)</f>
        <v/>
      </c>
      <c r="O166">
        <f>IF(AND('OFF_CONVAL'!O166&lt;&gt;"",IF(ISNUMBER('OFF_CONVAL'!O166),OR('OFF_CONVAL'!O166&lt;&gt;INT('OFF_CONVAL'!O166),LEN(TEXT(ABS('OFF_CONVAL'!O166),"0"))&gt;15),TRUE)),1,0)</f>
        <v/>
      </c>
      <c r="P166">
        <f>IF(AND('OFF_CONVAL'!P166&lt;&gt;"",OR(LEN('OFF_CONVAL'!P166)&gt;3,COUNTIF(CL_MONEDAISO,'OFF_CONVAL'!P166)=0)),1,0)</f>
        <v/>
      </c>
      <c r="Q166">
        <f>IF(AND('OFF_CONVAL'!Q166&lt;&gt;"",NOT(ISNUMBER('OFF_CONVAL'!Q166))),1,0)</f>
        <v/>
      </c>
    </row>
    <row r="167">
      <c r="A167">
        <f>IF(AND('OFF_CONVAL'!A167&lt;&gt;"",NOT(ISNUMBER('OFF_CONVAL'!A167))),1,0)</f>
        <v/>
      </c>
      <c r="B167">
        <f>IF(AND('OFF_CONVAL'!B167&lt;&gt;"",LEN('OFF_CONVAL'!B167)&gt;20),1,0)</f>
        <v/>
      </c>
      <c r="C167">
        <f>IF(AND('OFF_CONVAL'!C167&lt;&gt;"",OR(LEN('OFF_CONVAL'!C167)&gt;1,COUNTIF(CL_POSICIONOPERACION_V4,'OFF_CONVAL'!C167)=0)),1,0)</f>
        <v/>
      </c>
      <c r="D167">
        <f>IF(AND('OFF_CONVAL'!D167&lt;&gt;"",OR(LEN('OFF_CONVAL'!D167)&gt;2,COUNTIF(CL_OBJ_OPE_V1,'OFF_CONVAL'!D167)=0)),1,0)</f>
        <v/>
      </c>
      <c r="E167">
        <f>IF(AND('OFF_CONVAL'!E167&lt;&gt;"",COUNTIF(CL_PAQ_EST_DER_V1,'OFF_CONVAL'!E167)=0),1,0)</f>
        <v/>
      </c>
      <c r="F167">
        <f>IF(AND('OFF_CONVAL'!F167&lt;&gt;"",LEN('OFF_CONVAL'!F167)&gt;20),1,0)</f>
        <v/>
      </c>
      <c r="G167">
        <f>IF(AND('OFF_CONVAL'!G167&lt;&gt;"",IF(ISNUMBER('OFF_CONVAL'!G167),OR('OFF_CONVAL'!G167&lt;&gt;INT('OFF_CONVAL'!G167),LEN(TEXT(ABS('OFF_CONVAL'!G167),"0"))&gt;3),TRUE)),1,0)</f>
        <v/>
      </c>
      <c r="H167">
        <f>IF(AND('OFF_CONVAL'!H167&lt;&gt;"",IF(ISNUMBER('OFF_CONVAL'!H167),OR('OFF_CONVAL'!H167&lt;&gt;INT('OFF_CONVAL'!H167),LEN(TEXT(ABS('OFF_CONVAL'!H167),"0"))&gt;15),TRUE)),1,0)</f>
        <v/>
      </c>
      <c r="I167">
        <f>IF(AND('OFF_CONVAL'!I167&lt;&gt;"",OR(LEN('OFF_CONVAL'!I167)&gt;3,COUNTIF(CL_MONEDAISO,'OFF_CONVAL'!I167)=0)),1,0)</f>
        <v/>
      </c>
      <c r="J167">
        <f>IF(AND('OFF_CONVAL'!J167&lt;&gt;"",IF(ISNUMBER('OFF_CONVAL'!J167),OR('OFF_CONVAL'!J167&lt;&gt;INT('OFF_CONVAL'!J167),LEN(TEXT(ABS('OFF_CONVAL'!J167),"0"))&gt;15),TRUE)),1,0)</f>
        <v/>
      </c>
      <c r="K167">
        <f>IF(AND('OFF_CONVAL'!K167&lt;&gt;"",OR(LEN('OFF_CONVAL'!K167)&gt;3,COUNTIF(CL_MONEDAISO,'OFF_CONVAL'!K167)=0)),1,0)</f>
        <v/>
      </c>
      <c r="L167">
        <f>IF(AND('OFF_CONVAL'!L167&lt;&gt;"",IF(ISNUMBER('OFF_CONVAL'!L167),OR('OFF_CONVAL'!L167&lt;&gt;INT('OFF_CONVAL'!L167),LEN(TEXT(ABS('OFF_CONVAL'!L167),"0"))&gt;5),TRUE)),1,0)</f>
        <v/>
      </c>
      <c r="M167">
        <f>IF(AND('OFF_CONVAL'!M167&lt;&gt;"",IF(ISNUMBER('OFF_CONVAL'!M167),OR('OFF_CONVAL'!M167&lt;&gt;INT('OFF_CONVAL'!M167),LEN(TEXT(ABS('OFF_CONVAL'!M167),"0"))&gt;5),TRUE)),1,0)</f>
        <v/>
      </c>
      <c r="N167">
        <f>IF(AND('OFF_CONVAL'!N167&lt;&gt;"",LEN('OFF_CONVAL'!N167)&gt;20),1,0)</f>
        <v/>
      </c>
      <c r="O167">
        <f>IF(AND('OFF_CONVAL'!O167&lt;&gt;"",IF(ISNUMBER('OFF_CONVAL'!O167),OR('OFF_CONVAL'!O167&lt;&gt;INT('OFF_CONVAL'!O167),LEN(TEXT(ABS('OFF_CONVAL'!O167),"0"))&gt;15),TRUE)),1,0)</f>
        <v/>
      </c>
      <c r="P167">
        <f>IF(AND('OFF_CONVAL'!P167&lt;&gt;"",OR(LEN('OFF_CONVAL'!P167)&gt;3,COUNTIF(CL_MONEDAISO,'OFF_CONVAL'!P167)=0)),1,0)</f>
        <v/>
      </c>
      <c r="Q167">
        <f>IF(AND('OFF_CONVAL'!Q167&lt;&gt;"",NOT(ISNUMBER('OFF_CONVAL'!Q167))),1,0)</f>
        <v/>
      </c>
    </row>
    <row r="168">
      <c r="A168">
        <f>IF(AND('OFF_CONVAL'!A168&lt;&gt;"",NOT(ISNUMBER('OFF_CONVAL'!A168))),1,0)</f>
        <v/>
      </c>
      <c r="B168">
        <f>IF(AND('OFF_CONVAL'!B168&lt;&gt;"",LEN('OFF_CONVAL'!B168)&gt;20),1,0)</f>
        <v/>
      </c>
      <c r="C168">
        <f>IF(AND('OFF_CONVAL'!C168&lt;&gt;"",OR(LEN('OFF_CONVAL'!C168)&gt;1,COUNTIF(CL_POSICIONOPERACION_V4,'OFF_CONVAL'!C168)=0)),1,0)</f>
        <v/>
      </c>
      <c r="D168">
        <f>IF(AND('OFF_CONVAL'!D168&lt;&gt;"",OR(LEN('OFF_CONVAL'!D168)&gt;2,COUNTIF(CL_OBJ_OPE_V1,'OFF_CONVAL'!D168)=0)),1,0)</f>
        <v/>
      </c>
      <c r="E168">
        <f>IF(AND('OFF_CONVAL'!E168&lt;&gt;"",COUNTIF(CL_PAQ_EST_DER_V1,'OFF_CONVAL'!E168)=0),1,0)</f>
        <v/>
      </c>
      <c r="F168">
        <f>IF(AND('OFF_CONVAL'!F168&lt;&gt;"",LEN('OFF_CONVAL'!F168)&gt;20),1,0)</f>
        <v/>
      </c>
      <c r="G168">
        <f>IF(AND('OFF_CONVAL'!G168&lt;&gt;"",IF(ISNUMBER('OFF_CONVAL'!G168),OR('OFF_CONVAL'!G168&lt;&gt;INT('OFF_CONVAL'!G168),LEN(TEXT(ABS('OFF_CONVAL'!G168),"0"))&gt;3),TRUE)),1,0)</f>
        <v/>
      </c>
      <c r="H168">
        <f>IF(AND('OFF_CONVAL'!H168&lt;&gt;"",IF(ISNUMBER('OFF_CONVAL'!H168),OR('OFF_CONVAL'!H168&lt;&gt;INT('OFF_CONVAL'!H168),LEN(TEXT(ABS('OFF_CONVAL'!H168),"0"))&gt;15),TRUE)),1,0)</f>
        <v/>
      </c>
      <c r="I168">
        <f>IF(AND('OFF_CONVAL'!I168&lt;&gt;"",OR(LEN('OFF_CONVAL'!I168)&gt;3,COUNTIF(CL_MONEDAISO,'OFF_CONVAL'!I168)=0)),1,0)</f>
        <v/>
      </c>
      <c r="J168">
        <f>IF(AND('OFF_CONVAL'!J168&lt;&gt;"",IF(ISNUMBER('OFF_CONVAL'!J168),OR('OFF_CONVAL'!J168&lt;&gt;INT('OFF_CONVAL'!J168),LEN(TEXT(ABS('OFF_CONVAL'!J168),"0"))&gt;15),TRUE)),1,0)</f>
        <v/>
      </c>
      <c r="K168">
        <f>IF(AND('OFF_CONVAL'!K168&lt;&gt;"",OR(LEN('OFF_CONVAL'!K168)&gt;3,COUNTIF(CL_MONEDAISO,'OFF_CONVAL'!K168)=0)),1,0)</f>
        <v/>
      </c>
      <c r="L168">
        <f>IF(AND('OFF_CONVAL'!L168&lt;&gt;"",IF(ISNUMBER('OFF_CONVAL'!L168),OR('OFF_CONVAL'!L168&lt;&gt;INT('OFF_CONVAL'!L168),LEN(TEXT(ABS('OFF_CONVAL'!L168),"0"))&gt;5),TRUE)),1,0)</f>
        <v/>
      </c>
      <c r="M168">
        <f>IF(AND('OFF_CONVAL'!M168&lt;&gt;"",IF(ISNUMBER('OFF_CONVAL'!M168),OR('OFF_CONVAL'!M168&lt;&gt;INT('OFF_CONVAL'!M168),LEN(TEXT(ABS('OFF_CONVAL'!M168),"0"))&gt;5),TRUE)),1,0)</f>
        <v/>
      </c>
      <c r="N168">
        <f>IF(AND('OFF_CONVAL'!N168&lt;&gt;"",LEN('OFF_CONVAL'!N168)&gt;20),1,0)</f>
        <v/>
      </c>
      <c r="O168">
        <f>IF(AND('OFF_CONVAL'!O168&lt;&gt;"",IF(ISNUMBER('OFF_CONVAL'!O168),OR('OFF_CONVAL'!O168&lt;&gt;INT('OFF_CONVAL'!O168),LEN(TEXT(ABS('OFF_CONVAL'!O168),"0"))&gt;15),TRUE)),1,0)</f>
        <v/>
      </c>
      <c r="P168">
        <f>IF(AND('OFF_CONVAL'!P168&lt;&gt;"",OR(LEN('OFF_CONVAL'!P168)&gt;3,COUNTIF(CL_MONEDAISO,'OFF_CONVAL'!P168)=0)),1,0)</f>
        <v/>
      </c>
      <c r="Q168">
        <f>IF(AND('OFF_CONVAL'!Q168&lt;&gt;"",NOT(ISNUMBER('OFF_CONVAL'!Q168))),1,0)</f>
        <v/>
      </c>
    </row>
    <row r="169">
      <c r="A169">
        <f>IF(AND('OFF_CONVAL'!A169&lt;&gt;"",NOT(ISNUMBER('OFF_CONVAL'!A169))),1,0)</f>
        <v/>
      </c>
      <c r="B169">
        <f>IF(AND('OFF_CONVAL'!B169&lt;&gt;"",LEN('OFF_CONVAL'!B169)&gt;20),1,0)</f>
        <v/>
      </c>
      <c r="C169">
        <f>IF(AND('OFF_CONVAL'!C169&lt;&gt;"",OR(LEN('OFF_CONVAL'!C169)&gt;1,COUNTIF(CL_POSICIONOPERACION_V4,'OFF_CONVAL'!C169)=0)),1,0)</f>
        <v/>
      </c>
      <c r="D169">
        <f>IF(AND('OFF_CONVAL'!D169&lt;&gt;"",OR(LEN('OFF_CONVAL'!D169)&gt;2,COUNTIF(CL_OBJ_OPE_V1,'OFF_CONVAL'!D169)=0)),1,0)</f>
        <v/>
      </c>
      <c r="E169">
        <f>IF(AND('OFF_CONVAL'!E169&lt;&gt;"",COUNTIF(CL_PAQ_EST_DER_V1,'OFF_CONVAL'!E169)=0),1,0)</f>
        <v/>
      </c>
      <c r="F169">
        <f>IF(AND('OFF_CONVAL'!F169&lt;&gt;"",LEN('OFF_CONVAL'!F169)&gt;20),1,0)</f>
        <v/>
      </c>
      <c r="G169">
        <f>IF(AND('OFF_CONVAL'!G169&lt;&gt;"",IF(ISNUMBER('OFF_CONVAL'!G169),OR('OFF_CONVAL'!G169&lt;&gt;INT('OFF_CONVAL'!G169),LEN(TEXT(ABS('OFF_CONVAL'!G169),"0"))&gt;3),TRUE)),1,0)</f>
        <v/>
      </c>
      <c r="H169">
        <f>IF(AND('OFF_CONVAL'!H169&lt;&gt;"",IF(ISNUMBER('OFF_CONVAL'!H169),OR('OFF_CONVAL'!H169&lt;&gt;INT('OFF_CONVAL'!H169),LEN(TEXT(ABS('OFF_CONVAL'!H169),"0"))&gt;15),TRUE)),1,0)</f>
        <v/>
      </c>
      <c r="I169">
        <f>IF(AND('OFF_CONVAL'!I169&lt;&gt;"",OR(LEN('OFF_CONVAL'!I169)&gt;3,COUNTIF(CL_MONEDAISO,'OFF_CONVAL'!I169)=0)),1,0)</f>
        <v/>
      </c>
      <c r="J169">
        <f>IF(AND('OFF_CONVAL'!J169&lt;&gt;"",IF(ISNUMBER('OFF_CONVAL'!J169),OR('OFF_CONVAL'!J169&lt;&gt;INT('OFF_CONVAL'!J169),LEN(TEXT(ABS('OFF_CONVAL'!J169),"0"))&gt;15),TRUE)),1,0)</f>
        <v/>
      </c>
      <c r="K169">
        <f>IF(AND('OFF_CONVAL'!K169&lt;&gt;"",OR(LEN('OFF_CONVAL'!K169)&gt;3,COUNTIF(CL_MONEDAISO,'OFF_CONVAL'!K169)=0)),1,0)</f>
        <v/>
      </c>
      <c r="L169">
        <f>IF(AND('OFF_CONVAL'!L169&lt;&gt;"",IF(ISNUMBER('OFF_CONVAL'!L169),OR('OFF_CONVAL'!L169&lt;&gt;INT('OFF_CONVAL'!L169),LEN(TEXT(ABS('OFF_CONVAL'!L169),"0"))&gt;5),TRUE)),1,0)</f>
        <v/>
      </c>
      <c r="M169">
        <f>IF(AND('OFF_CONVAL'!M169&lt;&gt;"",IF(ISNUMBER('OFF_CONVAL'!M169),OR('OFF_CONVAL'!M169&lt;&gt;INT('OFF_CONVAL'!M169),LEN(TEXT(ABS('OFF_CONVAL'!M169),"0"))&gt;5),TRUE)),1,0)</f>
        <v/>
      </c>
      <c r="N169">
        <f>IF(AND('OFF_CONVAL'!N169&lt;&gt;"",LEN('OFF_CONVAL'!N169)&gt;20),1,0)</f>
        <v/>
      </c>
      <c r="O169">
        <f>IF(AND('OFF_CONVAL'!O169&lt;&gt;"",IF(ISNUMBER('OFF_CONVAL'!O169),OR('OFF_CONVAL'!O169&lt;&gt;INT('OFF_CONVAL'!O169),LEN(TEXT(ABS('OFF_CONVAL'!O169),"0"))&gt;15),TRUE)),1,0)</f>
        <v/>
      </c>
      <c r="P169">
        <f>IF(AND('OFF_CONVAL'!P169&lt;&gt;"",OR(LEN('OFF_CONVAL'!P169)&gt;3,COUNTIF(CL_MONEDAISO,'OFF_CONVAL'!P169)=0)),1,0)</f>
        <v/>
      </c>
      <c r="Q169">
        <f>IF(AND('OFF_CONVAL'!Q169&lt;&gt;"",NOT(ISNUMBER('OFF_CONVAL'!Q169))),1,0)</f>
        <v/>
      </c>
    </row>
    <row r="170">
      <c r="A170">
        <f>IF(AND('OFF_CONVAL'!A170&lt;&gt;"",NOT(ISNUMBER('OFF_CONVAL'!A170))),1,0)</f>
        <v/>
      </c>
      <c r="B170">
        <f>IF(AND('OFF_CONVAL'!B170&lt;&gt;"",LEN('OFF_CONVAL'!B170)&gt;20),1,0)</f>
        <v/>
      </c>
      <c r="C170">
        <f>IF(AND('OFF_CONVAL'!C170&lt;&gt;"",OR(LEN('OFF_CONVAL'!C170)&gt;1,COUNTIF(CL_POSICIONOPERACION_V4,'OFF_CONVAL'!C170)=0)),1,0)</f>
        <v/>
      </c>
      <c r="D170">
        <f>IF(AND('OFF_CONVAL'!D170&lt;&gt;"",OR(LEN('OFF_CONVAL'!D170)&gt;2,COUNTIF(CL_OBJ_OPE_V1,'OFF_CONVAL'!D170)=0)),1,0)</f>
        <v/>
      </c>
      <c r="E170">
        <f>IF(AND('OFF_CONVAL'!E170&lt;&gt;"",COUNTIF(CL_PAQ_EST_DER_V1,'OFF_CONVAL'!E170)=0),1,0)</f>
        <v/>
      </c>
      <c r="F170">
        <f>IF(AND('OFF_CONVAL'!F170&lt;&gt;"",LEN('OFF_CONVAL'!F170)&gt;20),1,0)</f>
        <v/>
      </c>
      <c r="G170">
        <f>IF(AND('OFF_CONVAL'!G170&lt;&gt;"",IF(ISNUMBER('OFF_CONVAL'!G170),OR('OFF_CONVAL'!G170&lt;&gt;INT('OFF_CONVAL'!G170),LEN(TEXT(ABS('OFF_CONVAL'!G170),"0"))&gt;3),TRUE)),1,0)</f>
        <v/>
      </c>
      <c r="H170">
        <f>IF(AND('OFF_CONVAL'!H170&lt;&gt;"",IF(ISNUMBER('OFF_CONVAL'!H170),OR('OFF_CONVAL'!H170&lt;&gt;INT('OFF_CONVAL'!H170),LEN(TEXT(ABS('OFF_CONVAL'!H170),"0"))&gt;15),TRUE)),1,0)</f>
        <v/>
      </c>
      <c r="I170">
        <f>IF(AND('OFF_CONVAL'!I170&lt;&gt;"",OR(LEN('OFF_CONVAL'!I170)&gt;3,COUNTIF(CL_MONEDAISO,'OFF_CONVAL'!I170)=0)),1,0)</f>
        <v/>
      </c>
      <c r="J170">
        <f>IF(AND('OFF_CONVAL'!J170&lt;&gt;"",IF(ISNUMBER('OFF_CONVAL'!J170),OR('OFF_CONVAL'!J170&lt;&gt;INT('OFF_CONVAL'!J170),LEN(TEXT(ABS('OFF_CONVAL'!J170),"0"))&gt;15),TRUE)),1,0)</f>
        <v/>
      </c>
      <c r="K170">
        <f>IF(AND('OFF_CONVAL'!K170&lt;&gt;"",OR(LEN('OFF_CONVAL'!K170)&gt;3,COUNTIF(CL_MONEDAISO,'OFF_CONVAL'!K170)=0)),1,0)</f>
        <v/>
      </c>
      <c r="L170">
        <f>IF(AND('OFF_CONVAL'!L170&lt;&gt;"",IF(ISNUMBER('OFF_CONVAL'!L170),OR('OFF_CONVAL'!L170&lt;&gt;INT('OFF_CONVAL'!L170),LEN(TEXT(ABS('OFF_CONVAL'!L170),"0"))&gt;5),TRUE)),1,0)</f>
        <v/>
      </c>
      <c r="M170">
        <f>IF(AND('OFF_CONVAL'!M170&lt;&gt;"",IF(ISNUMBER('OFF_CONVAL'!M170),OR('OFF_CONVAL'!M170&lt;&gt;INT('OFF_CONVAL'!M170),LEN(TEXT(ABS('OFF_CONVAL'!M170),"0"))&gt;5),TRUE)),1,0)</f>
        <v/>
      </c>
      <c r="N170">
        <f>IF(AND('OFF_CONVAL'!N170&lt;&gt;"",LEN('OFF_CONVAL'!N170)&gt;20),1,0)</f>
        <v/>
      </c>
      <c r="O170">
        <f>IF(AND('OFF_CONVAL'!O170&lt;&gt;"",IF(ISNUMBER('OFF_CONVAL'!O170),OR('OFF_CONVAL'!O170&lt;&gt;INT('OFF_CONVAL'!O170),LEN(TEXT(ABS('OFF_CONVAL'!O170),"0"))&gt;15),TRUE)),1,0)</f>
        <v/>
      </c>
      <c r="P170">
        <f>IF(AND('OFF_CONVAL'!P170&lt;&gt;"",OR(LEN('OFF_CONVAL'!P170)&gt;3,COUNTIF(CL_MONEDAISO,'OFF_CONVAL'!P170)=0)),1,0)</f>
        <v/>
      </c>
      <c r="Q170">
        <f>IF(AND('OFF_CONVAL'!Q170&lt;&gt;"",NOT(ISNUMBER('OFF_CONVAL'!Q170))),1,0)</f>
        <v/>
      </c>
    </row>
    <row r="171">
      <c r="A171">
        <f>IF(AND('OFF_CONVAL'!A171&lt;&gt;"",NOT(ISNUMBER('OFF_CONVAL'!A171))),1,0)</f>
        <v/>
      </c>
      <c r="B171">
        <f>IF(AND('OFF_CONVAL'!B171&lt;&gt;"",LEN('OFF_CONVAL'!B171)&gt;20),1,0)</f>
        <v/>
      </c>
      <c r="C171">
        <f>IF(AND('OFF_CONVAL'!C171&lt;&gt;"",OR(LEN('OFF_CONVAL'!C171)&gt;1,COUNTIF(CL_POSICIONOPERACION_V4,'OFF_CONVAL'!C171)=0)),1,0)</f>
        <v/>
      </c>
      <c r="D171">
        <f>IF(AND('OFF_CONVAL'!D171&lt;&gt;"",OR(LEN('OFF_CONVAL'!D171)&gt;2,COUNTIF(CL_OBJ_OPE_V1,'OFF_CONVAL'!D171)=0)),1,0)</f>
        <v/>
      </c>
      <c r="E171">
        <f>IF(AND('OFF_CONVAL'!E171&lt;&gt;"",COUNTIF(CL_PAQ_EST_DER_V1,'OFF_CONVAL'!E171)=0),1,0)</f>
        <v/>
      </c>
      <c r="F171">
        <f>IF(AND('OFF_CONVAL'!F171&lt;&gt;"",LEN('OFF_CONVAL'!F171)&gt;20),1,0)</f>
        <v/>
      </c>
      <c r="G171">
        <f>IF(AND('OFF_CONVAL'!G171&lt;&gt;"",IF(ISNUMBER('OFF_CONVAL'!G171),OR('OFF_CONVAL'!G171&lt;&gt;INT('OFF_CONVAL'!G171),LEN(TEXT(ABS('OFF_CONVAL'!G171),"0"))&gt;3),TRUE)),1,0)</f>
        <v/>
      </c>
      <c r="H171">
        <f>IF(AND('OFF_CONVAL'!H171&lt;&gt;"",IF(ISNUMBER('OFF_CONVAL'!H171),OR('OFF_CONVAL'!H171&lt;&gt;INT('OFF_CONVAL'!H171),LEN(TEXT(ABS('OFF_CONVAL'!H171),"0"))&gt;15),TRUE)),1,0)</f>
        <v/>
      </c>
      <c r="I171">
        <f>IF(AND('OFF_CONVAL'!I171&lt;&gt;"",OR(LEN('OFF_CONVAL'!I171)&gt;3,COUNTIF(CL_MONEDAISO,'OFF_CONVAL'!I171)=0)),1,0)</f>
        <v/>
      </c>
      <c r="J171">
        <f>IF(AND('OFF_CONVAL'!J171&lt;&gt;"",IF(ISNUMBER('OFF_CONVAL'!J171),OR('OFF_CONVAL'!J171&lt;&gt;INT('OFF_CONVAL'!J171),LEN(TEXT(ABS('OFF_CONVAL'!J171),"0"))&gt;15),TRUE)),1,0)</f>
        <v/>
      </c>
      <c r="K171">
        <f>IF(AND('OFF_CONVAL'!K171&lt;&gt;"",OR(LEN('OFF_CONVAL'!K171)&gt;3,COUNTIF(CL_MONEDAISO,'OFF_CONVAL'!K171)=0)),1,0)</f>
        <v/>
      </c>
      <c r="L171">
        <f>IF(AND('OFF_CONVAL'!L171&lt;&gt;"",IF(ISNUMBER('OFF_CONVAL'!L171),OR('OFF_CONVAL'!L171&lt;&gt;INT('OFF_CONVAL'!L171),LEN(TEXT(ABS('OFF_CONVAL'!L171),"0"))&gt;5),TRUE)),1,0)</f>
        <v/>
      </c>
      <c r="M171">
        <f>IF(AND('OFF_CONVAL'!M171&lt;&gt;"",IF(ISNUMBER('OFF_CONVAL'!M171),OR('OFF_CONVAL'!M171&lt;&gt;INT('OFF_CONVAL'!M171),LEN(TEXT(ABS('OFF_CONVAL'!M171),"0"))&gt;5),TRUE)),1,0)</f>
        <v/>
      </c>
      <c r="N171">
        <f>IF(AND('OFF_CONVAL'!N171&lt;&gt;"",LEN('OFF_CONVAL'!N171)&gt;20),1,0)</f>
        <v/>
      </c>
      <c r="O171">
        <f>IF(AND('OFF_CONVAL'!O171&lt;&gt;"",IF(ISNUMBER('OFF_CONVAL'!O171),OR('OFF_CONVAL'!O171&lt;&gt;INT('OFF_CONVAL'!O171),LEN(TEXT(ABS('OFF_CONVAL'!O171),"0"))&gt;15),TRUE)),1,0)</f>
        <v/>
      </c>
      <c r="P171">
        <f>IF(AND('OFF_CONVAL'!P171&lt;&gt;"",OR(LEN('OFF_CONVAL'!P171)&gt;3,COUNTIF(CL_MONEDAISO,'OFF_CONVAL'!P171)=0)),1,0)</f>
        <v/>
      </c>
      <c r="Q171">
        <f>IF(AND('OFF_CONVAL'!Q171&lt;&gt;"",NOT(ISNUMBER('OFF_CONVAL'!Q171))),1,0)</f>
        <v/>
      </c>
    </row>
    <row r="172">
      <c r="A172">
        <f>IF(AND('OFF_CONVAL'!A172&lt;&gt;"",NOT(ISNUMBER('OFF_CONVAL'!A172))),1,0)</f>
        <v/>
      </c>
      <c r="B172">
        <f>IF(AND('OFF_CONVAL'!B172&lt;&gt;"",LEN('OFF_CONVAL'!B172)&gt;20),1,0)</f>
        <v/>
      </c>
      <c r="C172">
        <f>IF(AND('OFF_CONVAL'!C172&lt;&gt;"",OR(LEN('OFF_CONVAL'!C172)&gt;1,COUNTIF(CL_POSICIONOPERACION_V4,'OFF_CONVAL'!C172)=0)),1,0)</f>
        <v/>
      </c>
      <c r="D172">
        <f>IF(AND('OFF_CONVAL'!D172&lt;&gt;"",OR(LEN('OFF_CONVAL'!D172)&gt;2,COUNTIF(CL_OBJ_OPE_V1,'OFF_CONVAL'!D172)=0)),1,0)</f>
        <v/>
      </c>
      <c r="E172">
        <f>IF(AND('OFF_CONVAL'!E172&lt;&gt;"",COUNTIF(CL_PAQ_EST_DER_V1,'OFF_CONVAL'!E172)=0),1,0)</f>
        <v/>
      </c>
      <c r="F172">
        <f>IF(AND('OFF_CONVAL'!F172&lt;&gt;"",LEN('OFF_CONVAL'!F172)&gt;20),1,0)</f>
        <v/>
      </c>
      <c r="G172">
        <f>IF(AND('OFF_CONVAL'!G172&lt;&gt;"",IF(ISNUMBER('OFF_CONVAL'!G172),OR('OFF_CONVAL'!G172&lt;&gt;INT('OFF_CONVAL'!G172),LEN(TEXT(ABS('OFF_CONVAL'!G172),"0"))&gt;3),TRUE)),1,0)</f>
        <v/>
      </c>
      <c r="H172">
        <f>IF(AND('OFF_CONVAL'!H172&lt;&gt;"",IF(ISNUMBER('OFF_CONVAL'!H172),OR('OFF_CONVAL'!H172&lt;&gt;INT('OFF_CONVAL'!H172),LEN(TEXT(ABS('OFF_CONVAL'!H172),"0"))&gt;15),TRUE)),1,0)</f>
        <v/>
      </c>
      <c r="I172">
        <f>IF(AND('OFF_CONVAL'!I172&lt;&gt;"",OR(LEN('OFF_CONVAL'!I172)&gt;3,COUNTIF(CL_MONEDAISO,'OFF_CONVAL'!I172)=0)),1,0)</f>
        <v/>
      </c>
      <c r="J172">
        <f>IF(AND('OFF_CONVAL'!J172&lt;&gt;"",IF(ISNUMBER('OFF_CONVAL'!J172),OR('OFF_CONVAL'!J172&lt;&gt;INT('OFF_CONVAL'!J172),LEN(TEXT(ABS('OFF_CONVAL'!J172),"0"))&gt;15),TRUE)),1,0)</f>
        <v/>
      </c>
      <c r="K172">
        <f>IF(AND('OFF_CONVAL'!K172&lt;&gt;"",OR(LEN('OFF_CONVAL'!K172)&gt;3,COUNTIF(CL_MONEDAISO,'OFF_CONVAL'!K172)=0)),1,0)</f>
        <v/>
      </c>
      <c r="L172">
        <f>IF(AND('OFF_CONVAL'!L172&lt;&gt;"",IF(ISNUMBER('OFF_CONVAL'!L172),OR('OFF_CONVAL'!L172&lt;&gt;INT('OFF_CONVAL'!L172),LEN(TEXT(ABS('OFF_CONVAL'!L172),"0"))&gt;5),TRUE)),1,0)</f>
        <v/>
      </c>
      <c r="M172">
        <f>IF(AND('OFF_CONVAL'!M172&lt;&gt;"",IF(ISNUMBER('OFF_CONVAL'!M172),OR('OFF_CONVAL'!M172&lt;&gt;INT('OFF_CONVAL'!M172),LEN(TEXT(ABS('OFF_CONVAL'!M172),"0"))&gt;5),TRUE)),1,0)</f>
        <v/>
      </c>
      <c r="N172">
        <f>IF(AND('OFF_CONVAL'!N172&lt;&gt;"",LEN('OFF_CONVAL'!N172)&gt;20),1,0)</f>
        <v/>
      </c>
      <c r="O172">
        <f>IF(AND('OFF_CONVAL'!O172&lt;&gt;"",IF(ISNUMBER('OFF_CONVAL'!O172),OR('OFF_CONVAL'!O172&lt;&gt;INT('OFF_CONVAL'!O172),LEN(TEXT(ABS('OFF_CONVAL'!O172),"0"))&gt;15),TRUE)),1,0)</f>
        <v/>
      </c>
      <c r="P172">
        <f>IF(AND('OFF_CONVAL'!P172&lt;&gt;"",OR(LEN('OFF_CONVAL'!P172)&gt;3,COUNTIF(CL_MONEDAISO,'OFF_CONVAL'!P172)=0)),1,0)</f>
        <v/>
      </c>
      <c r="Q172">
        <f>IF(AND('OFF_CONVAL'!Q172&lt;&gt;"",NOT(ISNUMBER('OFF_CONVAL'!Q172))),1,0)</f>
        <v/>
      </c>
    </row>
    <row r="173">
      <c r="A173">
        <f>IF(AND('OFF_CONVAL'!A173&lt;&gt;"",NOT(ISNUMBER('OFF_CONVAL'!A173))),1,0)</f>
        <v/>
      </c>
      <c r="B173">
        <f>IF(AND('OFF_CONVAL'!B173&lt;&gt;"",LEN('OFF_CONVAL'!B173)&gt;20),1,0)</f>
        <v/>
      </c>
      <c r="C173">
        <f>IF(AND('OFF_CONVAL'!C173&lt;&gt;"",OR(LEN('OFF_CONVAL'!C173)&gt;1,COUNTIF(CL_POSICIONOPERACION_V4,'OFF_CONVAL'!C173)=0)),1,0)</f>
        <v/>
      </c>
      <c r="D173">
        <f>IF(AND('OFF_CONVAL'!D173&lt;&gt;"",OR(LEN('OFF_CONVAL'!D173)&gt;2,COUNTIF(CL_OBJ_OPE_V1,'OFF_CONVAL'!D173)=0)),1,0)</f>
        <v/>
      </c>
      <c r="E173">
        <f>IF(AND('OFF_CONVAL'!E173&lt;&gt;"",COUNTIF(CL_PAQ_EST_DER_V1,'OFF_CONVAL'!E173)=0),1,0)</f>
        <v/>
      </c>
      <c r="F173">
        <f>IF(AND('OFF_CONVAL'!F173&lt;&gt;"",LEN('OFF_CONVAL'!F173)&gt;20),1,0)</f>
        <v/>
      </c>
      <c r="G173">
        <f>IF(AND('OFF_CONVAL'!G173&lt;&gt;"",IF(ISNUMBER('OFF_CONVAL'!G173),OR('OFF_CONVAL'!G173&lt;&gt;INT('OFF_CONVAL'!G173),LEN(TEXT(ABS('OFF_CONVAL'!G173),"0"))&gt;3),TRUE)),1,0)</f>
        <v/>
      </c>
      <c r="H173">
        <f>IF(AND('OFF_CONVAL'!H173&lt;&gt;"",IF(ISNUMBER('OFF_CONVAL'!H173),OR('OFF_CONVAL'!H173&lt;&gt;INT('OFF_CONVAL'!H173),LEN(TEXT(ABS('OFF_CONVAL'!H173),"0"))&gt;15),TRUE)),1,0)</f>
        <v/>
      </c>
      <c r="I173">
        <f>IF(AND('OFF_CONVAL'!I173&lt;&gt;"",OR(LEN('OFF_CONVAL'!I173)&gt;3,COUNTIF(CL_MONEDAISO,'OFF_CONVAL'!I173)=0)),1,0)</f>
        <v/>
      </c>
      <c r="J173">
        <f>IF(AND('OFF_CONVAL'!J173&lt;&gt;"",IF(ISNUMBER('OFF_CONVAL'!J173),OR('OFF_CONVAL'!J173&lt;&gt;INT('OFF_CONVAL'!J173),LEN(TEXT(ABS('OFF_CONVAL'!J173),"0"))&gt;15),TRUE)),1,0)</f>
        <v/>
      </c>
      <c r="K173">
        <f>IF(AND('OFF_CONVAL'!K173&lt;&gt;"",OR(LEN('OFF_CONVAL'!K173)&gt;3,COUNTIF(CL_MONEDAISO,'OFF_CONVAL'!K173)=0)),1,0)</f>
        <v/>
      </c>
      <c r="L173">
        <f>IF(AND('OFF_CONVAL'!L173&lt;&gt;"",IF(ISNUMBER('OFF_CONVAL'!L173),OR('OFF_CONVAL'!L173&lt;&gt;INT('OFF_CONVAL'!L173),LEN(TEXT(ABS('OFF_CONVAL'!L173),"0"))&gt;5),TRUE)),1,0)</f>
        <v/>
      </c>
      <c r="M173">
        <f>IF(AND('OFF_CONVAL'!M173&lt;&gt;"",IF(ISNUMBER('OFF_CONVAL'!M173),OR('OFF_CONVAL'!M173&lt;&gt;INT('OFF_CONVAL'!M173),LEN(TEXT(ABS('OFF_CONVAL'!M173),"0"))&gt;5),TRUE)),1,0)</f>
        <v/>
      </c>
      <c r="N173">
        <f>IF(AND('OFF_CONVAL'!N173&lt;&gt;"",LEN('OFF_CONVAL'!N173)&gt;20),1,0)</f>
        <v/>
      </c>
      <c r="O173">
        <f>IF(AND('OFF_CONVAL'!O173&lt;&gt;"",IF(ISNUMBER('OFF_CONVAL'!O173),OR('OFF_CONVAL'!O173&lt;&gt;INT('OFF_CONVAL'!O173),LEN(TEXT(ABS('OFF_CONVAL'!O173),"0"))&gt;15),TRUE)),1,0)</f>
        <v/>
      </c>
      <c r="P173">
        <f>IF(AND('OFF_CONVAL'!P173&lt;&gt;"",OR(LEN('OFF_CONVAL'!P173)&gt;3,COUNTIF(CL_MONEDAISO,'OFF_CONVAL'!P173)=0)),1,0)</f>
        <v/>
      </c>
      <c r="Q173">
        <f>IF(AND('OFF_CONVAL'!Q173&lt;&gt;"",NOT(ISNUMBER('OFF_CONVAL'!Q173))),1,0)</f>
        <v/>
      </c>
    </row>
    <row r="174">
      <c r="A174">
        <f>IF(AND('OFF_CONVAL'!A174&lt;&gt;"",NOT(ISNUMBER('OFF_CONVAL'!A174))),1,0)</f>
        <v/>
      </c>
      <c r="B174">
        <f>IF(AND('OFF_CONVAL'!B174&lt;&gt;"",LEN('OFF_CONVAL'!B174)&gt;20),1,0)</f>
        <v/>
      </c>
      <c r="C174">
        <f>IF(AND('OFF_CONVAL'!C174&lt;&gt;"",OR(LEN('OFF_CONVAL'!C174)&gt;1,COUNTIF(CL_POSICIONOPERACION_V4,'OFF_CONVAL'!C174)=0)),1,0)</f>
        <v/>
      </c>
      <c r="D174">
        <f>IF(AND('OFF_CONVAL'!D174&lt;&gt;"",OR(LEN('OFF_CONVAL'!D174)&gt;2,COUNTIF(CL_OBJ_OPE_V1,'OFF_CONVAL'!D174)=0)),1,0)</f>
        <v/>
      </c>
      <c r="E174">
        <f>IF(AND('OFF_CONVAL'!E174&lt;&gt;"",COUNTIF(CL_PAQ_EST_DER_V1,'OFF_CONVAL'!E174)=0),1,0)</f>
        <v/>
      </c>
      <c r="F174">
        <f>IF(AND('OFF_CONVAL'!F174&lt;&gt;"",LEN('OFF_CONVAL'!F174)&gt;20),1,0)</f>
        <v/>
      </c>
      <c r="G174">
        <f>IF(AND('OFF_CONVAL'!G174&lt;&gt;"",IF(ISNUMBER('OFF_CONVAL'!G174),OR('OFF_CONVAL'!G174&lt;&gt;INT('OFF_CONVAL'!G174),LEN(TEXT(ABS('OFF_CONVAL'!G174),"0"))&gt;3),TRUE)),1,0)</f>
        <v/>
      </c>
      <c r="H174">
        <f>IF(AND('OFF_CONVAL'!H174&lt;&gt;"",IF(ISNUMBER('OFF_CONVAL'!H174),OR('OFF_CONVAL'!H174&lt;&gt;INT('OFF_CONVAL'!H174),LEN(TEXT(ABS('OFF_CONVAL'!H174),"0"))&gt;15),TRUE)),1,0)</f>
        <v/>
      </c>
      <c r="I174">
        <f>IF(AND('OFF_CONVAL'!I174&lt;&gt;"",OR(LEN('OFF_CONVAL'!I174)&gt;3,COUNTIF(CL_MONEDAISO,'OFF_CONVAL'!I174)=0)),1,0)</f>
        <v/>
      </c>
      <c r="J174">
        <f>IF(AND('OFF_CONVAL'!J174&lt;&gt;"",IF(ISNUMBER('OFF_CONVAL'!J174),OR('OFF_CONVAL'!J174&lt;&gt;INT('OFF_CONVAL'!J174),LEN(TEXT(ABS('OFF_CONVAL'!J174),"0"))&gt;15),TRUE)),1,0)</f>
        <v/>
      </c>
      <c r="K174">
        <f>IF(AND('OFF_CONVAL'!K174&lt;&gt;"",OR(LEN('OFF_CONVAL'!K174)&gt;3,COUNTIF(CL_MONEDAISO,'OFF_CONVAL'!K174)=0)),1,0)</f>
        <v/>
      </c>
      <c r="L174">
        <f>IF(AND('OFF_CONVAL'!L174&lt;&gt;"",IF(ISNUMBER('OFF_CONVAL'!L174),OR('OFF_CONVAL'!L174&lt;&gt;INT('OFF_CONVAL'!L174),LEN(TEXT(ABS('OFF_CONVAL'!L174),"0"))&gt;5),TRUE)),1,0)</f>
        <v/>
      </c>
      <c r="M174">
        <f>IF(AND('OFF_CONVAL'!M174&lt;&gt;"",IF(ISNUMBER('OFF_CONVAL'!M174),OR('OFF_CONVAL'!M174&lt;&gt;INT('OFF_CONVAL'!M174),LEN(TEXT(ABS('OFF_CONVAL'!M174),"0"))&gt;5),TRUE)),1,0)</f>
        <v/>
      </c>
      <c r="N174">
        <f>IF(AND('OFF_CONVAL'!N174&lt;&gt;"",LEN('OFF_CONVAL'!N174)&gt;20),1,0)</f>
        <v/>
      </c>
      <c r="O174">
        <f>IF(AND('OFF_CONVAL'!O174&lt;&gt;"",IF(ISNUMBER('OFF_CONVAL'!O174),OR('OFF_CONVAL'!O174&lt;&gt;INT('OFF_CONVAL'!O174),LEN(TEXT(ABS('OFF_CONVAL'!O174),"0"))&gt;15),TRUE)),1,0)</f>
        <v/>
      </c>
      <c r="P174">
        <f>IF(AND('OFF_CONVAL'!P174&lt;&gt;"",OR(LEN('OFF_CONVAL'!P174)&gt;3,COUNTIF(CL_MONEDAISO,'OFF_CONVAL'!P174)=0)),1,0)</f>
        <v/>
      </c>
      <c r="Q174">
        <f>IF(AND('OFF_CONVAL'!Q174&lt;&gt;"",NOT(ISNUMBER('OFF_CONVAL'!Q174))),1,0)</f>
        <v/>
      </c>
    </row>
    <row r="175">
      <c r="A175">
        <f>IF(AND('OFF_CONVAL'!A175&lt;&gt;"",NOT(ISNUMBER('OFF_CONVAL'!A175))),1,0)</f>
        <v/>
      </c>
      <c r="B175">
        <f>IF(AND('OFF_CONVAL'!B175&lt;&gt;"",LEN('OFF_CONVAL'!B175)&gt;20),1,0)</f>
        <v/>
      </c>
      <c r="C175">
        <f>IF(AND('OFF_CONVAL'!C175&lt;&gt;"",OR(LEN('OFF_CONVAL'!C175)&gt;1,COUNTIF(CL_POSICIONOPERACION_V4,'OFF_CONVAL'!C175)=0)),1,0)</f>
        <v/>
      </c>
      <c r="D175">
        <f>IF(AND('OFF_CONVAL'!D175&lt;&gt;"",OR(LEN('OFF_CONVAL'!D175)&gt;2,COUNTIF(CL_OBJ_OPE_V1,'OFF_CONVAL'!D175)=0)),1,0)</f>
        <v/>
      </c>
      <c r="E175">
        <f>IF(AND('OFF_CONVAL'!E175&lt;&gt;"",COUNTIF(CL_PAQ_EST_DER_V1,'OFF_CONVAL'!E175)=0),1,0)</f>
        <v/>
      </c>
      <c r="F175">
        <f>IF(AND('OFF_CONVAL'!F175&lt;&gt;"",LEN('OFF_CONVAL'!F175)&gt;20),1,0)</f>
        <v/>
      </c>
      <c r="G175">
        <f>IF(AND('OFF_CONVAL'!G175&lt;&gt;"",IF(ISNUMBER('OFF_CONVAL'!G175),OR('OFF_CONVAL'!G175&lt;&gt;INT('OFF_CONVAL'!G175),LEN(TEXT(ABS('OFF_CONVAL'!G175),"0"))&gt;3),TRUE)),1,0)</f>
        <v/>
      </c>
      <c r="H175">
        <f>IF(AND('OFF_CONVAL'!H175&lt;&gt;"",IF(ISNUMBER('OFF_CONVAL'!H175),OR('OFF_CONVAL'!H175&lt;&gt;INT('OFF_CONVAL'!H175),LEN(TEXT(ABS('OFF_CONVAL'!H175),"0"))&gt;15),TRUE)),1,0)</f>
        <v/>
      </c>
      <c r="I175">
        <f>IF(AND('OFF_CONVAL'!I175&lt;&gt;"",OR(LEN('OFF_CONVAL'!I175)&gt;3,COUNTIF(CL_MONEDAISO,'OFF_CONVAL'!I175)=0)),1,0)</f>
        <v/>
      </c>
      <c r="J175">
        <f>IF(AND('OFF_CONVAL'!J175&lt;&gt;"",IF(ISNUMBER('OFF_CONVAL'!J175),OR('OFF_CONVAL'!J175&lt;&gt;INT('OFF_CONVAL'!J175),LEN(TEXT(ABS('OFF_CONVAL'!J175),"0"))&gt;15),TRUE)),1,0)</f>
        <v/>
      </c>
      <c r="K175">
        <f>IF(AND('OFF_CONVAL'!K175&lt;&gt;"",OR(LEN('OFF_CONVAL'!K175)&gt;3,COUNTIF(CL_MONEDAISO,'OFF_CONVAL'!K175)=0)),1,0)</f>
        <v/>
      </c>
      <c r="L175">
        <f>IF(AND('OFF_CONVAL'!L175&lt;&gt;"",IF(ISNUMBER('OFF_CONVAL'!L175),OR('OFF_CONVAL'!L175&lt;&gt;INT('OFF_CONVAL'!L175),LEN(TEXT(ABS('OFF_CONVAL'!L175),"0"))&gt;5),TRUE)),1,0)</f>
        <v/>
      </c>
      <c r="M175">
        <f>IF(AND('OFF_CONVAL'!M175&lt;&gt;"",IF(ISNUMBER('OFF_CONVAL'!M175),OR('OFF_CONVAL'!M175&lt;&gt;INT('OFF_CONVAL'!M175),LEN(TEXT(ABS('OFF_CONVAL'!M175),"0"))&gt;5),TRUE)),1,0)</f>
        <v/>
      </c>
      <c r="N175">
        <f>IF(AND('OFF_CONVAL'!N175&lt;&gt;"",LEN('OFF_CONVAL'!N175)&gt;20),1,0)</f>
        <v/>
      </c>
      <c r="O175">
        <f>IF(AND('OFF_CONVAL'!O175&lt;&gt;"",IF(ISNUMBER('OFF_CONVAL'!O175),OR('OFF_CONVAL'!O175&lt;&gt;INT('OFF_CONVAL'!O175),LEN(TEXT(ABS('OFF_CONVAL'!O175),"0"))&gt;15),TRUE)),1,0)</f>
        <v/>
      </c>
      <c r="P175">
        <f>IF(AND('OFF_CONVAL'!P175&lt;&gt;"",OR(LEN('OFF_CONVAL'!P175)&gt;3,COUNTIF(CL_MONEDAISO,'OFF_CONVAL'!P175)=0)),1,0)</f>
        <v/>
      </c>
      <c r="Q175">
        <f>IF(AND('OFF_CONVAL'!Q175&lt;&gt;"",NOT(ISNUMBER('OFF_CONVAL'!Q175))),1,0)</f>
        <v/>
      </c>
    </row>
    <row r="176">
      <c r="A176">
        <f>IF(AND('OFF_CONVAL'!A176&lt;&gt;"",NOT(ISNUMBER('OFF_CONVAL'!A176))),1,0)</f>
        <v/>
      </c>
      <c r="B176">
        <f>IF(AND('OFF_CONVAL'!B176&lt;&gt;"",LEN('OFF_CONVAL'!B176)&gt;20),1,0)</f>
        <v/>
      </c>
      <c r="C176">
        <f>IF(AND('OFF_CONVAL'!C176&lt;&gt;"",OR(LEN('OFF_CONVAL'!C176)&gt;1,COUNTIF(CL_POSICIONOPERACION_V4,'OFF_CONVAL'!C176)=0)),1,0)</f>
        <v/>
      </c>
      <c r="D176">
        <f>IF(AND('OFF_CONVAL'!D176&lt;&gt;"",OR(LEN('OFF_CONVAL'!D176)&gt;2,COUNTIF(CL_OBJ_OPE_V1,'OFF_CONVAL'!D176)=0)),1,0)</f>
        <v/>
      </c>
      <c r="E176">
        <f>IF(AND('OFF_CONVAL'!E176&lt;&gt;"",COUNTIF(CL_PAQ_EST_DER_V1,'OFF_CONVAL'!E176)=0),1,0)</f>
        <v/>
      </c>
      <c r="F176">
        <f>IF(AND('OFF_CONVAL'!F176&lt;&gt;"",LEN('OFF_CONVAL'!F176)&gt;20),1,0)</f>
        <v/>
      </c>
      <c r="G176">
        <f>IF(AND('OFF_CONVAL'!G176&lt;&gt;"",IF(ISNUMBER('OFF_CONVAL'!G176),OR('OFF_CONVAL'!G176&lt;&gt;INT('OFF_CONVAL'!G176),LEN(TEXT(ABS('OFF_CONVAL'!G176),"0"))&gt;3),TRUE)),1,0)</f>
        <v/>
      </c>
      <c r="H176">
        <f>IF(AND('OFF_CONVAL'!H176&lt;&gt;"",IF(ISNUMBER('OFF_CONVAL'!H176),OR('OFF_CONVAL'!H176&lt;&gt;INT('OFF_CONVAL'!H176),LEN(TEXT(ABS('OFF_CONVAL'!H176),"0"))&gt;15),TRUE)),1,0)</f>
        <v/>
      </c>
      <c r="I176">
        <f>IF(AND('OFF_CONVAL'!I176&lt;&gt;"",OR(LEN('OFF_CONVAL'!I176)&gt;3,COUNTIF(CL_MONEDAISO,'OFF_CONVAL'!I176)=0)),1,0)</f>
        <v/>
      </c>
      <c r="J176">
        <f>IF(AND('OFF_CONVAL'!J176&lt;&gt;"",IF(ISNUMBER('OFF_CONVAL'!J176),OR('OFF_CONVAL'!J176&lt;&gt;INT('OFF_CONVAL'!J176),LEN(TEXT(ABS('OFF_CONVAL'!J176),"0"))&gt;15),TRUE)),1,0)</f>
        <v/>
      </c>
      <c r="K176">
        <f>IF(AND('OFF_CONVAL'!K176&lt;&gt;"",OR(LEN('OFF_CONVAL'!K176)&gt;3,COUNTIF(CL_MONEDAISO,'OFF_CONVAL'!K176)=0)),1,0)</f>
        <v/>
      </c>
      <c r="L176">
        <f>IF(AND('OFF_CONVAL'!L176&lt;&gt;"",IF(ISNUMBER('OFF_CONVAL'!L176),OR('OFF_CONVAL'!L176&lt;&gt;INT('OFF_CONVAL'!L176),LEN(TEXT(ABS('OFF_CONVAL'!L176),"0"))&gt;5),TRUE)),1,0)</f>
        <v/>
      </c>
      <c r="M176">
        <f>IF(AND('OFF_CONVAL'!M176&lt;&gt;"",IF(ISNUMBER('OFF_CONVAL'!M176),OR('OFF_CONVAL'!M176&lt;&gt;INT('OFF_CONVAL'!M176),LEN(TEXT(ABS('OFF_CONVAL'!M176),"0"))&gt;5),TRUE)),1,0)</f>
        <v/>
      </c>
      <c r="N176">
        <f>IF(AND('OFF_CONVAL'!N176&lt;&gt;"",LEN('OFF_CONVAL'!N176)&gt;20),1,0)</f>
        <v/>
      </c>
      <c r="O176">
        <f>IF(AND('OFF_CONVAL'!O176&lt;&gt;"",IF(ISNUMBER('OFF_CONVAL'!O176),OR('OFF_CONVAL'!O176&lt;&gt;INT('OFF_CONVAL'!O176),LEN(TEXT(ABS('OFF_CONVAL'!O176),"0"))&gt;15),TRUE)),1,0)</f>
        <v/>
      </c>
      <c r="P176">
        <f>IF(AND('OFF_CONVAL'!P176&lt;&gt;"",OR(LEN('OFF_CONVAL'!P176)&gt;3,COUNTIF(CL_MONEDAISO,'OFF_CONVAL'!P176)=0)),1,0)</f>
        <v/>
      </c>
      <c r="Q176">
        <f>IF(AND('OFF_CONVAL'!Q176&lt;&gt;"",NOT(ISNUMBER('OFF_CONVAL'!Q176))),1,0)</f>
        <v/>
      </c>
    </row>
    <row r="177">
      <c r="A177">
        <f>IF(AND('OFF_CONVAL'!A177&lt;&gt;"",NOT(ISNUMBER('OFF_CONVAL'!A177))),1,0)</f>
        <v/>
      </c>
      <c r="B177">
        <f>IF(AND('OFF_CONVAL'!B177&lt;&gt;"",LEN('OFF_CONVAL'!B177)&gt;20),1,0)</f>
        <v/>
      </c>
      <c r="C177">
        <f>IF(AND('OFF_CONVAL'!C177&lt;&gt;"",OR(LEN('OFF_CONVAL'!C177)&gt;1,COUNTIF(CL_POSICIONOPERACION_V4,'OFF_CONVAL'!C177)=0)),1,0)</f>
        <v/>
      </c>
      <c r="D177">
        <f>IF(AND('OFF_CONVAL'!D177&lt;&gt;"",OR(LEN('OFF_CONVAL'!D177)&gt;2,COUNTIF(CL_OBJ_OPE_V1,'OFF_CONVAL'!D177)=0)),1,0)</f>
        <v/>
      </c>
      <c r="E177">
        <f>IF(AND('OFF_CONVAL'!E177&lt;&gt;"",COUNTIF(CL_PAQ_EST_DER_V1,'OFF_CONVAL'!E177)=0),1,0)</f>
        <v/>
      </c>
      <c r="F177">
        <f>IF(AND('OFF_CONVAL'!F177&lt;&gt;"",LEN('OFF_CONVAL'!F177)&gt;20),1,0)</f>
        <v/>
      </c>
      <c r="G177">
        <f>IF(AND('OFF_CONVAL'!G177&lt;&gt;"",IF(ISNUMBER('OFF_CONVAL'!G177),OR('OFF_CONVAL'!G177&lt;&gt;INT('OFF_CONVAL'!G177),LEN(TEXT(ABS('OFF_CONVAL'!G177),"0"))&gt;3),TRUE)),1,0)</f>
        <v/>
      </c>
      <c r="H177">
        <f>IF(AND('OFF_CONVAL'!H177&lt;&gt;"",IF(ISNUMBER('OFF_CONVAL'!H177),OR('OFF_CONVAL'!H177&lt;&gt;INT('OFF_CONVAL'!H177),LEN(TEXT(ABS('OFF_CONVAL'!H177),"0"))&gt;15),TRUE)),1,0)</f>
        <v/>
      </c>
      <c r="I177">
        <f>IF(AND('OFF_CONVAL'!I177&lt;&gt;"",OR(LEN('OFF_CONVAL'!I177)&gt;3,COUNTIF(CL_MONEDAISO,'OFF_CONVAL'!I177)=0)),1,0)</f>
        <v/>
      </c>
      <c r="J177">
        <f>IF(AND('OFF_CONVAL'!J177&lt;&gt;"",IF(ISNUMBER('OFF_CONVAL'!J177),OR('OFF_CONVAL'!J177&lt;&gt;INT('OFF_CONVAL'!J177),LEN(TEXT(ABS('OFF_CONVAL'!J177),"0"))&gt;15),TRUE)),1,0)</f>
        <v/>
      </c>
      <c r="K177">
        <f>IF(AND('OFF_CONVAL'!K177&lt;&gt;"",OR(LEN('OFF_CONVAL'!K177)&gt;3,COUNTIF(CL_MONEDAISO,'OFF_CONVAL'!K177)=0)),1,0)</f>
        <v/>
      </c>
      <c r="L177">
        <f>IF(AND('OFF_CONVAL'!L177&lt;&gt;"",IF(ISNUMBER('OFF_CONVAL'!L177),OR('OFF_CONVAL'!L177&lt;&gt;INT('OFF_CONVAL'!L177),LEN(TEXT(ABS('OFF_CONVAL'!L177),"0"))&gt;5),TRUE)),1,0)</f>
        <v/>
      </c>
      <c r="M177">
        <f>IF(AND('OFF_CONVAL'!M177&lt;&gt;"",IF(ISNUMBER('OFF_CONVAL'!M177),OR('OFF_CONVAL'!M177&lt;&gt;INT('OFF_CONVAL'!M177),LEN(TEXT(ABS('OFF_CONVAL'!M177),"0"))&gt;5),TRUE)),1,0)</f>
        <v/>
      </c>
      <c r="N177">
        <f>IF(AND('OFF_CONVAL'!N177&lt;&gt;"",LEN('OFF_CONVAL'!N177)&gt;20),1,0)</f>
        <v/>
      </c>
      <c r="O177">
        <f>IF(AND('OFF_CONVAL'!O177&lt;&gt;"",IF(ISNUMBER('OFF_CONVAL'!O177),OR('OFF_CONVAL'!O177&lt;&gt;INT('OFF_CONVAL'!O177),LEN(TEXT(ABS('OFF_CONVAL'!O177),"0"))&gt;15),TRUE)),1,0)</f>
        <v/>
      </c>
      <c r="P177">
        <f>IF(AND('OFF_CONVAL'!P177&lt;&gt;"",OR(LEN('OFF_CONVAL'!P177)&gt;3,COUNTIF(CL_MONEDAISO,'OFF_CONVAL'!P177)=0)),1,0)</f>
        <v/>
      </c>
      <c r="Q177">
        <f>IF(AND('OFF_CONVAL'!Q177&lt;&gt;"",NOT(ISNUMBER('OFF_CONVAL'!Q177))),1,0)</f>
        <v/>
      </c>
    </row>
    <row r="178">
      <c r="A178">
        <f>IF(AND('OFF_CONVAL'!A178&lt;&gt;"",NOT(ISNUMBER('OFF_CONVAL'!A178))),1,0)</f>
        <v/>
      </c>
      <c r="B178">
        <f>IF(AND('OFF_CONVAL'!B178&lt;&gt;"",LEN('OFF_CONVAL'!B178)&gt;20),1,0)</f>
        <v/>
      </c>
      <c r="C178">
        <f>IF(AND('OFF_CONVAL'!C178&lt;&gt;"",OR(LEN('OFF_CONVAL'!C178)&gt;1,COUNTIF(CL_POSICIONOPERACION_V4,'OFF_CONVAL'!C178)=0)),1,0)</f>
        <v/>
      </c>
      <c r="D178">
        <f>IF(AND('OFF_CONVAL'!D178&lt;&gt;"",OR(LEN('OFF_CONVAL'!D178)&gt;2,COUNTIF(CL_OBJ_OPE_V1,'OFF_CONVAL'!D178)=0)),1,0)</f>
        <v/>
      </c>
      <c r="E178">
        <f>IF(AND('OFF_CONVAL'!E178&lt;&gt;"",COUNTIF(CL_PAQ_EST_DER_V1,'OFF_CONVAL'!E178)=0),1,0)</f>
        <v/>
      </c>
      <c r="F178">
        <f>IF(AND('OFF_CONVAL'!F178&lt;&gt;"",LEN('OFF_CONVAL'!F178)&gt;20),1,0)</f>
        <v/>
      </c>
      <c r="G178">
        <f>IF(AND('OFF_CONVAL'!G178&lt;&gt;"",IF(ISNUMBER('OFF_CONVAL'!G178),OR('OFF_CONVAL'!G178&lt;&gt;INT('OFF_CONVAL'!G178),LEN(TEXT(ABS('OFF_CONVAL'!G178),"0"))&gt;3),TRUE)),1,0)</f>
        <v/>
      </c>
      <c r="H178">
        <f>IF(AND('OFF_CONVAL'!H178&lt;&gt;"",IF(ISNUMBER('OFF_CONVAL'!H178),OR('OFF_CONVAL'!H178&lt;&gt;INT('OFF_CONVAL'!H178),LEN(TEXT(ABS('OFF_CONVAL'!H178),"0"))&gt;15),TRUE)),1,0)</f>
        <v/>
      </c>
      <c r="I178">
        <f>IF(AND('OFF_CONVAL'!I178&lt;&gt;"",OR(LEN('OFF_CONVAL'!I178)&gt;3,COUNTIF(CL_MONEDAISO,'OFF_CONVAL'!I178)=0)),1,0)</f>
        <v/>
      </c>
      <c r="J178">
        <f>IF(AND('OFF_CONVAL'!J178&lt;&gt;"",IF(ISNUMBER('OFF_CONVAL'!J178),OR('OFF_CONVAL'!J178&lt;&gt;INT('OFF_CONVAL'!J178),LEN(TEXT(ABS('OFF_CONVAL'!J178),"0"))&gt;15),TRUE)),1,0)</f>
        <v/>
      </c>
      <c r="K178">
        <f>IF(AND('OFF_CONVAL'!K178&lt;&gt;"",OR(LEN('OFF_CONVAL'!K178)&gt;3,COUNTIF(CL_MONEDAISO,'OFF_CONVAL'!K178)=0)),1,0)</f>
        <v/>
      </c>
      <c r="L178">
        <f>IF(AND('OFF_CONVAL'!L178&lt;&gt;"",IF(ISNUMBER('OFF_CONVAL'!L178),OR('OFF_CONVAL'!L178&lt;&gt;INT('OFF_CONVAL'!L178),LEN(TEXT(ABS('OFF_CONVAL'!L178),"0"))&gt;5),TRUE)),1,0)</f>
        <v/>
      </c>
      <c r="M178">
        <f>IF(AND('OFF_CONVAL'!M178&lt;&gt;"",IF(ISNUMBER('OFF_CONVAL'!M178),OR('OFF_CONVAL'!M178&lt;&gt;INT('OFF_CONVAL'!M178),LEN(TEXT(ABS('OFF_CONVAL'!M178),"0"))&gt;5),TRUE)),1,0)</f>
        <v/>
      </c>
      <c r="N178">
        <f>IF(AND('OFF_CONVAL'!N178&lt;&gt;"",LEN('OFF_CONVAL'!N178)&gt;20),1,0)</f>
        <v/>
      </c>
      <c r="O178">
        <f>IF(AND('OFF_CONVAL'!O178&lt;&gt;"",IF(ISNUMBER('OFF_CONVAL'!O178),OR('OFF_CONVAL'!O178&lt;&gt;INT('OFF_CONVAL'!O178),LEN(TEXT(ABS('OFF_CONVAL'!O178),"0"))&gt;15),TRUE)),1,0)</f>
        <v/>
      </c>
      <c r="P178">
        <f>IF(AND('OFF_CONVAL'!P178&lt;&gt;"",OR(LEN('OFF_CONVAL'!P178)&gt;3,COUNTIF(CL_MONEDAISO,'OFF_CONVAL'!P178)=0)),1,0)</f>
        <v/>
      </c>
      <c r="Q178">
        <f>IF(AND('OFF_CONVAL'!Q178&lt;&gt;"",NOT(ISNUMBER('OFF_CONVAL'!Q178))),1,0)</f>
        <v/>
      </c>
    </row>
    <row r="179">
      <c r="A179">
        <f>IF(AND('OFF_CONVAL'!A179&lt;&gt;"",NOT(ISNUMBER('OFF_CONVAL'!A179))),1,0)</f>
        <v/>
      </c>
      <c r="B179">
        <f>IF(AND('OFF_CONVAL'!B179&lt;&gt;"",LEN('OFF_CONVAL'!B179)&gt;20),1,0)</f>
        <v/>
      </c>
      <c r="C179">
        <f>IF(AND('OFF_CONVAL'!C179&lt;&gt;"",OR(LEN('OFF_CONVAL'!C179)&gt;1,COUNTIF(CL_POSICIONOPERACION_V4,'OFF_CONVAL'!C179)=0)),1,0)</f>
        <v/>
      </c>
      <c r="D179">
        <f>IF(AND('OFF_CONVAL'!D179&lt;&gt;"",OR(LEN('OFF_CONVAL'!D179)&gt;2,COUNTIF(CL_OBJ_OPE_V1,'OFF_CONVAL'!D179)=0)),1,0)</f>
        <v/>
      </c>
      <c r="E179">
        <f>IF(AND('OFF_CONVAL'!E179&lt;&gt;"",COUNTIF(CL_PAQ_EST_DER_V1,'OFF_CONVAL'!E179)=0),1,0)</f>
        <v/>
      </c>
      <c r="F179">
        <f>IF(AND('OFF_CONVAL'!F179&lt;&gt;"",LEN('OFF_CONVAL'!F179)&gt;20),1,0)</f>
        <v/>
      </c>
      <c r="G179">
        <f>IF(AND('OFF_CONVAL'!G179&lt;&gt;"",IF(ISNUMBER('OFF_CONVAL'!G179),OR('OFF_CONVAL'!G179&lt;&gt;INT('OFF_CONVAL'!G179),LEN(TEXT(ABS('OFF_CONVAL'!G179),"0"))&gt;3),TRUE)),1,0)</f>
        <v/>
      </c>
      <c r="H179">
        <f>IF(AND('OFF_CONVAL'!H179&lt;&gt;"",IF(ISNUMBER('OFF_CONVAL'!H179),OR('OFF_CONVAL'!H179&lt;&gt;INT('OFF_CONVAL'!H179),LEN(TEXT(ABS('OFF_CONVAL'!H179),"0"))&gt;15),TRUE)),1,0)</f>
        <v/>
      </c>
      <c r="I179">
        <f>IF(AND('OFF_CONVAL'!I179&lt;&gt;"",OR(LEN('OFF_CONVAL'!I179)&gt;3,COUNTIF(CL_MONEDAISO,'OFF_CONVAL'!I179)=0)),1,0)</f>
        <v/>
      </c>
      <c r="J179">
        <f>IF(AND('OFF_CONVAL'!J179&lt;&gt;"",IF(ISNUMBER('OFF_CONVAL'!J179),OR('OFF_CONVAL'!J179&lt;&gt;INT('OFF_CONVAL'!J179),LEN(TEXT(ABS('OFF_CONVAL'!J179),"0"))&gt;15),TRUE)),1,0)</f>
        <v/>
      </c>
      <c r="K179">
        <f>IF(AND('OFF_CONVAL'!K179&lt;&gt;"",OR(LEN('OFF_CONVAL'!K179)&gt;3,COUNTIF(CL_MONEDAISO,'OFF_CONVAL'!K179)=0)),1,0)</f>
        <v/>
      </c>
      <c r="L179">
        <f>IF(AND('OFF_CONVAL'!L179&lt;&gt;"",IF(ISNUMBER('OFF_CONVAL'!L179),OR('OFF_CONVAL'!L179&lt;&gt;INT('OFF_CONVAL'!L179),LEN(TEXT(ABS('OFF_CONVAL'!L179),"0"))&gt;5),TRUE)),1,0)</f>
        <v/>
      </c>
      <c r="M179">
        <f>IF(AND('OFF_CONVAL'!M179&lt;&gt;"",IF(ISNUMBER('OFF_CONVAL'!M179),OR('OFF_CONVAL'!M179&lt;&gt;INT('OFF_CONVAL'!M179),LEN(TEXT(ABS('OFF_CONVAL'!M179),"0"))&gt;5),TRUE)),1,0)</f>
        <v/>
      </c>
      <c r="N179">
        <f>IF(AND('OFF_CONVAL'!N179&lt;&gt;"",LEN('OFF_CONVAL'!N179)&gt;20),1,0)</f>
        <v/>
      </c>
      <c r="O179">
        <f>IF(AND('OFF_CONVAL'!O179&lt;&gt;"",IF(ISNUMBER('OFF_CONVAL'!O179),OR('OFF_CONVAL'!O179&lt;&gt;INT('OFF_CONVAL'!O179),LEN(TEXT(ABS('OFF_CONVAL'!O179),"0"))&gt;15),TRUE)),1,0)</f>
        <v/>
      </c>
      <c r="P179">
        <f>IF(AND('OFF_CONVAL'!P179&lt;&gt;"",OR(LEN('OFF_CONVAL'!P179)&gt;3,COUNTIF(CL_MONEDAISO,'OFF_CONVAL'!P179)=0)),1,0)</f>
        <v/>
      </c>
      <c r="Q179">
        <f>IF(AND('OFF_CONVAL'!Q179&lt;&gt;"",NOT(ISNUMBER('OFF_CONVAL'!Q179))),1,0)</f>
        <v/>
      </c>
    </row>
    <row r="180">
      <c r="A180">
        <f>IF(AND('OFF_CONVAL'!A180&lt;&gt;"",NOT(ISNUMBER('OFF_CONVAL'!A180))),1,0)</f>
        <v/>
      </c>
      <c r="B180">
        <f>IF(AND('OFF_CONVAL'!B180&lt;&gt;"",LEN('OFF_CONVAL'!B180)&gt;20),1,0)</f>
        <v/>
      </c>
      <c r="C180">
        <f>IF(AND('OFF_CONVAL'!C180&lt;&gt;"",OR(LEN('OFF_CONVAL'!C180)&gt;1,COUNTIF(CL_POSICIONOPERACION_V4,'OFF_CONVAL'!C180)=0)),1,0)</f>
        <v/>
      </c>
      <c r="D180">
        <f>IF(AND('OFF_CONVAL'!D180&lt;&gt;"",OR(LEN('OFF_CONVAL'!D180)&gt;2,COUNTIF(CL_OBJ_OPE_V1,'OFF_CONVAL'!D180)=0)),1,0)</f>
        <v/>
      </c>
      <c r="E180">
        <f>IF(AND('OFF_CONVAL'!E180&lt;&gt;"",COUNTIF(CL_PAQ_EST_DER_V1,'OFF_CONVAL'!E180)=0),1,0)</f>
        <v/>
      </c>
      <c r="F180">
        <f>IF(AND('OFF_CONVAL'!F180&lt;&gt;"",LEN('OFF_CONVAL'!F180)&gt;20),1,0)</f>
        <v/>
      </c>
      <c r="G180">
        <f>IF(AND('OFF_CONVAL'!G180&lt;&gt;"",IF(ISNUMBER('OFF_CONVAL'!G180),OR('OFF_CONVAL'!G180&lt;&gt;INT('OFF_CONVAL'!G180),LEN(TEXT(ABS('OFF_CONVAL'!G180),"0"))&gt;3),TRUE)),1,0)</f>
        <v/>
      </c>
      <c r="H180">
        <f>IF(AND('OFF_CONVAL'!H180&lt;&gt;"",IF(ISNUMBER('OFF_CONVAL'!H180),OR('OFF_CONVAL'!H180&lt;&gt;INT('OFF_CONVAL'!H180),LEN(TEXT(ABS('OFF_CONVAL'!H180),"0"))&gt;15),TRUE)),1,0)</f>
        <v/>
      </c>
      <c r="I180">
        <f>IF(AND('OFF_CONVAL'!I180&lt;&gt;"",OR(LEN('OFF_CONVAL'!I180)&gt;3,COUNTIF(CL_MONEDAISO,'OFF_CONVAL'!I180)=0)),1,0)</f>
        <v/>
      </c>
      <c r="J180">
        <f>IF(AND('OFF_CONVAL'!J180&lt;&gt;"",IF(ISNUMBER('OFF_CONVAL'!J180),OR('OFF_CONVAL'!J180&lt;&gt;INT('OFF_CONVAL'!J180),LEN(TEXT(ABS('OFF_CONVAL'!J180),"0"))&gt;15),TRUE)),1,0)</f>
        <v/>
      </c>
      <c r="K180">
        <f>IF(AND('OFF_CONVAL'!K180&lt;&gt;"",OR(LEN('OFF_CONVAL'!K180)&gt;3,COUNTIF(CL_MONEDAISO,'OFF_CONVAL'!K180)=0)),1,0)</f>
        <v/>
      </c>
      <c r="L180">
        <f>IF(AND('OFF_CONVAL'!L180&lt;&gt;"",IF(ISNUMBER('OFF_CONVAL'!L180),OR('OFF_CONVAL'!L180&lt;&gt;INT('OFF_CONVAL'!L180),LEN(TEXT(ABS('OFF_CONVAL'!L180),"0"))&gt;5),TRUE)),1,0)</f>
        <v/>
      </c>
      <c r="M180">
        <f>IF(AND('OFF_CONVAL'!M180&lt;&gt;"",IF(ISNUMBER('OFF_CONVAL'!M180),OR('OFF_CONVAL'!M180&lt;&gt;INT('OFF_CONVAL'!M180),LEN(TEXT(ABS('OFF_CONVAL'!M180),"0"))&gt;5),TRUE)),1,0)</f>
        <v/>
      </c>
      <c r="N180">
        <f>IF(AND('OFF_CONVAL'!N180&lt;&gt;"",LEN('OFF_CONVAL'!N180)&gt;20),1,0)</f>
        <v/>
      </c>
      <c r="O180">
        <f>IF(AND('OFF_CONVAL'!O180&lt;&gt;"",IF(ISNUMBER('OFF_CONVAL'!O180),OR('OFF_CONVAL'!O180&lt;&gt;INT('OFF_CONVAL'!O180),LEN(TEXT(ABS('OFF_CONVAL'!O180),"0"))&gt;15),TRUE)),1,0)</f>
        <v/>
      </c>
      <c r="P180">
        <f>IF(AND('OFF_CONVAL'!P180&lt;&gt;"",OR(LEN('OFF_CONVAL'!P180)&gt;3,COUNTIF(CL_MONEDAISO,'OFF_CONVAL'!P180)=0)),1,0)</f>
        <v/>
      </c>
      <c r="Q180">
        <f>IF(AND('OFF_CONVAL'!Q180&lt;&gt;"",NOT(ISNUMBER('OFF_CONVAL'!Q180))),1,0)</f>
        <v/>
      </c>
    </row>
    <row r="181">
      <c r="A181">
        <f>IF(AND('OFF_CONVAL'!A181&lt;&gt;"",NOT(ISNUMBER('OFF_CONVAL'!A181))),1,0)</f>
        <v/>
      </c>
      <c r="B181">
        <f>IF(AND('OFF_CONVAL'!B181&lt;&gt;"",LEN('OFF_CONVAL'!B181)&gt;20),1,0)</f>
        <v/>
      </c>
      <c r="C181">
        <f>IF(AND('OFF_CONVAL'!C181&lt;&gt;"",OR(LEN('OFF_CONVAL'!C181)&gt;1,COUNTIF(CL_POSICIONOPERACION_V4,'OFF_CONVAL'!C181)=0)),1,0)</f>
        <v/>
      </c>
      <c r="D181">
        <f>IF(AND('OFF_CONVAL'!D181&lt;&gt;"",OR(LEN('OFF_CONVAL'!D181)&gt;2,COUNTIF(CL_OBJ_OPE_V1,'OFF_CONVAL'!D181)=0)),1,0)</f>
        <v/>
      </c>
      <c r="E181">
        <f>IF(AND('OFF_CONVAL'!E181&lt;&gt;"",COUNTIF(CL_PAQ_EST_DER_V1,'OFF_CONVAL'!E181)=0),1,0)</f>
        <v/>
      </c>
      <c r="F181">
        <f>IF(AND('OFF_CONVAL'!F181&lt;&gt;"",LEN('OFF_CONVAL'!F181)&gt;20),1,0)</f>
        <v/>
      </c>
      <c r="G181">
        <f>IF(AND('OFF_CONVAL'!G181&lt;&gt;"",IF(ISNUMBER('OFF_CONVAL'!G181),OR('OFF_CONVAL'!G181&lt;&gt;INT('OFF_CONVAL'!G181),LEN(TEXT(ABS('OFF_CONVAL'!G181),"0"))&gt;3),TRUE)),1,0)</f>
        <v/>
      </c>
      <c r="H181">
        <f>IF(AND('OFF_CONVAL'!H181&lt;&gt;"",IF(ISNUMBER('OFF_CONVAL'!H181),OR('OFF_CONVAL'!H181&lt;&gt;INT('OFF_CONVAL'!H181),LEN(TEXT(ABS('OFF_CONVAL'!H181),"0"))&gt;15),TRUE)),1,0)</f>
        <v/>
      </c>
      <c r="I181">
        <f>IF(AND('OFF_CONVAL'!I181&lt;&gt;"",OR(LEN('OFF_CONVAL'!I181)&gt;3,COUNTIF(CL_MONEDAISO,'OFF_CONVAL'!I181)=0)),1,0)</f>
        <v/>
      </c>
      <c r="J181">
        <f>IF(AND('OFF_CONVAL'!J181&lt;&gt;"",IF(ISNUMBER('OFF_CONVAL'!J181),OR('OFF_CONVAL'!J181&lt;&gt;INT('OFF_CONVAL'!J181),LEN(TEXT(ABS('OFF_CONVAL'!J181),"0"))&gt;15),TRUE)),1,0)</f>
        <v/>
      </c>
      <c r="K181">
        <f>IF(AND('OFF_CONVAL'!K181&lt;&gt;"",OR(LEN('OFF_CONVAL'!K181)&gt;3,COUNTIF(CL_MONEDAISO,'OFF_CONVAL'!K181)=0)),1,0)</f>
        <v/>
      </c>
      <c r="L181">
        <f>IF(AND('OFF_CONVAL'!L181&lt;&gt;"",IF(ISNUMBER('OFF_CONVAL'!L181),OR('OFF_CONVAL'!L181&lt;&gt;INT('OFF_CONVAL'!L181),LEN(TEXT(ABS('OFF_CONVAL'!L181),"0"))&gt;5),TRUE)),1,0)</f>
        <v/>
      </c>
      <c r="M181">
        <f>IF(AND('OFF_CONVAL'!M181&lt;&gt;"",IF(ISNUMBER('OFF_CONVAL'!M181),OR('OFF_CONVAL'!M181&lt;&gt;INT('OFF_CONVAL'!M181),LEN(TEXT(ABS('OFF_CONVAL'!M181),"0"))&gt;5),TRUE)),1,0)</f>
        <v/>
      </c>
      <c r="N181">
        <f>IF(AND('OFF_CONVAL'!N181&lt;&gt;"",LEN('OFF_CONVAL'!N181)&gt;20),1,0)</f>
        <v/>
      </c>
      <c r="O181">
        <f>IF(AND('OFF_CONVAL'!O181&lt;&gt;"",IF(ISNUMBER('OFF_CONVAL'!O181),OR('OFF_CONVAL'!O181&lt;&gt;INT('OFF_CONVAL'!O181),LEN(TEXT(ABS('OFF_CONVAL'!O181),"0"))&gt;15),TRUE)),1,0)</f>
        <v/>
      </c>
      <c r="P181">
        <f>IF(AND('OFF_CONVAL'!P181&lt;&gt;"",OR(LEN('OFF_CONVAL'!P181)&gt;3,COUNTIF(CL_MONEDAISO,'OFF_CONVAL'!P181)=0)),1,0)</f>
        <v/>
      </c>
      <c r="Q181">
        <f>IF(AND('OFF_CONVAL'!Q181&lt;&gt;"",NOT(ISNUMBER('OFF_CONVAL'!Q181))),1,0)</f>
        <v/>
      </c>
    </row>
    <row r="182">
      <c r="A182">
        <f>IF(AND('OFF_CONVAL'!A182&lt;&gt;"",NOT(ISNUMBER('OFF_CONVAL'!A182))),1,0)</f>
        <v/>
      </c>
      <c r="B182">
        <f>IF(AND('OFF_CONVAL'!B182&lt;&gt;"",LEN('OFF_CONVAL'!B182)&gt;20),1,0)</f>
        <v/>
      </c>
      <c r="C182">
        <f>IF(AND('OFF_CONVAL'!C182&lt;&gt;"",OR(LEN('OFF_CONVAL'!C182)&gt;1,COUNTIF(CL_POSICIONOPERACION_V4,'OFF_CONVAL'!C182)=0)),1,0)</f>
        <v/>
      </c>
      <c r="D182">
        <f>IF(AND('OFF_CONVAL'!D182&lt;&gt;"",OR(LEN('OFF_CONVAL'!D182)&gt;2,COUNTIF(CL_OBJ_OPE_V1,'OFF_CONVAL'!D182)=0)),1,0)</f>
        <v/>
      </c>
      <c r="E182">
        <f>IF(AND('OFF_CONVAL'!E182&lt;&gt;"",COUNTIF(CL_PAQ_EST_DER_V1,'OFF_CONVAL'!E182)=0),1,0)</f>
        <v/>
      </c>
      <c r="F182">
        <f>IF(AND('OFF_CONVAL'!F182&lt;&gt;"",LEN('OFF_CONVAL'!F182)&gt;20),1,0)</f>
        <v/>
      </c>
      <c r="G182">
        <f>IF(AND('OFF_CONVAL'!G182&lt;&gt;"",IF(ISNUMBER('OFF_CONVAL'!G182),OR('OFF_CONVAL'!G182&lt;&gt;INT('OFF_CONVAL'!G182),LEN(TEXT(ABS('OFF_CONVAL'!G182),"0"))&gt;3),TRUE)),1,0)</f>
        <v/>
      </c>
      <c r="H182">
        <f>IF(AND('OFF_CONVAL'!H182&lt;&gt;"",IF(ISNUMBER('OFF_CONVAL'!H182),OR('OFF_CONVAL'!H182&lt;&gt;INT('OFF_CONVAL'!H182),LEN(TEXT(ABS('OFF_CONVAL'!H182),"0"))&gt;15),TRUE)),1,0)</f>
        <v/>
      </c>
      <c r="I182">
        <f>IF(AND('OFF_CONVAL'!I182&lt;&gt;"",OR(LEN('OFF_CONVAL'!I182)&gt;3,COUNTIF(CL_MONEDAISO,'OFF_CONVAL'!I182)=0)),1,0)</f>
        <v/>
      </c>
      <c r="J182">
        <f>IF(AND('OFF_CONVAL'!J182&lt;&gt;"",IF(ISNUMBER('OFF_CONVAL'!J182),OR('OFF_CONVAL'!J182&lt;&gt;INT('OFF_CONVAL'!J182),LEN(TEXT(ABS('OFF_CONVAL'!J182),"0"))&gt;15),TRUE)),1,0)</f>
        <v/>
      </c>
      <c r="K182">
        <f>IF(AND('OFF_CONVAL'!K182&lt;&gt;"",OR(LEN('OFF_CONVAL'!K182)&gt;3,COUNTIF(CL_MONEDAISO,'OFF_CONVAL'!K182)=0)),1,0)</f>
        <v/>
      </c>
      <c r="L182">
        <f>IF(AND('OFF_CONVAL'!L182&lt;&gt;"",IF(ISNUMBER('OFF_CONVAL'!L182),OR('OFF_CONVAL'!L182&lt;&gt;INT('OFF_CONVAL'!L182),LEN(TEXT(ABS('OFF_CONVAL'!L182),"0"))&gt;5),TRUE)),1,0)</f>
        <v/>
      </c>
      <c r="M182">
        <f>IF(AND('OFF_CONVAL'!M182&lt;&gt;"",IF(ISNUMBER('OFF_CONVAL'!M182),OR('OFF_CONVAL'!M182&lt;&gt;INT('OFF_CONVAL'!M182),LEN(TEXT(ABS('OFF_CONVAL'!M182),"0"))&gt;5),TRUE)),1,0)</f>
        <v/>
      </c>
      <c r="N182">
        <f>IF(AND('OFF_CONVAL'!N182&lt;&gt;"",LEN('OFF_CONVAL'!N182)&gt;20),1,0)</f>
        <v/>
      </c>
      <c r="O182">
        <f>IF(AND('OFF_CONVAL'!O182&lt;&gt;"",IF(ISNUMBER('OFF_CONVAL'!O182),OR('OFF_CONVAL'!O182&lt;&gt;INT('OFF_CONVAL'!O182),LEN(TEXT(ABS('OFF_CONVAL'!O182),"0"))&gt;15),TRUE)),1,0)</f>
        <v/>
      </c>
      <c r="P182">
        <f>IF(AND('OFF_CONVAL'!P182&lt;&gt;"",OR(LEN('OFF_CONVAL'!P182)&gt;3,COUNTIF(CL_MONEDAISO,'OFF_CONVAL'!P182)=0)),1,0)</f>
        <v/>
      </c>
      <c r="Q182">
        <f>IF(AND('OFF_CONVAL'!Q182&lt;&gt;"",NOT(ISNUMBER('OFF_CONVAL'!Q182))),1,0)</f>
        <v/>
      </c>
    </row>
    <row r="183">
      <c r="A183">
        <f>IF(AND('OFF_CONVAL'!A183&lt;&gt;"",NOT(ISNUMBER('OFF_CONVAL'!A183))),1,0)</f>
        <v/>
      </c>
      <c r="B183">
        <f>IF(AND('OFF_CONVAL'!B183&lt;&gt;"",LEN('OFF_CONVAL'!B183)&gt;20),1,0)</f>
        <v/>
      </c>
      <c r="C183">
        <f>IF(AND('OFF_CONVAL'!C183&lt;&gt;"",OR(LEN('OFF_CONVAL'!C183)&gt;1,COUNTIF(CL_POSICIONOPERACION_V4,'OFF_CONVAL'!C183)=0)),1,0)</f>
        <v/>
      </c>
      <c r="D183">
        <f>IF(AND('OFF_CONVAL'!D183&lt;&gt;"",OR(LEN('OFF_CONVAL'!D183)&gt;2,COUNTIF(CL_OBJ_OPE_V1,'OFF_CONVAL'!D183)=0)),1,0)</f>
        <v/>
      </c>
      <c r="E183">
        <f>IF(AND('OFF_CONVAL'!E183&lt;&gt;"",COUNTIF(CL_PAQ_EST_DER_V1,'OFF_CONVAL'!E183)=0),1,0)</f>
        <v/>
      </c>
      <c r="F183">
        <f>IF(AND('OFF_CONVAL'!F183&lt;&gt;"",LEN('OFF_CONVAL'!F183)&gt;20),1,0)</f>
        <v/>
      </c>
      <c r="G183">
        <f>IF(AND('OFF_CONVAL'!G183&lt;&gt;"",IF(ISNUMBER('OFF_CONVAL'!G183),OR('OFF_CONVAL'!G183&lt;&gt;INT('OFF_CONVAL'!G183),LEN(TEXT(ABS('OFF_CONVAL'!G183),"0"))&gt;3),TRUE)),1,0)</f>
        <v/>
      </c>
      <c r="H183">
        <f>IF(AND('OFF_CONVAL'!H183&lt;&gt;"",IF(ISNUMBER('OFF_CONVAL'!H183),OR('OFF_CONVAL'!H183&lt;&gt;INT('OFF_CONVAL'!H183),LEN(TEXT(ABS('OFF_CONVAL'!H183),"0"))&gt;15),TRUE)),1,0)</f>
        <v/>
      </c>
      <c r="I183">
        <f>IF(AND('OFF_CONVAL'!I183&lt;&gt;"",OR(LEN('OFF_CONVAL'!I183)&gt;3,COUNTIF(CL_MONEDAISO,'OFF_CONVAL'!I183)=0)),1,0)</f>
        <v/>
      </c>
      <c r="J183">
        <f>IF(AND('OFF_CONVAL'!J183&lt;&gt;"",IF(ISNUMBER('OFF_CONVAL'!J183),OR('OFF_CONVAL'!J183&lt;&gt;INT('OFF_CONVAL'!J183),LEN(TEXT(ABS('OFF_CONVAL'!J183),"0"))&gt;15),TRUE)),1,0)</f>
        <v/>
      </c>
      <c r="K183">
        <f>IF(AND('OFF_CONVAL'!K183&lt;&gt;"",OR(LEN('OFF_CONVAL'!K183)&gt;3,COUNTIF(CL_MONEDAISO,'OFF_CONVAL'!K183)=0)),1,0)</f>
        <v/>
      </c>
      <c r="L183">
        <f>IF(AND('OFF_CONVAL'!L183&lt;&gt;"",IF(ISNUMBER('OFF_CONVAL'!L183),OR('OFF_CONVAL'!L183&lt;&gt;INT('OFF_CONVAL'!L183),LEN(TEXT(ABS('OFF_CONVAL'!L183),"0"))&gt;5),TRUE)),1,0)</f>
        <v/>
      </c>
      <c r="M183">
        <f>IF(AND('OFF_CONVAL'!M183&lt;&gt;"",IF(ISNUMBER('OFF_CONVAL'!M183),OR('OFF_CONVAL'!M183&lt;&gt;INT('OFF_CONVAL'!M183),LEN(TEXT(ABS('OFF_CONVAL'!M183),"0"))&gt;5),TRUE)),1,0)</f>
        <v/>
      </c>
      <c r="N183">
        <f>IF(AND('OFF_CONVAL'!N183&lt;&gt;"",LEN('OFF_CONVAL'!N183)&gt;20),1,0)</f>
        <v/>
      </c>
      <c r="O183">
        <f>IF(AND('OFF_CONVAL'!O183&lt;&gt;"",IF(ISNUMBER('OFF_CONVAL'!O183),OR('OFF_CONVAL'!O183&lt;&gt;INT('OFF_CONVAL'!O183),LEN(TEXT(ABS('OFF_CONVAL'!O183),"0"))&gt;15),TRUE)),1,0)</f>
        <v/>
      </c>
      <c r="P183">
        <f>IF(AND('OFF_CONVAL'!P183&lt;&gt;"",OR(LEN('OFF_CONVAL'!P183)&gt;3,COUNTIF(CL_MONEDAISO,'OFF_CONVAL'!P183)=0)),1,0)</f>
        <v/>
      </c>
      <c r="Q183">
        <f>IF(AND('OFF_CONVAL'!Q183&lt;&gt;"",NOT(ISNUMBER('OFF_CONVAL'!Q183))),1,0)</f>
        <v/>
      </c>
    </row>
    <row r="184">
      <c r="A184">
        <f>IF(AND('OFF_CONVAL'!A184&lt;&gt;"",NOT(ISNUMBER('OFF_CONVAL'!A184))),1,0)</f>
        <v/>
      </c>
      <c r="B184">
        <f>IF(AND('OFF_CONVAL'!B184&lt;&gt;"",LEN('OFF_CONVAL'!B184)&gt;20),1,0)</f>
        <v/>
      </c>
      <c r="C184">
        <f>IF(AND('OFF_CONVAL'!C184&lt;&gt;"",OR(LEN('OFF_CONVAL'!C184)&gt;1,COUNTIF(CL_POSICIONOPERACION_V4,'OFF_CONVAL'!C184)=0)),1,0)</f>
        <v/>
      </c>
      <c r="D184">
        <f>IF(AND('OFF_CONVAL'!D184&lt;&gt;"",OR(LEN('OFF_CONVAL'!D184)&gt;2,COUNTIF(CL_OBJ_OPE_V1,'OFF_CONVAL'!D184)=0)),1,0)</f>
        <v/>
      </c>
      <c r="E184">
        <f>IF(AND('OFF_CONVAL'!E184&lt;&gt;"",COUNTIF(CL_PAQ_EST_DER_V1,'OFF_CONVAL'!E184)=0),1,0)</f>
        <v/>
      </c>
      <c r="F184">
        <f>IF(AND('OFF_CONVAL'!F184&lt;&gt;"",LEN('OFF_CONVAL'!F184)&gt;20),1,0)</f>
        <v/>
      </c>
      <c r="G184">
        <f>IF(AND('OFF_CONVAL'!G184&lt;&gt;"",IF(ISNUMBER('OFF_CONVAL'!G184),OR('OFF_CONVAL'!G184&lt;&gt;INT('OFF_CONVAL'!G184),LEN(TEXT(ABS('OFF_CONVAL'!G184),"0"))&gt;3),TRUE)),1,0)</f>
        <v/>
      </c>
      <c r="H184">
        <f>IF(AND('OFF_CONVAL'!H184&lt;&gt;"",IF(ISNUMBER('OFF_CONVAL'!H184),OR('OFF_CONVAL'!H184&lt;&gt;INT('OFF_CONVAL'!H184),LEN(TEXT(ABS('OFF_CONVAL'!H184),"0"))&gt;15),TRUE)),1,0)</f>
        <v/>
      </c>
      <c r="I184">
        <f>IF(AND('OFF_CONVAL'!I184&lt;&gt;"",OR(LEN('OFF_CONVAL'!I184)&gt;3,COUNTIF(CL_MONEDAISO,'OFF_CONVAL'!I184)=0)),1,0)</f>
        <v/>
      </c>
      <c r="J184">
        <f>IF(AND('OFF_CONVAL'!J184&lt;&gt;"",IF(ISNUMBER('OFF_CONVAL'!J184),OR('OFF_CONVAL'!J184&lt;&gt;INT('OFF_CONVAL'!J184),LEN(TEXT(ABS('OFF_CONVAL'!J184),"0"))&gt;15),TRUE)),1,0)</f>
        <v/>
      </c>
      <c r="K184">
        <f>IF(AND('OFF_CONVAL'!K184&lt;&gt;"",OR(LEN('OFF_CONVAL'!K184)&gt;3,COUNTIF(CL_MONEDAISO,'OFF_CONVAL'!K184)=0)),1,0)</f>
        <v/>
      </c>
      <c r="L184">
        <f>IF(AND('OFF_CONVAL'!L184&lt;&gt;"",IF(ISNUMBER('OFF_CONVAL'!L184),OR('OFF_CONVAL'!L184&lt;&gt;INT('OFF_CONVAL'!L184),LEN(TEXT(ABS('OFF_CONVAL'!L184),"0"))&gt;5),TRUE)),1,0)</f>
        <v/>
      </c>
      <c r="M184">
        <f>IF(AND('OFF_CONVAL'!M184&lt;&gt;"",IF(ISNUMBER('OFF_CONVAL'!M184),OR('OFF_CONVAL'!M184&lt;&gt;INT('OFF_CONVAL'!M184),LEN(TEXT(ABS('OFF_CONVAL'!M184),"0"))&gt;5),TRUE)),1,0)</f>
        <v/>
      </c>
      <c r="N184">
        <f>IF(AND('OFF_CONVAL'!N184&lt;&gt;"",LEN('OFF_CONVAL'!N184)&gt;20),1,0)</f>
        <v/>
      </c>
      <c r="O184">
        <f>IF(AND('OFF_CONVAL'!O184&lt;&gt;"",IF(ISNUMBER('OFF_CONVAL'!O184),OR('OFF_CONVAL'!O184&lt;&gt;INT('OFF_CONVAL'!O184),LEN(TEXT(ABS('OFF_CONVAL'!O184),"0"))&gt;15),TRUE)),1,0)</f>
        <v/>
      </c>
      <c r="P184">
        <f>IF(AND('OFF_CONVAL'!P184&lt;&gt;"",OR(LEN('OFF_CONVAL'!P184)&gt;3,COUNTIF(CL_MONEDAISO,'OFF_CONVAL'!P184)=0)),1,0)</f>
        <v/>
      </c>
      <c r="Q184">
        <f>IF(AND('OFF_CONVAL'!Q184&lt;&gt;"",NOT(ISNUMBER('OFF_CONVAL'!Q184))),1,0)</f>
        <v/>
      </c>
    </row>
    <row r="185">
      <c r="A185">
        <f>IF(AND('OFF_CONVAL'!A185&lt;&gt;"",NOT(ISNUMBER('OFF_CONVAL'!A185))),1,0)</f>
        <v/>
      </c>
      <c r="B185">
        <f>IF(AND('OFF_CONVAL'!B185&lt;&gt;"",LEN('OFF_CONVAL'!B185)&gt;20),1,0)</f>
        <v/>
      </c>
      <c r="C185">
        <f>IF(AND('OFF_CONVAL'!C185&lt;&gt;"",OR(LEN('OFF_CONVAL'!C185)&gt;1,COUNTIF(CL_POSICIONOPERACION_V4,'OFF_CONVAL'!C185)=0)),1,0)</f>
        <v/>
      </c>
      <c r="D185">
        <f>IF(AND('OFF_CONVAL'!D185&lt;&gt;"",OR(LEN('OFF_CONVAL'!D185)&gt;2,COUNTIF(CL_OBJ_OPE_V1,'OFF_CONVAL'!D185)=0)),1,0)</f>
        <v/>
      </c>
      <c r="E185">
        <f>IF(AND('OFF_CONVAL'!E185&lt;&gt;"",COUNTIF(CL_PAQ_EST_DER_V1,'OFF_CONVAL'!E185)=0),1,0)</f>
        <v/>
      </c>
      <c r="F185">
        <f>IF(AND('OFF_CONVAL'!F185&lt;&gt;"",LEN('OFF_CONVAL'!F185)&gt;20),1,0)</f>
        <v/>
      </c>
      <c r="G185">
        <f>IF(AND('OFF_CONVAL'!G185&lt;&gt;"",IF(ISNUMBER('OFF_CONVAL'!G185),OR('OFF_CONVAL'!G185&lt;&gt;INT('OFF_CONVAL'!G185),LEN(TEXT(ABS('OFF_CONVAL'!G185),"0"))&gt;3),TRUE)),1,0)</f>
        <v/>
      </c>
      <c r="H185">
        <f>IF(AND('OFF_CONVAL'!H185&lt;&gt;"",IF(ISNUMBER('OFF_CONVAL'!H185),OR('OFF_CONVAL'!H185&lt;&gt;INT('OFF_CONVAL'!H185),LEN(TEXT(ABS('OFF_CONVAL'!H185),"0"))&gt;15),TRUE)),1,0)</f>
        <v/>
      </c>
      <c r="I185">
        <f>IF(AND('OFF_CONVAL'!I185&lt;&gt;"",OR(LEN('OFF_CONVAL'!I185)&gt;3,COUNTIF(CL_MONEDAISO,'OFF_CONVAL'!I185)=0)),1,0)</f>
        <v/>
      </c>
      <c r="J185">
        <f>IF(AND('OFF_CONVAL'!J185&lt;&gt;"",IF(ISNUMBER('OFF_CONVAL'!J185),OR('OFF_CONVAL'!J185&lt;&gt;INT('OFF_CONVAL'!J185),LEN(TEXT(ABS('OFF_CONVAL'!J185),"0"))&gt;15),TRUE)),1,0)</f>
        <v/>
      </c>
      <c r="K185">
        <f>IF(AND('OFF_CONVAL'!K185&lt;&gt;"",OR(LEN('OFF_CONVAL'!K185)&gt;3,COUNTIF(CL_MONEDAISO,'OFF_CONVAL'!K185)=0)),1,0)</f>
        <v/>
      </c>
      <c r="L185">
        <f>IF(AND('OFF_CONVAL'!L185&lt;&gt;"",IF(ISNUMBER('OFF_CONVAL'!L185),OR('OFF_CONVAL'!L185&lt;&gt;INT('OFF_CONVAL'!L185),LEN(TEXT(ABS('OFF_CONVAL'!L185),"0"))&gt;5),TRUE)),1,0)</f>
        <v/>
      </c>
      <c r="M185">
        <f>IF(AND('OFF_CONVAL'!M185&lt;&gt;"",IF(ISNUMBER('OFF_CONVAL'!M185),OR('OFF_CONVAL'!M185&lt;&gt;INT('OFF_CONVAL'!M185),LEN(TEXT(ABS('OFF_CONVAL'!M185),"0"))&gt;5),TRUE)),1,0)</f>
        <v/>
      </c>
      <c r="N185">
        <f>IF(AND('OFF_CONVAL'!N185&lt;&gt;"",LEN('OFF_CONVAL'!N185)&gt;20),1,0)</f>
        <v/>
      </c>
      <c r="O185">
        <f>IF(AND('OFF_CONVAL'!O185&lt;&gt;"",IF(ISNUMBER('OFF_CONVAL'!O185),OR('OFF_CONVAL'!O185&lt;&gt;INT('OFF_CONVAL'!O185),LEN(TEXT(ABS('OFF_CONVAL'!O185),"0"))&gt;15),TRUE)),1,0)</f>
        <v/>
      </c>
      <c r="P185">
        <f>IF(AND('OFF_CONVAL'!P185&lt;&gt;"",OR(LEN('OFF_CONVAL'!P185)&gt;3,COUNTIF(CL_MONEDAISO,'OFF_CONVAL'!P185)=0)),1,0)</f>
        <v/>
      </c>
      <c r="Q185">
        <f>IF(AND('OFF_CONVAL'!Q185&lt;&gt;"",NOT(ISNUMBER('OFF_CONVAL'!Q185))),1,0)</f>
        <v/>
      </c>
    </row>
    <row r="186">
      <c r="A186">
        <f>IF(AND('OFF_CONVAL'!A186&lt;&gt;"",NOT(ISNUMBER('OFF_CONVAL'!A186))),1,0)</f>
        <v/>
      </c>
      <c r="B186">
        <f>IF(AND('OFF_CONVAL'!B186&lt;&gt;"",LEN('OFF_CONVAL'!B186)&gt;20),1,0)</f>
        <v/>
      </c>
      <c r="C186">
        <f>IF(AND('OFF_CONVAL'!C186&lt;&gt;"",OR(LEN('OFF_CONVAL'!C186)&gt;1,COUNTIF(CL_POSICIONOPERACION_V4,'OFF_CONVAL'!C186)=0)),1,0)</f>
        <v/>
      </c>
      <c r="D186">
        <f>IF(AND('OFF_CONVAL'!D186&lt;&gt;"",OR(LEN('OFF_CONVAL'!D186)&gt;2,COUNTIF(CL_OBJ_OPE_V1,'OFF_CONVAL'!D186)=0)),1,0)</f>
        <v/>
      </c>
      <c r="E186">
        <f>IF(AND('OFF_CONVAL'!E186&lt;&gt;"",COUNTIF(CL_PAQ_EST_DER_V1,'OFF_CONVAL'!E186)=0),1,0)</f>
        <v/>
      </c>
      <c r="F186">
        <f>IF(AND('OFF_CONVAL'!F186&lt;&gt;"",LEN('OFF_CONVAL'!F186)&gt;20),1,0)</f>
        <v/>
      </c>
      <c r="G186">
        <f>IF(AND('OFF_CONVAL'!G186&lt;&gt;"",IF(ISNUMBER('OFF_CONVAL'!G186),OR('OFF_CONVAL'!G186&lt;&gt;INT('OFF_CONVAL'!G186),LEN(TEXT(ABS('OFF_CONVAL'!G186),"0"))&gt;3),TRUE)),1,0)</f>
        <v/>
      </c>
      <c r="H186">
        <f>IF(AND('OFF_CONVAL'!H186&lt;&gt;"",IF(ISNUMBER('OFF_CONVAL'!H186),OR('OFF_CONVAL'!H186&lt;&gt;INT('OFF_CONVAL'!H186),LEN(TEXT(ABS('OFF_CONVAL'!H186),"0"))&gt;15),TRUE)),1,0)</f>
        <v/>
      </c>
      <c r="I186">
        <f>IF(AND('OFF_CONVAL'!I186&lt;&gt;"",OR(LEN('OFF_CONVAL'!I186)&gt;3,COUNTIF(CL_MONEDAISO,'OFF_CONVAL'!I186)=0)),1,0)</f>
        <v/>
      </c>
      <c r="J186">
        <f>IF(AND('OFF_CONVAL'!J186&lt;&gt;"",IF(ISNUMBER('OFF_CONVAL'!J186),OR('OFF_CONVAL'!J186&lt;&gt;INT('OFF_CONVAL'!J186),LEN(TEXT(ABS('OFF_CONVAL'!J186),"0"))&gt;15),TRUE)),1,0)</f>
        <v/>
      </c>
      <c r="K186">
        <f>IF(AND('OFF_CONVAL'!K186&lt;&gt;"",OR(LEN('OFF_CONVAL'!K186)&gt;3,COUNTIF(CL_MONEDAISO,'OFF_CONVAL'!K186)=0)),1,0)</f>
        <v/>
      </c>
      <c r="L186">
        <f>IF(AND('OFF_CONVAL'!L186&lt;&gt;"",IF(ISNUMBER('OFF_CONVAL'!L186),OR('OFF_CONVAL'!L186&lt;&gt;INT('OFF_CONVAL'!L186),LEN(TEXT(ABS('OFF_CONVAL'!L186),"0"))&gt;5),TRUE)),1,0)</f>
        <v/>
      </c>
      <c r="M186">
        <f>IF(AND('OFF_CONVAL'!M186&lt;&gt;"",IF(ISNUMBER('OFF_CONVAL'!M186),OR('OFF_CONVAL'!M186&lt;&gt;INT('OFF_CONVAL'!M186),LEN(TEXT(ABS('OFF_CONVAL'!M186),"0"))&gt;5),TRUE)),1,0)</f>
        <v/>
      </c>
      <c r="N186">
        <f>IF(AND('OFF_CONVAL'!N186&lt;&gt;"",LEN('OFF_CONVAL'!N186)&gt;20),1,0)</f>
        <v/>
      </c>
      <c r="O186">
        <f>IF(AND('OFF_CONVAL'!O186&lt;&gt;"",IF(ISNUMBER('OFF_CONVAL'!O186),OR('OFF_CONVAL'!O186&lt;&gt;INT('OFF_CONVAL'!O186),LEN(TEXT(ABS('OFF_CONVAL'!O186),"0"))&gt;15),TRUE)),1,0)</f>
        <v/>
      </c>
      <c r="P186">
        <f>IF(AND('OFF_CONVAL'!P186&lt;&gt;"",OR(LEN('OFF_CONVAL'!P186)&gt;3,COUNTIF(CL_MONEDAISO,'OFF_CONVAL'!P186)=0)),1,0)</f>
        <v/>
      </c>
      <c r="Q186">
        <f>IF(AND('OFF_CONVAL'!Q186&lt;&gt;"",NOT(ISNUMBER('OFF_CONVAL'!Q186))),1,0)</f>
        <v/>
      </c>
    </row>
    <row r="187">
      <c r="A187">
        <f>IF(AND('OFF_CONVAL'!A187&lt;&gt;"",NOT(ISNUMBER('OFF_CONVAL'!A187))),1,0)</f>
        <v/>
      </c>
      <c r="B187">
        <f>IF(AND('OFF_CONVAL'!B187&lt;&gt;"",LEN('OFF_CONVAL'!B187)&gt;20),1,0)</f>
        <v/>
      </c>
      <c r="C187">
        <f>IF(AND('OFF_CONVAL'!C187&lt;&gt;"",OR(LEN('OFF_CONVAL'!C187)&gt;1,COUNTIF(CL_POSICIONOPERACION_V4,'OFF_CONVAL'!C187)=0)),1,0)</f>
        <v/>
      </c>
      <c r="D187">
        <f>IF(AND('OFF_CONVAL'!D187&lt;&gt;"",OR(LEN('OFF_CONVAL'!D187)&gt;2,COUNTIF(CL_OBJ_OPE_V1,'OFF_CONVAL'!D187)=0)),1,0)</f>
        <v/>
      </c>
      <c r="E187">
        <f>IF(AND('OFF_CONVAL'!E187&lt;&gt;"",COUNTIF(CL_PAQ_EST_DER_V1,'OFF_CONVAL'!E187)=0),1,0)</f>
        <v/>
      </c>
      <c r="F187">
        <f>IF(AND('OFF_CONVAL'!F187&lt;&gt;"",LEN('OFF_CONVAL'!F187)&gt;20),1,0)</f>
        <v/>
      </c>
      <c r="G187">
        <f>IF(AND('OFF_CONVAL'!G187&lt;&gt;"",IF(ISNUMBER('OFF_CONVAL'!G187),OR('OFF_CONVAL'!G187&lt;&gt;INT('OFF_CONVAL'!G187),LEN(TEXT(ABS('OFF_CONVAL'!G187),"0"))&gt;3),TRUE)),1,0)</f>
        <v/>
      </c>
      <c r="H187">
        <f>IF(AND('OFF_CONVAL'!H187&lt;&gt;"",IF(ISNUMBER('OFF_CONVAL'!H187),OR('OFF_CONVAL'!H187&lt;&gt;INT('OFF_CONVAL'!H187),LEN(TEXT(ABS('OFF_CONVAL'!H187),"0"))&gt;15),TRUE)),1,0)</f>
        <v/>
      </c>
      <c r="I187">
        <f>IF(AND('OFF_CONVAL'!I187&lt;&gt;"",OR(LEN('OFF_CONVAL'!I187)&gt;3,COUNTIF(CL_MONEDAISO,'OFF_CONVAL'!I187)=0)),1,0)</f>
        <v/>
      </c>
      <c r="J187">
        <f>IF(AND('OFF_CONVAL'!J187&lt;&gt;"",IF(ISNUMBER('OFF_CONVAL'!J187),OR('OFF_CONVAL'!J187&lt;&gt;INT('OFF_CONVAL'!J187),LEN(TEXT(ABS('OFF_CONVAL'!J187),"0"))&gt;15),TRUE)),1,0)</f>
        <v/>
      </c>
      <c r="K187">
        <f>IF(AND('OFF_CONVAL'!K187&lt;&gt;"",OR(LEN('OFF_CONVAL'!K187)&gt;3,COUNTIF(CL_MONEDAISO,'OFF_CONVAL'!K187)=0)),1,0)</f>
        <v/>
      </c>
      <c r="L187">
        <f>IF(AND('OFF_CONVAL'!L187&lt;&gt;"",IF(ISNUMBER('OFF_CONVAL'!L187),OR('OFF_CONVAL'!L187&lt;&gt;INT('OFF_CONVAL'!L187),LEN(TEXT(ABS('OFF_CONVAL'!L187),"0"))&gt;5),TRUE)),1,0)</f>
        <v/>
      </c>
      <c r="M187">
        <f>IF(AND('OFF_CONVAL'!M187&lt;&gt;"",IF(ISNUMBER('OFF_CONVAL'!M187),OR('OFF_CONVAL'!M187&lt;&gt;INT('OFF_CONVAL'!M187),LEN(TEXT(ABS('OFF_CONVAL'!M187),"0"))&gt;5),TRUE)),1,0)</f>
        <v/>
      </c>
      <c r="N187">
        <f>IF(AND('OFF_CONVAL'!N187&lt;&gt;"",LEN('OFF_CONVAL'!N187)&gt;20),1,0)</f>
        <v/>
      </c>
      <c r="O187">
        <f>IF(AND('OFF_CONVAL'!O187&lt;&gt;"",IF(ISNUMBER('OFF_CONVAL'!O187),OR('OFF_CONVAL'!O187&lt;&gt;INT('OFF_CONVAL'!O187),LEN(TEXT(ABS('OFF_CONVAL'!O187),"0"))&gt;15),TRUE)),1,0)</f>
        <v/>
      </c>
      <c r="P187">
        <f>IF(AND('OFF_CONVAL'!P187&lt;&gt;"",OR(LEN('OFF_CONVAL'!P187)&gt;3,COUNTIF(CL_MONEDAISO,'OFF_CONVAL'!P187)=0)),1,0)</f>
        <v/>
      </c>
      <c r="Q187">
        <f>IF(AND('OFF_CONVAL'!Q187&lt;&gt;"",NOT(ISNUMBER('OFF_CONVAL'!Q187))),1,0)</f>
        <v/>
      </c>
    </row>
    <row r="188">
      <c r="A188">
        <f>IF(AND('OFF_CONVAL'!A188&lt;&gt;"",NOT(ISNUMBER('OFF_CONVAL'!A188))),1,0)</f>
        <v/>
      </c>
      <c r="B188">
        <f>IF(AND('OFF_CONVAL'!B188&lt;&gt;"",LEN('OFF_CONVAL'!B188)&gt;20),1,0)</f>
        <v/>
      </c>
      <c r="C188">
        <f>IF(AND('OFF_CONVAL'!C188&lt;&gt;"",OR(LEN('OFF_CONVAL'!C188)&gt;1,COUNTIF(CL_POSICIONOPERACION_V4,'OFF_CONVAL'!C188)=0)),1,0)</f>
        <v/>
      </c>
      <c r="D188">
        <f>IF(AND('OFF_CONVAL'!D188&lt;&gt;"",OR(LEN('OFF_CONVAL'!D188)&gt;2,COUNTIF(CL_OBJ_OPE_V1,'OFF_CONVAL'!D188)=0)),1,0)</f>
        <v/>
      </c>
      <c r="E188">
        <f>IF(AND('OFF_CONVAL'!E188&lt;&gt;"",COUNTIF(CL_PAQ_EST_DER_V1,'OFF_CONVAL'!E188)=0),1,0)</f>
        <v/>
      </c>
      <c r="F188">
        <f>IF(AND('OFF_CONVAL'!F188&lt;&gt;"",LEN('OFF_CONVAL'!F188)&gt;20),1,0)</f>
        <v/>
      </c>
      <c r="G188">
        <f>IF(AND('OFF_CONVAL'!G188&lt;&gt;"",IF(ISNUMBER('OFF_CONVAL'!G188),OR('OFF_CONVAL'!G188&lt;&gt;INT('OFF_CONVAL'!G188),LEN(TEXT(ABS('OFF_CONVAL'!G188),"0"))&gt;3),TRUE)),1,0)</f>
        <v/>
      </c>
      <c r="H188">
        <f>IF(AND('OFF_CONVAL'!H188&lt;&gt;"",IF(ISNUMBER('OFF_CONVAL'!H188),OR('OFF_CONVAL'!H188&lt;&gt;INT('OFF_CONVAL'!H188),LEN(TEXT(ABS('OFF_CONVAL'!H188),"0"))&gt;15),TRUE)),1,0)</f>
        <v/>
      </c>
      <c r="I188">
        <f>IF(AND('OFF_CONVAL'!I188&lt;&gt;"",OR(LEN('OFF_CONVAL'!I188)&gt;3,COUNTIF(CL_MONEDAISO,'OFF_CONVAL'!I188)=0)),1,0)</f>
        <v/>
      </c>
      <c r="J188">
        <f>IF(AND('OFF_CONVAL'!J188&lt;&gt;"",IF(ISNUMBER('OFF_CONVAL'!J188),OR('OFF_CONVAL'!J188&lt;&gt;INT('OFF_CONVAL'!J188),LEN(TEXT(ABS('OFF_CONVAL'!J188),"0"))&gt;15),TRUE)),1,0)</f>
        <v/>
      </c>
      <c r="K188">
        <f>IF(AND('OFF_CONVAL'!K188&lt;&gt;"",OR(LEN('OFF_CONVAL'!K188)&gt;3,COUNTIF(CL_MONEDAISO,'OFF_CONVAL'!K188)=0)),1,0)</f>
        <v/>
      </c>
      <c r="L188">
        <f>IF(AND('OFF_CONVAL'!L188&lt;&gt;"",IF(ISNUMBER('OFF_CONVAL'!L188),OR('OFF_CONVAL'!L188&lt;&gt;INT('OFF_CONVAL'!L188),LEN(TEXT(ABS('OFF_CONVAL'!L188),"0"))&gt;5),TRUE)),1,0)</f>
        <v/>
      </c>
      <c r="M188">
        <f>IF(AND('OFF_CONVAL'!M188&lt;&gt;"",IF(ISNUMBER('OFF_CONVAL'!M188),OR('OFF_CONVAL'!M188&lt;&gt;INT('OFF_CONVAL'!M188),LEN(TEXT(ABS('OFF_CONVAL'!M188),"0"))&gt;5),TRUE)),1,0)</f>
        <v/>
      </c>
      <c r="N188">
        <f>IF(AND('OFF_CONVAL'!N188&lt;&gt;"",LEN('OFF_CONVAL'!N188)&gt;20),1,0)</f>
        <v/>
      </c>
      <c r="O188">
        <f>IF(AND('OFF_CONVAL'!O188&lt;&gt;"",IF(ISNUMBER('OFF_CONVAL'!O188),OR('OFF_CONVAL'!O188&lt;&gt;INT('OFF_CONVAL'!O188),LEN(TEXT(ABS('OFF_CONVAL'!O188),"0"))&gt;15),TRUE)),1,0)</f>
        <v/>
      </c>
      <c r="P188">
        <f>IF(AND('OFF_CONVAL'!P188&lt;&gt;"",OR(LEN('OFF_CONVAL'!P188)&gt;3,COUNTIF(CL_MONEDAISO,'OFF_CONVAL'!P188)=0)),1,0)</f>
        <v/>
      </c>
      <c r="Q188">
        <f>IF(AND('OFF_CONVAL'!Q188&lt;&gt;"",NOT(ISNUMBER('OFF_CONVAL'!Q188))),1,0)</f>
        <v/>
      </c>
    </row>
    <row r="189">
      <c r="A189">
        <f>IF(AND('OFF_CONVAL'!A189&lt;&gt;"",NOT(ISNUMBER('OFF_CONVAL'!A189))),1,0)</f>
        <v/>
      </c>
      <c r="B189">
        <f>IF(AND('OFF_CONVAL'!B189&lt;&gt;"",LEN('OFF_CONVAL'!B189)&gt;20),1,0)</f>
        <v/>
      </c>
      <c r="C189">
        <f>IF(AND('OFF_CONVAL'!C189&lt;&gt;"",OR(LEN('OFF_CONVAL'!C189)&gt;1,COUNTIF(CL_POSICIONOPERACION_V4,'OFF_CONVAL'!C189)=0)),1,0)</f>
        <v/>
      </c>
      <c r="D189">
        <f>IF(AND('OFF_CONVAL'!D189&lt;&gt;"",OR(LEN('OFF_CONVAL'!D189)&gt;2,COUNTIF(CL_OBJ_OPE_V1,'OFF_CONVAL'!D189)=0)),1,0)</f>
        <v/>
      </c>
      <c r="E189">
        <f>IF(AND('OFF_CONVAL'!E189&lt;&gt;"",COUNTIF(CL_PAQ_EST_DER_V1,'OFF_CONVAL'!E189)=0),1,0)</f>
        <v/>
      </c>
      <c r="F189">
        <f>IF(AND('OFF_CONVAL'!F189&lt;&gt;"",LEN('OFF_CONVAL'!F189)&gt;20),1,0)</f>
        <v/>
      </c>
      <c r="G189">
        <f>IF(AND('OFF_CONVAL'!G189&lt;&gt;"",IF(ISNUMBER('OFF_CONVAL'!G189),OR('OFF_CONVAL'!G189&lt;&gt;INT('OFF_CONVAL'!G189),LEN(TEXT(ABS('OFF_CONVAL'!G189),"0"))&gt;3),TRUE)),1,0)</f>
        <v/>
      </c>
      <c r="H189">
        <f>IF(AND('OFF_CONVAL'!H189&lt;&gt;"",IF(ISNUMBER('OFF_CONVAL'!H189),OR('OFF_CONVAL'!H189&lt;&gt;INT('OFF_CONVAL'!H189),LEN(TEXT(ABS('OFF_CONVAL'!H189),"0"))&gt;15),TRUE)),1,0)</f>
        <v/>
      </c>
      <c r="I189">
        <f>IF(AND('OFF_CONVAL'!I189&lt;&gt;"",OR(LEN('OFF_CONVAL'!I189)&gt;3,COUNTIF(CL_MONEDAISO,'OFF_CONVAL'!I189)=0)),1,0)</f>
        <v/>
      </c>
      <c r="J189">
        <f>IF(AND('OFF_CONVAL'!J189&lt;&gt;"",IF(ISNUMBER('OFF_CONVAL'!J189),OR('OFF_CONVAL'!J189&lt;&gt;INT('OFF_CONVAL'!J189),LEN(TEXT(ABS('OFF_CONVAL'!J189),"0"))&gt;15),TRUE)),1,0)</f>
        <v/>
      </c>
      <c r="K189">
        <f>IF(AND('OFF_CONVAL'!K189&lt;&gt;"",OR(LEN('OFF_CONVAL'!K189)&gt;3,COUNTIF(CL_MONEDAISO,'OFF_CONVAL'!K189)=0)),1,0)</f>
        <v/>
      </c>
      <c r="L189">
        <f>IF(AND('OFF_CONVAL'!L189&lt;&gt;"",IF(ISNUMBER('OFF_CONVAL'!L189),OR('OFF_CONVAL'!L189&lt;&gt;INT('OFF_CONVAL'!L189),LEN(TEXT(ABS('OFF_CONVAL'!L189),"0"))&gt;5),TRUE)),1,0)</f>
        <v/>
      </c>
      <c r="M189">
        <f>IF(AND('OFF_CONVAL'!M189&lt;&gt;"",IF(ISNUMBER('OFF_CONVAL'!M189),OR('OFF_CONVAL'!M189&lt;&gt;INT('OFF_CONVAL'!M189),LEN(TEXT(ABS('OFF_CONVAL'!M189),"0"))&gt;5),TRUE)),1,0)</f>
        <v/>
      </c>
      <c r="N189">
        <f>IF(AND('OFF_CONVAL'!N189&lt;&gt;"",LEN('OFF_CONVAL'!N189)&gt;20),1,0)</f>
        <v/>
      </c>
      <c r="O189">
        <f>IF(AND('OFF_CONVAL'!O189&lt;&gt;"",IF(ISNUMBER('OFF_CONVAL'!O189),OR('OFF_CONVAL'!O189&lt;&gt;INT('OFF_CONVAL'!O189),LEN(TEXT(ABS('OFF_CONVAL'!O189),"0"))&gt;15),TRUE)),1,0)</f>
        <v/>
      </c>
      <c r="P189">
        <f>IF(AND('OFF_CONVAL'!P189&lt;&gt;"",OR(LEN('OFF_CONVAL'!P189)&gt;3,COUNTIF(CL_MONEDAISO,'OFF_CONVAL'!P189)=0)),1,0)</f>
        <v/>
      </c>
      <c r="Q189">
        <f>IF(AND('OFF_CONVAL'!Q189&lt;&gt;"",NOT(ISNUMBER('OFF_CONVAL'!Q189))),1,0)</f>
        <v/>
      </c>
    </row>
    <row r="190">
      <c r="A190">
        <f>IF(AND('OFF_CONVAL'!A190&lt;&gt;"",NOT(ISNUMBER('OFF_CONVAL'!A190))),1,0)</f>
        <v/>
      </c>
      <c r="B190">
        <f>IF(AND('OFF_CONVAL'!B190&lt;&gt;"",LEN('OFF_CONVAL'!B190)&gt;20),1,0)</f>
        <v/>
      </c>
      <c r="C190">
        <f>IF(AND('OFF_CONVAL'!C190&lt;&gt;"",OR(LEN('OFF_CONVAL'!C190)&gt;1,COUNTIF(CL_POSICIONOPERACION_V4,'OFF_CONVAL'!C190)=0)),1,0)</f>
        <v/>
      </c>
      <c r="D190">
        <f>IF(AND('OFF_CONVAL'!D190&lt;&gt;"",OR(LEN('OFF_CONVAL'!D190)&gt;2,COUNTIF(CL_OBJ_OPE_V1,'OFF_CONVAL'!D190)=0)),1,0)</f>
        <v/>
      </c>
      <c r="E190">
        <f>IF(AND('OFF_CONVAL'!E190&lt;&gt;"",COUNTIF(CL_PAQ_EST_DER_V1,'OFF_CONVAL'!E190)=0),1,0)</f>
        <v/>
      </c>
      <c r="F190">
        <f>IF(AND('OFF_CONVAL'!F190&lt;&gt;"",LEN('OFF_CONVAL'!F190)&gt;20),1,0)</f>
        <v/>
      </c>
      <c r="G190">
        <f>IF(AND('OFF_CONVAL'!G190&lt;&gt;"",IF(ISNUMBER('OFF_CONVAL'!G190),OR('OFF_CONVAL'!G190&lt;&gt;INT('OFF_CONVAL'!G190),LEN(TEXT(ABS('OFF_CONVAL'!G190),"0"))&gt;3),TRUE)),1,0)</f>
        <v/>
      </c>
      <c r="H190">
        <f>IF(AND('OFF_CONVAL'!H190&lt;&gt;"",IF(ISNUMBER('OFF_CONVAL'!H190),OR('OFF_CONVAL'!H190&lt;&gt;INT('OFF_CONVAL'!H190),LEN(TEXT(ABS('OFF_CONVAL'!H190),"0"))&gt;15),TRUE)),1,0)</f>
        <v/>
      </c>
      <c r="I190">
        <f>IF(AND('OFF_CONVAL'!I190&lt;&gt;"",OR(LEN('OFF_CONVAL'!I190)&gt;3,COUNTIF(CL_MONEDAISO,'OFF_CONVAL'!I190)=0)),1,0)</f>
        <v/>
      </c>
      <c r="J190">
        <f>IF(AND('OFF_CONVAL'!J190&lt;&gt;"",IF(ISNUMBER('OFF_CONVAL'!J190),OR('OFF_CONVAL'!J190&lt;&gt;INT('OFF_CONVAL'!J190),LEN(TEXT(ABS('OFF_CONVAL'!J190),"0"))&gt;15),TRUE)),1,0)</f>
        <v/>
      </c>
      <c r="K190">
        <f>IF(AND('OFF_CONVAL'!K190&lt;&gt;"",OR(LEN('OFF_CONVAL'!K190)&gt;3,COUNTIF(CL_MONEDAISO,'OFF_CONVAL'!K190)=0)),1,0)</f>
        <v/>
      </c>
      <c r="L190">
        <f>IF(AND('OFF_CONVAL'!L190&lt;&gt;"",IF(ISNUMBER('OFF_CONVAL'!L190),OR('OFF_CONVAL'!L190&lt;&gt;INT('OFF_CONVAL'!L190),LEN(TEXT(ABS('OFF_CONVAL'!L190),"0"))&gt;5),TRUE)),1,0)</f>
        <v/>
      </c>
      <c r="M190">
        <f>IF(AND('OFF_CONVAL'!M190&lt;&gt;"",IF(ISNUMBER('OFF_CONVAL'!M190),OR('OFF_CONVAL'!M190&lt;&gt;INT('OFF_CONVAL'!M190),LEN(TEXT(ABS('OFF_CONVAL'!M190),"0"))&gt;5),TRUE)),1,0)</f>
        <v/>
      </c>
      <c r="N190">
        <f>IF(AND('OFF_CONVAL'!N190&lt;&gt;"",LEN('OFF_CONVAL'!N190)&gt;20),1,0)</f>
        <v/>
      </c>
      <c r="O190">
        <f>IF(AND('OFF_CONVAL'!O190&lt;&gt;"",IF(ISNUMBER('OFF_CONVAL'!O190),OR('OFF_CONVAL'!O190&lt;&gt;INT('OFF_CONVAL'!O190),LEN(TEXT(ABS('OFF_CONVAL'!O190),"0"))&gt;15),TRUE)),1,0)</f>
        <v/>
      </c>
      <c r="P190">
        <f>IF(AND('OFF_CONVAL'!P190&lt;&gt;"",OR(LEN('OFF_CONVAL'!P190)&gt;3,COUNTIF(CL_MONEDAISO,'OFF_CONVAL'!P190)=0)),1,0)</f>
        <v/>
      </c>
      <c r="Q190">
        <f>IF(AND('OFF_CONVAL'!Q190&lt;&gt;"",NOT(ISNUMBER('OFF_CONVAL'!Q190))),1,0)</f>
        <v/>
      </c>
    </row>
    <row r="191">
      <c r="A191">
        <f>IF(AND('OFF_CONVAL'!A191&lt;&gt;"",NOT(ISNUMBER('OFF_CONVAL'!A191))),1,0)</f>
        <v/>
      </c>
      <c r="B191">
        <f>IF(AND('OFF_CONVAL'!B191&lt;&gt;"",LEN('OFF_CONVAL'!B191)&gt;20),1,0)</f>
        <v/>
      </c>
      <c r="C191">
        <f>IF(AND('OFF_CONVAL'!C191&lt;&gt;"",OR(LEN('OFF_CONVAL'!C191)&gt;1,COUNTIF(CL_POSICIONOPERACION_V4,'OFF_CONVAL'!C191)=0)),1,0)</f>
        <v/>
      </c>
      <c r="D191">
        <f>IF(AND('OFF_CONVAL'!D191&lt;&gt;"",OR(LEN('OFF_CONVAL'!D191)&gt;2,COUNTIF(CL_OBJ_OPE_V1,'OFF_CONVAL'!D191)=0)),1,0)</f>
        <v/>
      </c>
      <c r="E191">
        <f>IF(AND('OFF_CONVAL'!E191&lt;&gt;"",COUNTIF(CL_PAQ_EST_DER_V1,'OFF_CONVAL'!E191)=0),1,0)</f>
        <v/>
      </c>
      <c r="F191">
        <f>IF(AND('OFF_CONVAL'!F191&lt;&gt;"",LEN('OFF_CONVAL'!F191)&gt;20),1,0)</f>
        <v/>
      </c>
      <c r="G191">
        <f>IF(AND('OFF_CONVAL'!G191&lt;&gt;"",IF(ISNUMBER('OFF_CONVAL'!G191),OR('OFF_CONVAL'!G191&lt;&gt;INT('OFF_CONVAL'!G191),LEN(TEXT(ABS('OFF_CONVAL'!G191),"0"))&gt;3),TRUE)),1,0)</f>
        <v/>
      </c>
      <c r="H191">
        <f>IF(AND('OFF_CONVAL'!H191&lt;&gt;"",IF(ISNUMBER('OFF_CONVAL'!H191),OR('OFF_CONVAL'!H191&lt;&gt;INT('OFF_CONVAL'!H191),LEN(TEXT(ABS('OFF_CONVAL'!H191),"0"))&gt;15),TRUE)),1,0)</f>
        <v/>
      </c>
      <c r="I191">
        <f>IF(AND('OFF_CONVAL'!I191&lt;&gt;"",OR(LEN('OFF_CONVAL'!I191)&gt;3,COUNTIF(CL_MONEDAISO,'OFF_CONVAL'!I191)=0)),1,0)</f>
        <v/>
      </c>
      <c r="J191">
        <f>IF(AND('OFF_CONVAL'!J191&lt;&gt;"",IF(ISNUMBER('OFF_CONVAL'!J191),OR('OFF_CONVAL'!J191&lt;&gt;INT('OFF_CONVAL'!J191),LEN(TEXT(ABS('OFF_CONVAL'!J191),"0"))&gt;15),TRUE)),1,0)</f>
        <v/>
      </c>
      <c r="K191">
        <f>IF(AND('OFF_CONVAL'!K191&lt;&gt;"",OR(LEN('OFF_CONVAL'!K191)&gt;3,COUNTIF(CL_MONEDAISO,'OFF_CONVAL'!K191)=0)),1,0)</f>
        <v/>
      </c>
      <c r="L191">
        <f>IF(AND('OFF_CONVAL'!L191&lt;&gt;"",IF(ISNUMBER('OFF_CONVAL'!L191),OR('OFF_CONVAL'!L191&lt;&gt;INT('OFF_CONVAL'!L191),LEN(TEXT(ABS('OFF_CONVAL'!L191),"0"))&gt;5),TRUE)),1,0)</f>
        <v/>
      </c>
      <c r="M191">
        <f>IF(AND('OFF_CONVAL'!M191&lt;&gt;"",IF(ISNUMBER('OFF_CONVAL'!M191),OR('OFF_CONVAL'!M191&lt;&gt;INT('OFF_CONVAL'!M191),LEN(TEXT(ABS('OFF_CONVAL'!M191),"0"))&gt;5),TRUE)),1,0)</f>
        <v/>
      </c>
      <c r="N191">
        <f>IF(AND('OFF_CONVAL'!N191&lt;&gt;"",LEN('OFF_CONVAL'!N191)&gt;20),1,0)</f>
        <v/>
      </c>
      <c r="O191">
        <f>IF(AND('OFF_CONVAL'!O191&lt;&gt;"",IF(ISNUMBER('OFF_CONVAL'!O191),OR('OFF_CONVAL'!O191&lt;&gt;INT('OFF_CONVAL'!O191),LEN(TEXT(ABS('OFF_CONVAL'!O191),"0"))&gt;15),TRUE)),1,0)</f>
        <v/>
      </c>
      <c r="P191">
        <f>IF(AND('OFF_CONVAL'!P191&lt;&gt;"",OR(LEN('OFF_CONVAL'!P191)&gt;3,COUNTIF(CL_MONEDAISO,'OFF_CONVAL'!P191)=0)),1,0)</f>
        <v/>
      </c>
      <c r="Q191">
        <f>IF(AND('OFF_CONVAL'!Q191&lt;&gt;"",NOT(ISNUMBER('OFF_CONVAL'!Q191))),1,0)</f>
        <v/>
      </c>
    </row>
    <row r="192">
      <c r="A192">
        <f>IF(AND('OFF_CONVAL'!A192&lt;&gt;"",NOT(ISNUMBER('OFF_CONVAL'!A192))),1,0)</f>
        <v/>
      </c>
      <c r="B192">
        <f>IF(AND('OFF_CONVAL'!B192&lt;&gt;"",LEN('OFF_CONVAL'!B192)&gt;20),1,0)</f>
        <v/>
      </c>
      <c r="C192">
        <f>IF(AND('OFF_CONVAL'!C192&lt;&gt;"",OR(LEN('OFF_CONVAL'!C192)&gt;1,COUNTIF(CL_POSICIONOPERACION_V4,'OFF_CONVAL'!C192)=0)),1,0)</f>
        <v/>
      </c>
      <c r="D192">
        <f>IF(AND('OFF_CONVAL'!D192&lt;&gt;"",OR(LEN('OFF_CONVAL'!D192)&gt;2,COUNTIF(CL_OBJ_OPE_V1,'OFF_CONVAL'!D192)=0)),1,0)</f>
        <v/>
      </c>
      <c r="E192">
        <f>IF(AND('OFF_CONVAL'!E192&lt;&gt;"",COUNTIF(CL_PAQ_EST_DER_V1,'OFF_CONVAL'!E192)=0),1,0)</f>
        <v/>
      </c>
      <c r="F192">
        <f>IF(AND('OFF_CONVAL'!F192&lt;&gt;"",LEN('OFF_CONVAL'!F192)&gt;20),1,0)</f>
        <v/>
      </c>
      <c r="G192">
        <f>IF(AND('OFF_CONVAL'!G192&lt;&gt;"",IF(ISNUMBER('OFF_CONVAL'!G192),OR('OFF_CONVAL'!G192&lt;&gt;INT('OFF_CONVAL'!G192),LEN(TEXT(ABS('OFF_CONVAL'!G192),"0"))&gt;3),TRUE)),1,0)</f>
        <v/>
      </c>
      <c r="H192">
        <f>IF(AND('OFF_CONVAL'!H192&lt;&gt;"",IF(ISNUMBER('OFF_CONVAL'!H192),OR('OFF_CONVAL'!H192&lt;&gt;INT('OFF_CONVAL'!H192),LEN(TEXT(ABS('OFF_CONVAL'!H192),"0"))&gt;15),TRUE)),1,0)</f>
        <v/>
      </c>
      <c r="I192">
        <f>IF(AND('OFF_CONVAL'!I192&lt;&gt;"",OR(LEN('OFF_CONVAL'!I192)&gt;3,COUNTIF(CL_MONEDAISO,'OFF_CONVAL'!I192)=0)),1,0)</f>
        <v/>
      </c>
      <c r="J192">
        <f>IF(AND('OFF_CONVAL'!J192&lt;&gt;"",IF(ISNUMBER('OFF_CONVAL'!J192),OR('OFF_CONVAL'!J192&lt;&gt;INT('OFF_CONVAL'!J192),LEN(TEXT(ABS('OFF_CONVAL'!J192),"0"))&gt;15),TRUE)),1,0)</f>
        <v/>
      </c>
      <c r="K192">
        <f>IF(AND('OFF_CONVAL'!K192&lt;&gt;"",OR(LEN('OFF_CONVAL'!K192)&gt;3,COUNTIF(CL_MONEDAISO,'OFF_CONVAL'!K192)=0)),1,0)</f>
        <v/>
      </c>
      <c r="L192">
        <f>IF(AND('OFF_CONVAL'!L192&lt;&gt;"",IF(ISNUMBER('OFF_CONVAL'!L192),OR('OFF_CONVAL'!L192&lt;&gt;INT('OFF_CONVAL'!L192),LEN(TEXT(ABS('OFF_CONVAL'!L192),"0"))&gt;5),TRUE)),1,0)</f>
        <v/>
      </c>
      <c r="M192">
        <f>IF(AND('OFF_CONVAL'!M192&lt;&gt;"",IF(ISNUMBER('OFF_CONVAL'!M192),OR('OFF_CONVAL'!M192&lt;&gt;INT('OFF_CONVAL'!M192),LEN(TEXT(ABS('OFF_CONVAL'!M192),"0"))&gt;5),TRUE)),1,0)</f>
        <v/>
      </c>
      <c r="N192">
        <f>IF(AND('OFF_CONVAL'!N192&lt;&gt;"",LEN('OFF_CONVAL'!N192)&gt;20),1,0)</f>
        <v/>
      </c>
      <c r="O192">
        <f>IF(AND('OFF_CONVAL'!O192&lt;&gt;"",IF(ISNUMBER('OFF_CONVAL'!O192),OR('OFF_CONVAL'!O192&lt;&gt;INT('OFF_CONVAL'!O192),LEN(TEXT(ABS('OFF_CONVAL'!O192),"0"))&gt;15),TRUE)),1,0)</f>
        <v/>
      </c>
      <c r="P192">
        <f>IF(AND('OFF_CONVAL'!P192&lt;&gt;"",OR(LEN('OFF_CONVAL'!P192)&gt;3,COUNTIF(CL_MONEDAISO,'OFF_CONVAL'!P192)=0)),1,0)</f>
        <v/>
      </c>
      <c r="Q192">
        <f>IF(AND('OFF_CONVAL'!Q192&lt;&gt;"",NOT(ISNUMBER('OFF_CONVAL'!Q192))),1,0)</f>
        <v/>
      </c>
    </row>
    <row r="193">
      <c r="A193">
        <f>IF(AND('OFF_CONVAL'!A193&lt;&gt;"",NOT(ISNUMBER('OFF_CONVAL'!A193))),1,0)</f>
        <v/>
      </c>
      <c r="B193">
        <f>IF(AND('OFF_CONVAL'!B193&lt;&gt;"",LEN('OFF_CONVAL'!B193)&gt;20),1,0)</f>
        <v/>
      </c>
      <c r="C193">
        <f>IF(AND('OFF_CONVAL'!C193&lt;&gt;"",OR(LEN('OFF_CONVAL'!C193)&gt;1,COUNTIF(CL_POSICIONOPERACION_V4,'OFF_CONVAL'!C193)=0)),1,0)</f>
        <v/>
      </c>
      <c r="D193">
        <f>IF(AND('OFF_CONVAL'!D193&lt;&gt;"",OR(LEN('OFF_CONVAL'!D193)&gt;2,COUNTIF(CL_OBJ_OPE_V1,'OFF_CONVAL'!D193)=0)),1,0)</f>
        <v/>
      </c>
      <c r="E193">
        <f>IF(AND('OFF_CONVAL'!E193&lt;&gt;"",COUNTIF(CL_PAQ_EST_DER_V1,'OFF_CONVAL'!E193)=0),1,0)</f>
        <v/>
      </c>
      <c r="F193">
        <f>IF(AND('OFF_CONVAL'!F193&lt;&gt;"",LEN('OFF_CONVAL'!F193)&gt;20),1,0)</f>
        <v/>
      </c>
      <c r="G193">
        <f>IF(AND('OFF_CONVAL'!G193&lt;&gt;"",IF(ISNUMBER('OFF_CONVAL'!G193),OR('OFF_CONVAL'!G193&lt;&gt;INT('OFF_CONVAL'!G193),LEN(TEXT(ABS('OFF_CONVAL'!G193),"0"))&gt;3),TRUE)),1,0)</f>
        <v/>
      </c>
      <c r="H193">
        <f>IF(AND('OFF_CONVAL'!H193&lt;&gt;"",IF(ISNUMBER('OFF_CONVAL'!H193),OR('OFF_CONVAL'!H193&lt;&gt;INT('OFF_CONVAL'!H193),LEN(TEXT(ABS('OFF_CONVAL'!H193),"0"))&gt;15),TRUE)),1,0)</f>
        <v/>
      </c>
      <c r="I193">
        <f>IF(AND('OFF_CONVAL'!I193&lt;&gt;"",OR(LEN('OFF_CONVAL'!I193)&gt;3,COUNTIF(CL_MONEDAISO,'OFF_CONVAL'!I193)=0)),1,0)</f>
        <v/>
      </c>
      <c r="J193">
        <f>IF(AND('OFF_CONVAL'!J193&lt;&gt;"",IF(ISNUMBER('OFF_CONVAL'!J193),OR('OFF_CONVAL'!J193&lt;&gt;INT('OFF_CONVAL'!J193),LEN(TEXT(ABS('OFF_CONVAL'!J193),"0"))&gt;15),TRUE)),1,0)</f>
        <v/>
      </c>
      <c r="K193">
        <f>IF(AND('OFF_CONVAL'!K193&lt;&gt;"",OR(LEN('OFF_CONVAL'!K193)&gt;3,COUNTIF(CL_MONEDAISO,'OFF_CONVAL'!K193)=0)),1,0)</f>
        <v/>
      </c>
      <c r="L193">
        <f>IF(AND('OFF_CONVAL'!L193&lt;&gt;"",IF(ISNUMBER('OFF_CONVAL'!L193),OR('OFF_CONVAL'!L193&lt;&gt;INT('OFF_CONVAL'!L193),LEN(TEXT(ABS('OFF_CONVAL'!L193),"0"))&gt;5),TRUE)),1,0)</f>
        <v/>
      </c>
      <c r="M193">
        <f>IF(AND('OFF_CONVAL'!M193&lt;&gt;"",IF(ISNUMBER('OFF_CONVAL'!M193),OR('OFF_CONVAL'!M193&lt;&gt;INT('OFF_CONVAL'!M193),LEN(TEXT(ABS('OFF_CONVAL'!M193),"0"))&gt;5),TRUE)),1,0)</f>
        <v/>
      </c>
      <c r="N193">
        <f>IF(AND('OFF_CONVAL'!N193&lt;&gt;"",LEN('OFF_CONVAL'!N193)&gt;20),1,0)</f>
        <v/>
      </c>
      <c r="O193">
        <f>IF(AND('OFF_CONVAL'!O193&lt;&gt;"",IF(ISNUMBER('OFF_CONVAL'!O193),OR('OFF_CONVAL'!O193&lt;&gt;INT('OFF_CONVAL'!O193),LEN(TEXT(ABS('OFF_CONVAL'!O193),"0"))&gt;15),TRUE)),1,0)</f>
        <v/>
      </c>
      <c r="P193">
        <f>IF(AND('OFF_CONVAL'!P193&lt;&gt;"",OR(LEN('OFF_CONVAL'!P193)&gt;3,COUNTIF(CL_MONEDAISO,'OFF_CONVAL'!P193)=0)),1,0)</f>
        <v/>
      </c>
      <c r="Q193">
        <f>IF(AND('OFF_CONVAL'!Q193&lt;&gt;"",NOT(ISNUMBER('OFF_CONVAL'!Q193))),1,0)</f>
        <v/>
      </c>
    </row>
    <row r="194">
      <c r="A194">
        <f>IF(AND('OFF_CONVAL'!A194&lt;&gt;"",NOT(ISNUMBER('OFF_CONVAL'!A194))),1,0)</f>
        <v/>
      </c>
      <c r="B194">
        <f>IF(AND('OFF_CONVAL'!B194&lt;&gt;"",LEN('OFF_CONVAL'!B194)&gt;20),1,0)</f>
        <v/>
      </c>
      <c r="C194">
        <f>IF(AND('OFF_CONVAL'!C194&lt;&gt;"",OR(LEN('OFF_CONVAL'!C194)&gt;1,COUNTIF(CL_POSICIONOPERACION_V4,'OFF_CONVAL'!C194)=0)),1,0)</f>
        <v/>
      </c>
      <c r="D194">
        <f>IF(AND('OFF_CONVAL'!D194&lt;&gt;"",OR(LEN('OFF_CONVAL'!D194)&gt;2,COUNTIF(CL_OBJ_OPE_V1,'OFF_CONVAL'!D194)=0)),1,0)</f>
        <v/>
      </c>
      <c r="E194">
        <f>IF(AND('OFF_CONVAL'!E194&lt;&gt;"",COUNTIF(CL_PAQ_EST_DER_V1,'OFF_CONVAL'!E194)=0),1,0)</f>
        <v/>
      </c>
      <c r="F194">
        <f>IF(AND('OFF_CONVAL'!F194&lt;&gt;"",LEN('OFF_CONVAL'!F194)&gt;20),1,0)</f>
        <v/>
      </c>
      <c r="G194">
        <f>IF(AND('OFF_CONVAL'!G194&lt;&gt;"",IF(ISNUMBER('OFF_CONVAL'!G194),OR('OFF_CONVAL'!G194&lt;&gt;INT('OFF_CONVAL'!G194),LEN(TEXT(ABS('OFF_CONVAL'!G194),"0"))&gt;3),TRUE)),1,0)</f>
        <v/>
      </c>
      <c r="H194">
        <f>IF(AND('OFF_CONVAL'!H194&lt;&gt;"",IF(ISNUMBER('OFF_CONVAL'!H194),OR('OFF_CONVAL'!H194&lt;&gt;INT('OFF_CONVAL'!H194),LEN(TEXT(ABS('OFF_CONVAL'!H194),"0"))&gt;15),TRUE)),1,0)</f>
        <v/>
      </c>
      <c r="I194">
        <f>IF(AND('OFF_CONVAL'!I194&lt;&gt;"",OR(LEN('OFF_CONVAL'!I194)&gt;3,COUNTIF(CL_MONEDAISO,'OFF_CONVAL'!I194)=0)),1,0)</f>
        <v/>
      </c>
      <c r="J194">
        <f>IF(AND('OFF_CONVAL'!J194&lt;&gt;"",IF(ISNUMBER('OFF_CONVAL'!J194),OR('OFF_CONVAL'!J194&lt;&gt;INT('OFF_CONVAL'!J194),LEN(TEXT(ABS('OFF_CONVAL'!J194),"0"))&gt;15),TRUE)),1,0)</f>
        <v/>
      </c>
      <c r="K194">
        <f>IF(AND('OFF_CONVAL'!K194&lt;&gt;"",OR(LEN('OFF_CONVAL'!K194)&gt;3,COUNTIF(CL_MONEDAISO,'OFF_CONVAL'!K194)=0)),1,0)</f>
        <v/>
      </c>
      <c r="L194">
        <f>IF(AND('OFF_CONVAL'!L194&lt;&gt;"",IF(ISNUMBER('OFF_CONVAL'!L194),OR('OFF_CONVAL'!L194&lt;&gt;INT('OFF_CONVAL'!L194),LEN(TEXT(ABS('OFF_CONVAL'!L194),"0"))&gt;5),TRUE)),1,0)</f>
        <v/>
      </c>
      <c r="M194">
        <f>IF(AND('OFF_CONVAL'!M194&lt;&gt;"",IF(ISNUMBER('OFF_CONVAL'!M194),OR('OFF_CONVAL'!M194&lt;&gt;INT('OFF_CONVAL'!M194),LEN(TEXT(ABS('OFF_CONVAL'!M194),"0"))&gt;5),TRUE)),1,0)</f>
        <v/>
      </c>
      <c r="N194">
        <f>IF(AND('OFF_CONVAL'!N194&lt;&gt;"",LEN('OFF_CONVAL'!N194)&gt;20),1,0)</f>
        <v/>
      </c>
      <c r="O194">
        <f>IF(AND('OFF_CONVAL'!O194&lt;&gt;"",IF(ISNUMBER('OFF_CONVAL'!O194),OR('OFF_CONVAL'!O194&lt;&gt;INT('OFF_CONVAL'!O194),LEN(TEXT(ABS('OFF_CONVAL'!O194),"0"))&gt;15),TRUE)),1,0)</f>
        <v/>
      </c>
      <c r="P194">
        <f>IF(AND('OFF_CONVAL'!P194&lt;&gt;"",OR(LEN('OFF_CONVAL'!P194)&gt;3,COUNTIF(CL_MONEDAISO,'OFF_CONVAL'!P194)=0)),1,0)</f>
        <v/>
      </c>
      <c r="Q194">
        <f>IF(AND('OFF_CONVAL'!Q194&lt;&gt;"",NOT(ISNUMBER('OFF_CONVAL'!Q194))),1,0)</f>
        <v/>
      </c>
    </row>
    <row r="195">
      <c r="A195">
        <f>IF(AND('OFF_CONVAL'!A195&lt;&gt;"",NOT(ISNUMBER('OFF_CONVAL'!A195))),1,0)</f>
        <v/>
      </c>
      <c r="B195">
        <f>IF(AND('OFF_CONVAL'!B195&lt;&gt;"",LEN('OFF_CONVAL'!B195)&gt;20),1,0)</f>
        <v/>
      </c>
      <c r="C195">
        <f>IF(AND('OFF_CONVAL'!C195&lt;&gt;"",OR(LEN('OFF_CONVAL'!C195)&gt;1,COUNTIF(CL_POSICIONOPERACION_V4,'OFF_CONVAL'!C195)=0)),1,0)</f>
        <v/>
      </c>
      <c r="D195">
        <f>IF(AND('OFF_CONVAL'!D195&lt;&gt;"",OR(LEN('OFF_CONVAL'!D195)&gt;2,COUNTIF(CL_OBJ_OPE_V1,'OFF_CONVAL'!D195)=0)),1,0)</f>
        <v/>
      </c>
      <c r="E195">
        <f>IF(AND('OFF_CONVAL'!E195&lt;&gt;"",COUNTIF(CL_PAQ_EST_DER_V1,'OFF_CONVAL'!E195)=0),1,0)</f>
        <v/>
      </c>
      <c r="F195">
        <f>IF(AND('OFF_CONVAL'!F195&lt;&gt;"",LEN('OFF_CONVAL'!F195)&gt;20),1,0)</f>
        <v/>
      </c>
      <c r="G195">
        <f>IF(AND('OFF_CONVAL'!G195&lt;&gt;"",IF(ISNUMBER('OFF_CONVAL'!G195),OR('OFF_CONVAL'!G195&lt;&gt;INT('OFF_CONVAL'!G195),LEN(TEXT(ABS('OFF_CONVAL'!G195),"0"))&gt;3),TRUE)),1,0)</f>
        <v/>
      </c>
      <c r="H195">
        <f>IF(AND('OFF_CONVAL'!H195&lt;&gt;"",IF(ISNUMBER('OFF_CONVAL'!H195),OR('OFF_CONVAL'!H195&lt;&gt;INT('OFF_CONVAL'!H195),LEN(TEXT(ABS('OFF_CONVAL'!H195),"0"))&gt;15),TRUE)),1,0)</f>
        <v/>
      </c>
      <c r="I195">
        <f>IF(AND('OFF_CONVAL'!I195&lt;&gt;"",OR(LEN('OFF_CONVAL'!I195)&gt;3,COUNTIF(CL_MONEDAISO,'OFF_CONVAL'!I195)=0)),1,0)</f>
        <v/>
      </c>
      <c r="J195">
        <f>IF(AND('OFF_CONVAL'!J195&lt;&gt;"",IF(ISNUMBER('OFF_CONVAL'!J195),OR('OFF_CONVAL'!J195&lt;&gt;INT('OFF_CONVAL'!J195),LEN(TEXT(ABS('OFF_CONVAL'!J195),"0"))&gt;15),TRUE)),1,0)</f>
        <v/>
      </c>
      <c r="K195">
        <f>IF(AND('OFF_CONVAL'!K195&lt;&gt;"",OR(LEN('OFF_CONVAL'!K195)&gt;3,COUNTIF(CL_MONEDAISO,'OFF_CONVAL'!K195)=0)),1,0)</f>
        <v/>
      </c>
      <c r="L195">
        <f>IF(AND('OFF_CONVAL'!L195&lt;&gt;"",IF(ISNUMBER('OFF_CONVAL'!L195),OR('OFF_CONVAL'!L195&lt;&gt;INT('OFF_CONVAL'!L195),LEN(TEXT(ABS('OFF_CONVAL'!L195),"0"))&gt;5),TRUE)),1,0)</f>
        <v/>
      </c>
      <c r="M195">
        <f>IF(AND('OFF_CONVAL'!M195&lt;&gt;"",IF(ISNUMBER('OFF_CONVAL'!M195),OR('OFF_CONVAL'!M195&lt;&gt;INT('OFF_CONVAL'!M195),LEN(TEXT(ABS('OFF_CONVAL'!M195),"0"))&gt;5),TRUE)),1,0)</f>
        <v/>
      </c>
      <c r="N195">
        <f>IF(AND('OFF_CONVAL'!N195&lt;&gt;"",LEN('OFF_CONVAL'!N195)&gt;20),1,0)</f>
        <v/>
      </c>
      <c r="O195">
        <f>IF(AND('OFF_CONVAL'!O195&lt;&gt;"",IF(ISNUMBER('OFF_CONVAL'!O195),OR('OFF_CONVAL'!O195&lt;&gt;INT('OFF_CONVAL'!O195),LEN(TEXT(ABS('OFF_CONVAL'!O195),"0"))&gt;15),TRUE)),1,0)</f>
        <v/>
      </c>
      <c r="P195">
        <f>IF(AND('OFF_CONVAL'!P195&lt;&gt;"",OR(LEN('OFF_CONVAL'!P195)&gt;3,COUNTIF(CL_MONEDAISO,'OFF_CONVAL'!P195)=0)),1,0)</f>
        <v/>
      </c>
      <c r="Q195">
        <f>IF(AND('OFF_CONVAL'!Q195&lt;&gt;"",NOT(ISNUMBER('OFF_CONVAL'!Q195))),1,0)</f>
        <v/>
      </c>
    </row>
    <row r="196">
      <c r="A196">
        <f>IF(AND('OFF_CONVAL'!A196&lt;&gt;"",NOT(ISNUMBER('OFF_CONVAL'!A196))),1,0)</f>
        <v/>
      </c>
      <c r="B196">
        <f>IF(AND('OFF_CONVAL'!B196&lt;&gt;"",LEN('OFF_CONVAL'!B196)&gt;20),1,0)</f>
        <v/>
      </c>
      <c r="C196">
        <f>IF(AND('OFF_CONVAL'!C196&lt;&gt;"",OR(LEN('OFF_CONVAL'!C196)&gt;1,COUNTIF(CL_POSICIONOPERACION_V4,'OFF_CONVAL'!C196)=0)),1,0)</f>
        <v/>
      </c>
      <c r="D196">
        <f>IF(AND('OFF_CONVAL'!D196&lt;&gt;"",OR(LEN('OFF_CONVAL'!D196)&gt;2,COUNTIF(CL_OBJ_OPE_V1,'OFF_CONVAL'!D196)=0)),1,0)</f>
        <v/>
      </c>
      <c r="E196">
        <f>IF(AND('OFF_CONVAL'!E196&lt;&gt;"",COUNTIF(CL_PAQ_EST_DER_V1,'OFF_CONVAL'!E196)=0),1,0)</f>
        <v/>
      </c>
      <c r="F196">
        <f>IF(AND('OFF_CONVAL'!F196&lt;&gt;"",LEN('OFF_CONVAL'!F196)&gt;20),1,0)</f>
        <v/>
      </c>
      <c r="G196">
        <f>IF(AND('OFF_CONVAL'!G196&lt;&gt;"",IF(ISNUMBER('OFF_CONVAL'!G196),OR('OFF_CONVAL'!G196&lt;&gt;INT('OFF_CONVAL'!G196),LEN(TEXT(ABS('OFF_CONVAL'!G196),"0"))&gt;3),TRUE)),1,0)</f>
        <v/>
      </c>
      <c r="H196">
        <f>IF(AND('OFF_CONVAL'!H196&lt;&gt;"",IF(ISNUMBER('OFF_CONVAL'!H196),OR('OFF_CONVAL'!H196&lt;&gt;INT('OFF_CONVAL'!H196),LEN(TEXT(ABS('OFF_CONVAL'!H196),"0"))&gt;15),TRUE)),1,0)</f>
        <v/>
      </c>
      <c r="I196">
        <f>IF(AND('OFF_CONVAL'!I196&lt;&gt;"",OR(LEN('OFF_CONVAL'!I196)&gt;3,COUNTIF(CL_MONEDAISO,'OFF_CONVAL'!I196)=0)),1,0)</f>
        <v/>
      </c>
      <c r="J196">
        <f>IF(AND('OFF_CONVAL'!J196&lt;&gt;"",IF(ISNUMBER('OFF_CONVAL'!J196),OR('OFF_CONVAL'!J196&lt;&gt;INT('OFF_CONVAL'!J196),LEN(TEXT(ABS('OFF_CONVAL'!J196),"0"))&gt;15),TRUE)),1,0)</f>
        <v/>
      </c>
      <c r="K196">
        <f>IF(AND('OFF_CONVAL'!K196&lt;&gt;"",OR(LEN('OFF_CONVAL'!K196)&gt;3,COUNTIF(CL_MONEDAISO,'OFF_CONVAL'!K196)=0)),1,0)</f>
        <v/>
      </c>
      <c r="L196">
        <f>IF(AND('OFF_CONVAL'!L196&lt;&gt;"",IF(ISNUMBER('OFF_CONVAL'!L196),OR('OFF_CONVAL'!L196&lt;&gt;INT('OFF_CONVAL'!L196),LEN(TEXT(ABS('OFF_CONVAL'!L196),"0"))&gt;5),TRUE)),1,0)</f>
        <v/>
      </c>
      <c r="M196">
        <f>IF(AND('OFF_CONVAL'!M196&lt;&gt;"",IF(ISNUMBER('OFF_CONVAL'!M196),OR('OFF_CONVAL'!M196&lt;&gt;INT('OFF_CONVAL'!M196),LEN(TEXT(ABS('OFF_CONVAL'!M196),"0"))&gt;5),TRUE)),1,0)</f>
        <v/>
      </c>
      <c r="N196">
        <f>IF(AND('OFF_CONVAL'!N196&lt;&gt;"",LEN('OFF_CONVAL'!N196)&gt;20),1,0)</f>
        <v/>
      </c>
      <c r="O196">
        <f>IF(AND('OFF_CONVAL'!O196&lt;&gt;"",IF(ISNUMBER('OFF_CONVAL'!O196),OR('OFF_CONVAL'!O196&lt;&gt;INT('OFF_CONVAL'!O196),LEN(TEXT(ABS('OFF_CONVAL'!O196),"0"))&gt;15),TRUE)),1,0)</f>
        <v/>
      </c>
      <c r="P196">
        <f>IF(AND('OFF_CONVAL'!P196&lt;&gt;"",OR(LEN('OFF_CONVAL'!P196)&gt;3,COUNTIF(CL_MONEDAISO,'OFF_CONVAL'!P196)=0)),1,0)</f>
        <v/>
      </c>
      <c r="Q196">
        <f>IF(AND('OFF_CONVAL'!Q196&lt;&gt;"",NOT(ISNUMBER('OFF_CONVAL'!Q196))),1,0)</f>
        <v/>
      </c>
    </row>
    <row r="197">
      <c r="A197">
        <f>IF(AND('OFF_CONVAL'!A197&lt;&gt;"",NOT(ISNUMBER('OFF_CONVAL'!A197))),1,0)</f>
        <v/>
      </c>
      <c r="B197">
        <f>IF(AND('OFF_CONVAL'!B197&lt;&gt;"",LEN('OFF_CONVAL'!B197)&gt;20),1,0)</f>
        <v/>
      </c>
      <c r="C197">
        <f>IF(AND('OFF_CONVAL'!C197&lt;&gt;"",OR(LEN('OFF_CONVAL'!C197)&gt;1,COUNTIF(CL_POSICIONOPERACION_V4,'OFF_CONVAL'!C197)=0)),1,0)</f>
        <v/>
      </c>
      <c r="D197">
        <f>IF(AND('OFF_CONVAL'!D197&lt;&gt;"",OR(LEN('OFF_CONVAL'!D197)&gt;2,COUNTIF(CL_OBJ_OPE_V1,'OFF_CONVAL'!D197)=0)),1,0)</f>
        <v/>
      </c>
      <c r="E197">
        <f>IF(AND('OFF_CONVAL'!E197&lt;&gt;"",COUNTIF(CL_PAQ_EST_DER_V1,'OFF_CONVAL'!E197)=0),1,0)</f>
        <v/>
      </c>
      <c r="F197">
        <f>IF(AND('OFF_CONVAL'!F197&lt;&gt;"",LEN('OFF_CONVAL'!F197)&gt;20),1,0)</f>
        <v/>
      </c>
      <c r="G197">
        <f>IF(AND('OFF_CONVAL'!G197&lt;&gt;"",IF(ISNUMBER('OFF_CONVAL'!G197),OR('OFF_CONVAL'!G197&lt;&gt;INT('OFF_CONVAL'!G197),LEN(TEXT(ABS('OFF_CONVAL'!G197),"0"))&gt;3),TRUE)),1,0)</f>
        <v/>
      </c>
      <c r="H197">
        <f>IF(AND('OFF_CONVAL'!H197&lt;&gt;"",IF(ISNUMBER('OFF_CONVAL'!H197),OR('OFF_CONVAL'!H197&lt;&gt;INT('OFF_CONVAL'!H197),LEN(TEXT(ABS('OFF_CONVAL'!H197),"0"))&gt;15),TRUE)),1,0)</f>
        <v/>
      </c>
      <c r="I197">
        <f>IF(AND('OFF_CONVAL'!I197&lt;&gt;"",OR(LEN('OFF_CONVAL'!I197)&gt;3,COUNTIF(CL_MONEDAISO,'OFF_CONVAL'!I197)=0)),1,0)</f>
        <v/>
      </c>
      <c r="J197">
        <f>IF(AND('OFF_CONVAL'!J197&lt;&gt;"",IF(ISNUMBER('OFF_CONVAL'!J197),OR('OFF_CONVAL'!J197&lt;&gt;INT('OFF_CONVAL'!J197),LEN(TEXT(ABS('OFF_CONVAL'!J197),"0"))&gt;15),TRUE)),1,0)</f>
        <v/>
      </c>
      <c r="K197">
        <f>IF(AND('OFF_CONVAL'!K197&lt;&gt;"",OR(LEN('OFF_CONVAL'!K197)&gt;3,COUNTIF(CL_MONEDAISO,'OFF_CONVAL'!K197)=0)),1,0)</f>
        <v/>
      </c>
      <c r="L197">
        <f>IF(AND('OFF_CONVAL'!L197&lt;&gt;"",IF(ISNUMBER('OFF_CONVAL'!L197),OR('OFF_CONVAL'!L197&lt;&gt;INT('OFF_CONVAL'!L197),LEN(TEXT(ABS('OFF_CONVAL'!L197),"0"))&gt;5),TRUE)),1,0)</f>
        <v/>
      </c>
      <c r="M197">
        <f>IF(AND('OFF_CONVAL'!M197&lt;&gt;"",IF(ISNUMBER('OFF_CONVAL'!M197),OR('OFF_CONVAL'!M197&lt;&gt;INT('OFF_CONVAL'!M197),LEN(TEXT(ABS('OFF_CONVAL'!M197),"0"))&gt;5),TRUE)),1,0)</f>
        <v/>
      </c>
      <c r="N197">
        <f>IF(AND('OFF_CONVAL'!N197&lt;&gt;"",LEN('OFF_CONVAL'!N197)&gt;20),1,0)</f>
        <v/>
      </c>
      <c r="O197">
        <f>IF(AND('OFF_CONVAL'!O197&lt;&gt;"",IF(ISNUMBER('OFF_CONVAL'!O197),OR('OFF_CONVAL'!O197&lt;&gt;INT('OFF_CONVAL'!O197),LEN(TEXT(ABS('OFF_CONVAL'!O197),"0"))&gt;15),TRUE)),1,0)</f>
        <v/>
      </c>
      <c r="P197">
        <f>IF(AND('OFF_CONVAL'!P197&lt;&gt;"",OR(LEN('OFF_CONVAL'!P197)&gt;3,COUNTIF(CL_MONEDAISO,'OFF_CONVAL'!P197)=0)),1,0)</f>
        <v/>
      </c>
      <c r="Q197">
        <f>IF(AND('OFF_CONVAL'!Q197&lt;&gt;"",NOT(ISNUMBER('OFF_CONVAL'!Q197))),1,0)</f>
        <v/>
      </c>
    </row>
    <row r="198">
      <c r="A198">
        <f>IF(AND('OFF_CONVAL'!A198&lt;&gt;"",NOT(ISNUMBER('OFF_CONVAL'!A198))),1,0)</f>
        <v/>
      </c>
      <c r="B198">
        <f>IF(AND('OFF_CONVAL'!B198&lt;&gt;"",LEN('OFF_CONVAL'!B198)&gt;20),1,0)</f>
        <v/>
      </c>
      <c r="C198">
        <f>IF(AND('OFF_CONVAL'!C198&lt;&gt;"",OR(LEN('OFF_CONVAL'!C198)&gt;1,COUNTIF(CL_POSICIONOPERACION_V4,'OFF_CONVAL'!C198)=0)),1,0)</f>
        <v/>
      </c>
      <c r="D198">
        <f>IF(AND('OFF_CONVAL'!D198&lt;&gt;"",OR(LEN('OFF_CONVAL'!D198)&gt;2,COUNTIF(CL_OBJ_OPE_V1,'OFF_CONVAL'!D198)=0)),1,0)</f>
        <v/>
      </c>
      <c r="E198">
        <f>IF(AND('OFF_CONVAL'!E198&lt;&gt;"",COUNTIF(CL_PAQ_EST_DER_V1,'OFF_CONVAL'!E198)=0),1,0)</f>
        <v/>
      </c>
      <c r="F198">
        <f>IF(AND('OFF_CONVAL'!F198&lt;&gt;"",LEN('OFF_CONVAL'!F198)&gt;20),1,0)</f>
        <v/>
      </c>
      <c r="G198">
        <f>IF(AND('OFF_CONVAL'!G198&lt;&gt;"",IF(ISNUMBER('OFF_CONVAL'!G198),OR('OFF_CONVAL'!G198&lt;&gt;INT('OFF_CONVAL'!G198),LEN(TEXT(ABS('OFF_CONVAL'!G198),"0"))&gt;3),TRUE)),1,0)</f>
        <v/>
      </c>
      <c r="H198">
        <f>IF(AND('OFF_CONVAL'!H198&lt;&gt;"",IF(ISNUMBER('OFF_CONVAL'!H198),OR('OFF_CONVAL'!H198&lt;&gt;INT('OFF_CONVAL'!H198),LEN(TEXT(ABS('OFF_CONVAL'!H198),"0"))&gt;15),TRUE)),1,0)</f>
        <v/>
      </c>
      <c r="I198">
        <f>IF(AND('OFF_CONVAL'!I198&lt;&gt;"",OR(LEN('OFF_CONVAL'!I198)&gt;3,COUNTIF(CL_MONEDAISO,'OFF_CONVAL'!I198)=0)),1,0)</f>
        <v/>
      </c>
      <c r="J198">
        <f>IF(AND('OFF_CONVAL'!J198&lt;&gt;"",IF(ISNUMBER('OFF_CONVAL'!J198),OR('OFF_CONVAL'!J198&lt;&gt;INT('OFF_CONVAL'!J198),LEN(TEXT(ABS('OFF_CONVAL'!J198),"0"))&gt;15),TRUE)),1,0)</f>
        <v/>
      </c>
      <c r="K198">
        <f>IF(AND('OFF_CONVAL'!K198&lt;&gt;"",OR(LEN('OFF_CONVAL'!K198)&gt;3,COUNTIF(CL_MONEDAISO,'OFF_CONVAL'!K198)=0)),1,0)</f>
        <v/>
      </c>
      <c r="L198">
        <f>IF(AND('OFF_CONVAL'!L198&lt;&gt;"",IF(ISNUMBER('OFF_CONVAL'!L198),OR('OFF_CONVAL'!L198&lt;&gt;INT('OFF_CONVAL'!L198),LEN(TEXT(ABS('OFF_CONVAL'!L198),"0"))&gt;5),TRUE)),1,0)</f>
        <v/>
      </c>
      <c r="M198">
        <f>IF(AND('OFF_CONVAL'!M198&lt;&gt;"",IF(ISNUMBER('OFF_CONVAL'!M198),OR('OFF_CONVAL'!M198&lt;&gt;INT('OFF_CONVAL'!M198),LEN(TEXT(ABS('OFF_CONVAL'!M198),"0"))&gt;5),TRUE)),1,0)</f>
        <v/>
      </c>
      <c r="N198">
        <f>IF(AND('OFF_CONVAL'!N198&lt;&gt;"",LEN('OFF_CONVAL'!N198)&gt;20),1,0)</f>
        <v/>
      </c>
      <c r="O198">
        <f>IF(AND('OFF_CONVAL'!O198&lt;&gt;"",IF(ISNUMBER('OFF_CONVAL'!O198),OR('OFF_CONVAL'!O198&lt;&gt;INT('OFF_CONVAL'!O198),LEN(TEXT(ABS('OFF_CONVAL'!O198),"0"))&gt;15),TRUE)),1,0)</f>
        <v/>
      </c>
      <c r="P198">
        <f>IF(AND('OFF_CONVAL'!P198&lt;&gt;"",OR(LEN('OFF_CONVAL'!P198)&gt;3,COUNTIF(CL_MONEDAISO,'OFF_CONVAL'!P198)=0)),1,0)</f>
        <v/>
      </c>
      <c r="Q198">
        <f>IF(AND('OFF_CONVAL'!Q198&lt;&gt;"",NOT(ISNUMBER('OFF_CONVAL'!Q198))),1,0)</f>
        <v/>
      </c>
    </row>
    <row r="199">
      <c r="A199">
        <f>IF(AND('OFF_CONVAL'!A199&lt;&gt;"",NOT(ISNUMBER('OFF_CONVAL'!A199))),1,0)</f>
        <v/>
      </c>
      <c r="B199">
        <f>IF(AND('OFF_CONVAL'!B199&lt;&gt;"",LEN('OFF_CONVAL'!B199)&gt;20),1,0)</f>
        <v/>
      </c>
      <c r="C199">
        <f>IF(AND('OFF_CONVAL'!C199&lt;&gt;"",OR(LEN('OFF_CONVAL'!C199)&gt;1,COUNTIF(CL_POSICIONOPERACION_V4,'OFF_CONVAL'!C199)=0)),1,0)</f>
        <v/>
      </c>
      <c r="D199">
        <f>IF(AND('OFF_CONVAL'!D199&lt;&gt;"",OR(LEN('OFF_CONVAL'!D199)&gt;2,COUNTIF(CL_OBJ_OPE_V1,'OFF_CONVAL'!D199)=0)),1,0)</f>
        <v/>
      </c>
      <c r="E199">
        <f>IF(AND('OFF_CONVAL'!E199&lt;&gt;"",COUNTIF(CL_PAQ_EST_DER_V1,'OFF_CONVAL'!E199)=0),1,0)</f>
        <v/>
      </c>
      <c r="F199">
        <f>IF(AND('OFF_CONVAL'!F199&lt;&gt;"",LEN('OFF_CONVAL'!F199)&gt;20),1,0)</f>
        <v/>
      </c>
      <c r="G199">
        <f>IF(AND('OFF_CONVAL'!G199&lt;&gt;"",IF(ISNUMBER('OFF_CONVAL'!G199),OR('OFF_CONVAL'!G199&lt;&gt;INT('OFF_CONVAL'!G199),LEN(TEXT(ABS('OFF_CONVAL'!G199),"0"))&gt;3),TRUE)),1,0)</f>
        <v/>
      </c>
      <c r="H199">
        <f>IF(AND('OFF_CONVAL'!H199&lt;&gt;"",IF(ISNUMBER('OFF_CONVAL'!H199),OR('OFF_CONVAL'!H199&lt;&gt;INT('OFF_CONVAL'!H199),LEN(TEXT(ABS('OFF_CONVAL'!H199),"0"))&gt;15),TRUE)),1,0)</f>
        <v/>
      </c>
      <c r="I199">
        <f>IF(AND('OFF_CONVAL'!I199&lt;&gt;"",OR(LEN('OFF_CONVAL'!I199)&gt;3,COUNTIF(CL_MONEDAISO,'OFF_CONVAL'!I199)=0)),1,0)</f>
        <v/>
      </c>
      <c r="J199">
        <f>IF(AND('OFF_CONVAL'!J199&lt;&gt;"",IF(ISNUMBER('OFF_CONVAL'!J199),OR('OFF_CONVAL'!J199&lt;&gt;INT('OFF_CONVAL'!J199),LEN(TEXT(ABS('OFF_CONVAL'!J199),"0"))&gt;15),TRUE)),1,0)</f>
        <v/>
      </c>
      <c r="K199">
        <f>IF(AND('OFF_CONVAL'!K199&lt;&gt;"",OR(LEN('OFF_CONVAL'!K199)&gt;3,COUNTIF(CL_MONEDAISO,'OFF_CONVAL'!K199)=0)),1,0)</f>
        <v/>
      </c>
      <c r="L199">
        <f>IF(AND('OFF_CONVAL'!L199&lt;&gt;"",IF(ISNUMBER('OFF_CONVAL'!L199),OR('OFF_CONVAL'!L199&lt;&gt;INT('OFF_CONVAL'!L199),LEN(TEXT(ABS('OFF_CONVAL'!L199),"0"))&gt;5),TRUE)),1,0)</f>
        <v/>
      </c>
      <c r="M199">
        <f>IF(AND('OFF_CONVAL'!M199&lt;&gt;"",IF(ISNUMBER('OFF_CONVAL'!M199),OR('OFF_CONVAL'!M199&lt;&gt;INT('OFF_CONVAL'!M199),LEN(TEXT(ABS('OFF_CONVAL'!M199),"0"))&gt;5),TRUE)),1,0)</f>
        <v/>
      </c>
      <c r="N199">
        <f>IF(AND('OFF_CONVAL'!N199&lt;&gt;"",LEN('OFF_CONVAL'!N199)&gt;20),1,0)</f>
        <v/>
      </c>
      <c r="O199">
        <f>IF(AND('OFF_CONVAL'!O199&lt;&gt;"",IF(ISNUMBER('OFF_CONVAL'!O199),OR('OFF_CONVAL'!O199&lt;&gt;INT('OFF_CONVAL'!O199),LEN(TEXT(ABS('OFF_CONVAL'!O199),"0"))&gt;15),TRUE)),1,0)</f>
        <v/>
      </c>
      <c r="P199">
        <f>IF(AND('OFF_CONVAL'!P199&lt;&gt;"",OR(LEN('OFF_CONVAL'!P199)&gt;3,COUNTIF(CL_MONEDAISO,'OFF_CONVAL'!P199)=0)),1,0)</f>
        <v/>
      </c>
      <c r="Q199">
        <f>IF(AND('OFF_CONVAL'!Q199&lt;&gt;"",NOT(ISNUMBER('OFF_CONVAL'!Q199))),1,0)</f>
        <v/>
      </c>
    </row>
    <row r="200">
      <c r="A200">
        <f>IF(AND('OFF_CONVAL'!A200&lt;&gt;"",NOT(ISNUMBER('OFF_CONVAL'!A200))),1,0)</f>
        <v/>
      </c>
      <c r="B200">
        <f>IF(AND('OFF_CONVAL'!B200&lt;&gt;"",LEN('OFF_CONVAL'!B200)&gt;20),1,0)</f>
        <v/>
      </c>
      <c r="C200">
        <f>IF(AND('OFF_CONVAL'!C200&lt;&gt;"",OR(LEN('OFF_CONVAL'!C200)&gt;1,COUNTIF(CL_POSICIONOPERACION_V4,'OFF_CONVAL'!C200)=0)),1,0)</f>
        <v/>
      </c>
      <c r="D200">
        <f>IF(AND('OFF_CONVAL'!D200&lt;&gt;"",OR(LEN('OFF_CONVAL'!D200)&gt;2,COUNTIF(CL_OBJ_OPE_V1,'OFF_CONVAL'!D200)=0)),1,0)</f>
        <v/>
      </c>
      <c r="E200">
        <f>IF(AND('OFF_CONVAL'!E200&lt;&gt;"",COUNTIF(CL_PAQ_EST_DER_V1,'OFF_CONVAL'!E200)=0),1,0)</f>
        <v/>
      </c>
      <c r="F200">
        <f>IF(AND('OFF_CONVAL'!F200&lt;&gt;"",LEN('OFF_CONVAL'!F200)&gt;20),1,0)</f>
        <v/>
      </c>
      <c r="G200">
        <f>IF(AND('OFF_CONVAL'!G200&lt;&gt;"",IF(ISNUMBER('OFF_CONVAL'!G200),OR('OFF_CONVAL'!G200&lt;&gt;INT('OFF_CONVAL'!G200),LEN(TEXT(ABS('OFF_CONVAL'!G200),"0"))&gt;3),TRUE)),1,0)</f>
        <v/>
      </c>
      <c r="H200">
        <f>IF(AND('OFF_CONVAL'!H200&lt;&gt;"",IF(ISNUMBER('OFF_CONVAL'!H200),OR('OFF_CONVAL'!H200&lt;&gt;INT('OFF_CONVAL'!H200),LEN(TEXT(ABS('OFF_CONVAL'!H200),"0"))&gt;15),TRUE)),1,0)</f>
        <v/>
      </c>
      <c r="I200">
        <f>IF(AND('OFF_CONVAL'!I200&lt;&gt;"",OR(LEN('OFF_CONVAL'!I200)&gt;3,COUNTIF(CL_MONEDAISO,'OFF_CONVAL'!I200)=0)),1,0)</f>
        <v/>
      </c>
      <c r="J200">
        <f>IF(AND('OFF_CONVAL'!J200&lt;&gt;"",IF(ISNUMBER('OFF_CONVAL'!J200),OR('OFF_CONVAL'!J200&lt;&gt;INT('OFF_CONVAL'!J200),LEN(TEXT(ABS('OFF_CONVAL'!J200),"0"))&gt;15),TRUE)),1,0)</f>
        <v/>
      </c>
      <c r="K200">
        <f>IF(AND('OFF_CONVAL'!K200&lt;&gt;"",OR(LEN('OFF_CONVAL'!K200)&gt;3,COUNTIF(CL_MONEDAISO,'OFF_CONVAL'!K200)=0)),1,0)</f>
        <v/>
      </c>
      <c r="L200">
        <f>IF(AND('OFF_CONVAL'!L200&lt;&gt;"",IF(ISNUMBER('OFF_CONVAL'!L200),OR('OFF_CONVAL'!L200&lt;&gt;INT('OFF_CONVAL'!L200),LEN(TEXT(ABS('OFF_CONVAL'!L200),"0"))&gt;5),TRUE)),1,0)</f>
        <v/>
      </c>
      <c r="M200">
        <f>IF(AND('OFF_CONVAL'!M200&lt;&gt;"",IF(ISNUMBER('OFF_CONVAL'!M200),OR('OFF_CONVAL'!M200&lt;&gt;INT('OFF_CONVAL'!M200),LEN(TEXT(ABS('OFF_CONVAL'!M200),"0"))&gt;5),TRUE)),1,0)</f>
        <v/>
      </c>
      <c r="N200">
        <f>IF(AND('OFF_CONVAL'!N200&lt;&gt;"",LEN('OFF_CONVAL'!N200)&gt;20),1,0)</f>
        <v/>
      </c>
      <c r="O200">
        <f>IF(AND('OFF_CONVAL'!O200&lt;&gt;"",IF(ISNUMBER('OFF_CONVAL'!O200),OR('OFF_CONVAL'!O200&lt;&gt;INT('OFF_CONVAL'!O200),LEN(TEXT(ABS('OFF_CONVAL'!O200),"0"))&gt;15),TRUE)),1,0)</f>
        <v/>
      </c>
      <c r="P200">
        <f>IF(AND('OFF_CONVAL'!P200&lt;&gt;"",OR(LEN('OFF_CONVAL'!P200)&gt;3,COUNTIF(CL_MONEDAISO,'OFF_CONVAL'!P200)=0)),1,0)</f>
        <v/>
      </c>
      <c r="Q200">
        <f>IF(AND('OFF_CONVAL'!Q200&lt;&gt;"",NOT(ISNUMBER('OFF_CONVAL'!Q200))),1,0)</f>
        <v/>
      </c>
    </row>
    <row r="201">
      <c r="A201">
        <f>IF(AND('OFF_CONVAL'!A201&lt;&gt;"",NOT(ISNUMBER('OFF_CONVAL'!A201))),1,0)</f>
        <v/>
      </c>
      <c r="B201">
        <f>IF(AND('OFF_CONVAL'!B201&lt;&gt;"",LEN('OFF_CONVAL'!B201)&gt;20),1,0)</f>
        <v/>
      </c>
      <c r="C201">
        <f>IF(AND('OFF_CONVAL'!C201&lt;&gt;"",OR(LEN('OFF_CONVAL'!C201)&gt;1,COUNTIF(CL_POSICIONOPERACION_V4,'OFF_CONVAL'!C201)=0)),1,0)</f>
        <v/>
      </c>
      <c r="D201">
        <f>IF(AND('OFF_CONVAL'!D201&lt;&gt;"",OR(LEN('OFF_CONVAL'!D201)&gt;2,COUNTIF(CL_OBJ_OPE_V1,'OFF_CONVAL'!D201)=0)),1,0)</f>
        <v/>
      </c>
      <c r="E201">
        <f>IF(AND('OFF_CONVAL'!E201&lt;&gt;"",COUNTIF(CL_PAQ_EST_DER_V1,'OFF_CONVAL'!E201)=0),1,0)</f>
        <v/>
      </c>
      <c r="F201">
        <f>IF(AND('OFF_CONVAL'!F201&lt;&gt;"",LEN('OFF_CONVAL'!F201)&gt;20),1,0)</f>
        <v/>
      </c>
      <c r="G201">
        <f>IF(AND('OFF_CONVAL'!G201&lt;&gt;"",IF(ISNUMBER('OFF_CONVAL'!G201),OR('OFF_CONVAL'!G201&lt;&gt;INT('OFF_CONVAL'!G201),LEN(TEXT(ABS('OFF_CONVAL'!G201),"0"))&gt;3),TRUE)),1,0)</f>
        <v/>
      </c>
      <c r="H201">
        <f>IF(AND('OFF_CONVAL'!H201&lt;&gt;"",IF(ISNUMBER('OFF_CONVAL'!H201),OR('OFF_CONVAL'!H201&lt;&gt;INT('OFF_CONVAL'!H201),LEN(TEXT(ABS('OFF_CONVAL'!H201),"0"))&gt;15),TRUE)),1,0)</f>
        <v/>
      </c>
      <c r="I201">
        <f>IF(AND('OFF_CONVAL'!I201&lt;&gt;"",OR(LEN('OFF_CONVAL'!I201)&gt;3,COUNTIF(CL_MONEDAISO,'OFF_CONVAL'!I201)=0)),1,0)</f>
        <v/>
      </c>
      <c r="J201">
        <f>IF(AND('OFF_CONVAL'!J201&lt;&gt;"",IF(ISNUMBER('OFF_CONVAL'!J201),OR('OFF_CONVAL'!J201&lt;&gt;INT('OFF_CONVAL'!J201),LEN(TEXT(ABS('OFF_CONVAL'!J201),"0"))&gt;15),TRUE)),1,0)</f>
        <v/>
      </c>
      <c r="K201">
        <f>IF(AND('OFF_CONVAL'!K201&lt;&gt;"",OR(LEN('OFF_CONVAL'!K201)&gt;3,COUNTIF(CL_MONEDAISO,'OFF_CONVAL'!K201)=0)),1,0)</f>
        <v/>
      </c>
      <c r="L201">
        <f>IF(AND('OFF_CONVAL'!L201&lt;&gt;"",IF(ISNUMBER('OFF_CONVAL'!L201),OR('OFF_CONVAL'!L201&lt;&gt;INT('OFF_CONVAL'!L201),LEN(TEXT(ABS('OFF_CONVAL'!L201),"0"))&gt;5),TRUE)),1,0)</f>
        <v/>
      </c>
      <c r="M201">
        <f>IF(AND('OFF_CONVAL'!M201&lt;&gt;"",IF(ISNUMBER('OFF_CONVAL'!M201),OR('OFF_CONVAL'!M201&lt;&gt;INT('OFF_CONVAL'!M201),LEN(TEXT(ABS('OFF_CONVAL'!M201),"0"))&gt;5),TRUE)),1,0)</f>
        <v/>
      </c>
      <c r="N201">
        <f>IF(AND('OFF_CONVAL'!N201&lt;&gt;"",LEN('OFF_CONVAL'!N201)&gt;20),1,0)</f>
        <v/>
      </c>
      <c r="O201">
        <f>IF(AND('OFF_CONVAL'!O201&lt;&gt;"",IF(ISNUMBER('OFF_CONVAL'!O201),OR('OFF_CONVAL'!O201&lt;&gt;INT('OFF_CONVAL'!O201),LEN(TEXT(ABS('OFF_CONVAL'!O201),"0"))&gt;15),TRUE)),1,0)</f>
        <v/>
      </c>
      <c r="P201">
        <f>IF(AND('OFF_CONVAL'!P201&lt;&gt;"",OR(LEN('OFF_CONVAL'!P201)&gt;3,COUNTIF(CL_MONEDAISO,'OFF_CONVAL'!P201)=0)),1,0)</f>
        <v/>
      </c>
      <c r="Q201">
        <f>IF(AND('OFF_CONVAL'!Q201&lt;&gt;"",NOT(ISNUMBER('OFF_CONVAL'!Q201))),1,0)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2026-07-14T15:29:29Z</dcterms:created>
  <dcterms:modified xsi:type="dcterms:W3CDTF">2026-07-14T15:29:29Z</dcterms:modified>
</cp:coreProperties>
</file>