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CF_I" sheetId="2" state="visible" r:id="rId2"/>
    <sheet name="CAT_TIPO_OPERACION_CF_I" sheetId="3" state="hidden" r:id="rId3"/>
    <sheet name="CAT_TIPO_FONDEO_CF_I" sheetId="4" state="hidden" r:id="rId4"/>
    <sheet name="CAT_MONEDA_ISO" sheetId="5" state="hidden" r:id="rId5"/>
    <sheet name="CAT_TIPO_RELACION_ACREDITADO" sheetId="6" state="hidden" r:id="rId6"/>
    <sheet name="CHK" sheetId="7" state="hidden" r:id="rId7"/>
  </sheets>
  <definedNames>
    <definedName name="CL_TIPO_OPERACION_CF_I">CAT_TIPO_OPERACION_CF_I!$A$2:$A$5</definedName>
    <definedName name="CL_TIPO_FONDEO_CF_I">CAT_TIPO_FONDEO_CF_I!$A$2:$A$10</definedName>
    <definedName name="CL_MONEDA_ISO">CAT_MONEDA_ISO!$A$2:$A$190</definedName>
    <definedName name="CL_TIPO_RELACION_ACREDITADO">CAT_TIPO_RELACION_ACREDITADO!$A$2:$A$10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Tipo de Operación</t>
      </text>
    </comment>
    <comment ref="B1" authorId="0" shapeId="0">
      <text>
        <t>DESCRIPCION:
Tipo de Fondeo</t>
      </text>
    </comment>
    <comment ref="C1" authorId="0" shapeId="0">
      <text>
        <t>DESCRIPCION:
Fecha de inicio de la operación</t>
      </text>
    </comment>
    <comment ref="D1" authorId="0" shapeId="0">
      <text>
        <t>DESCRIPCION:
Fecha de vencimiento de la operación</t>
      </text>
    </comment>
    <comment ref="E1" authorId="0" shapeId="0">
      <text>
        <t>DESCRIPCION:
Monto de la operación</t>
      </text>
    </comment>
    <comment ref="F1" authorId="0" shapeId="0">
      <text>
        <t>DESCRIPCION:
Moneda a la que se refiere la operación</t>
      </text>
    </comment>
    <comment ref="G1" authorId="0" shapeId="0">
      <text>
        <t>DESCRIPCION:
Clave del acreedor, conforme al formulario de contrapartes</t>
      </text>
    </comment>
    <comment ref="H1" authorId="0" shapeId="0">
      <text>
        <t>DESCRIPCION:
Clave de identificación (folio) de la operación</t>
      </text>
    </comment>
    <comment ref="I1" authorId="0" shapeId="0">
      <text>
        <t>DESCRIPCION:
Tipo de relación del acreditado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SUM(CHK!A2:I201)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TIPOOPERACION</t>
        </is>
      </c>
      <c r="C6" t="inlineStr">
        <is>
          <t>NUMERICO</t>
        </is>
      </c>
      <c r="D6" t="inlineStr">
        <is>
          <t>2</t>
        </is>
      </c>
      <c r="E6" t="inlineStr">
        <is>
          <t>TIPO OPERACION CF I</t>
        </is>
      </c>
      <c r="F6">
        <f>SUM(CHK!A2:A201)</f>
        <v/>
      </c>
      <c r="G6">
        <f>COUNTBLANK('CF_I'!A2:A201)</f>
        <v/>
      </c>
    </row>
    <row r="7">
      <c r="A7" t="n">
        <v>2</v>
      </c>
      <c r="B7" t="inlineStr">
        <is>
          <t>TIPOFONDEO</t>
        </is>
      </c>
      <c r="C7" t="inlineStr">
        <is>
          <t>NUMERICO</t>
        </is>
      </c>
      <c r="D7" t="inlineStr">
        <is>
          <t>2</t>
        </is>
      </c>
      <c r="E7" t="inlineStr">
        <is>
          <t>TIPO FONDEO CF I</t>
        </is>
      </c>
      <c r="F7">
        <f>SUM(CHK!B2:B201)</f>
        <v/>
      </c>
      <c r="G7">
        <f>COUNTBLANK('CF_I'!B2:B201)</f>
        <v/>
      </c>
    </row>
    <row r="8">
      <c r="A8" t="n">
        <v>3</v>
      </c>
      <c r="B8" t="inlineStr">
        <is>
          <t>FECHA_INICIO</t>
        </is>
      </c>
      <c r="C8" t="inlineStr">
        <is>
          <t>FECHA</t>
        </is>
      </c>
      <c r="D8" t="inlineStr">
        <is>
          <t>DD/MM/AAAA</t>
        </is>
      </c>
      <c r="E8" t="inlineStr">
        <is>
          <t>—</t>
        </is>
      </c>
      <c r="F8">
        <f>SUM(CHK!C2:C201)</f>
        <v/>
      </c>
      <c r="G8">
        <f>COUNTBLANK('CF_I'!C2:C201)</f>
        <v/>
      </c>
    </row>
    <row r="9">
      <c r="A9" t="n">
        <v>4</v>
      </c>
      <c r="B9" t="inlineStr">
        <is>
          <t>FECHA_VENC</t>
        </is>
      </c>
      <c r="C9" t="inlineStr">
        <is>
          <t>FECHA</t>
        </is>
      </c>
      <c r="D9" t="inlineStr">
        <is>
          <t>DD/MM/AAAA</t>
        </is>
      </c>
      <c r="E9" t="inlineStr">
        <is>
          <t>—</t>
        </is>
      </c>
      <c r="F9">
        <f>SUM(CHK!D2:D201)</f>
        <v/>
      </c>
      <c r="G9">
        <f>COUNTBLANK('CF_I'!D2:D201)</f>
        <v/>
      </c>
    </row>
    <row r="10">
      <c r="A10" t="n">
        <v>5</v>
      </c>
      <c r="B10" t="inlineStr">
        <is>
          <t>MONTO_OPER</t>
        </is>
      </c>
      <c r="C10" t="inlineStr">
        <is>
          <t>NUMERICO</t>
        </is>
      </c>
      <c r="D10" t="inlineStr">
        <is>
          <t>12</t>
        </is>
      </c>
      <c r="E10" t="inlineStr">
        <is>
          <t>—</t>
        </is>
      </c>
      <c r="F10">
        <f>SUM(CHK!E2:E201)</f>
        <v/>
      </c>
      <c r="G10">
        <f>COUNTBLANK('CF_I'!E2:E201)</f>
        <v/>
      </c>
    </row>
    <row r="11">
      <c r="A11" t="n">
        <v>6</v>
      </c>
      <c r="B11" t="inlineStr">
        <is>
          <t>MONEDA</t>
        </is>
      </c>
      <c r="C11" t="inlineStr">
        <is>
          <t>TEXTO</t>
        </is>
      </c>
      <c r="D11" t="inlineStr">
        <is>
          <t>3</t>
        </is>
      </c>
      <c r="E11" t="inlineStr">
        <is>
          <t>MONEDA ISO</t>
        </is>
      </c>
      <c r="F11">
        <f>SUM(CHK!F2:F201)</f>
        <v/>
      </c>
      <c r="G11">
        <f>COUNTBLANK('CF_I'!F2:F201)</f>
        <v/>
      </c>
    </row>
    <row r="12">
      <c r="A12" t="n">
        <v>7</v>
      </c>
      <c r="B12" t="inlineStr">
        <is>
          <t>CVE_ACREEDOR</t>
        </is>
      </c>
      <c r="C12" t="inlineStr">
        <is>
          <t>TEXTO</t>
        </is>
      </c>
      <c r="D12" t="inlineStr">
        <is>
          <t>6</t>
        </is>
      </c>
      <c r="E12" t="inlineStr">
        <is>
          <t>—</t>
        </is>
      </c>
      <c r="F12">
        <f>SUM(CHK!G2:G201)</f>
        <v/>
      </c>
      <c r="G12">
        <f>COUNTBLANK('CF_I'!G2:G201)</f>
        <v/>
      </c>
    </row>
    <row r="13">
      <c r="A13" t="n">
        <v>8</v>
      </c>
      <c r="B13" t="inlineStr">
        <is>
          <t>CVE_OPERACION</t>
        </is>
      </c>
      <c r="C13" t="inlineStr">
        <is>
          <t>TEXTO</t>
        </is>
      </c>
      <c r="D13" t="inlineStr">
        <is>
          <t>34</t>
        </is>
      </c>
      <c r="E13" t="inlineStr">
        <is>
          <t>—</t>
        </is>
      </c>
      <c r="F13">
        <f>SUM(CHK!H2:H201)</f>
        <v/>
      </c>
      <c r="G13">
        <f>COUNTBLANK('CF_I'!H2:H201)</f>
        <v/>
      </c>
    </row>
    <row r="14">
      <c r="A14" t="n">
        <v>9</v>
      </c>
      <c r="B14" t="inlineStr">
        <is>
          <t>TIP_REL_ACREED</t>
        </is>
      </c>
      <c r="C14" t="inlineStr">
        <is>
          <t>NUMERICO</t>
        </is>
      </c>
      <c r="D14" t="inlineStr">
        <is>
          <t>2</t>
        </is>
      </c>
      <c r="E14" t="inlineStr">
        <is>
          <t>TIPO RELACION ACREDITADO</t>
        </is>
      </c>
      <c r="F14">
        <f>SUM(CHK!I2:I201)</f>
        <v/>
      </c>
      <c r="G14">
        <f>COUNTBLANK('CF_I'!I2:I201)</f>
        <v/>
      </c>
    </row>
  </sheetData>
  <conditionalFormatting sqref="F6:F14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30" customWidth="1" min="8" max="8"/>
    <col width="14" customWidth="1" min="9" max="9"/>
  </cols>
  <sheetData>
    <row r="1" ht="30" customHeight="1">
      <c r="A1" s="4" t="inlineStr">
        <is>
          <t>TIPOOPERACION</t>
        </is>
      </c>
      <c r="B1" s="4" t="inlineStr">
        <is>
          <t>TIPOFONDEO</t>
        </is>
      </c>
      <c r="C1" s="4" t="inlineStr">
        <is>
          <t>FECHA_INICIO</t>
        </is>
      </c>
      <c r="D1" s="4" t="inlineStr">
        <is>
          <t>FECHA_VENC</t>
        </is>
      </c>
      <c r="E1" s="4" t="inlineStr">
        <is>
          <t>MONTO_OPER</t>
        </is>
      </c>
      <c r="F1" s="4" t="inlineStr">
        <is>
          <t>MONEDA</t>
        </is>
      </c>
      <c r="G1" s="4" t="inlineStr">
        <is>
          <t>CVE_ACREEDOR</t>
        </is>
      </c>
      <c r="H1" s="4" t="inlineStr">
        <is>
          <t>CVE_OPERACION</t>
        </is>
      </c>
      <c r="I1" s="4" t="inlineStr">
        <is>
          <t>TIP_REL_ACREED</t>
        </is>
      </c>
    </row>
    <row r="2">
      <c r="A2" s="5" t="n"/>
      <c r="B2" s="5" t="n"/>
      <c r="C2" s="6" t="n"/>
      <c r="D2" s="6" t="n"/>
      <c r="E2" s="5" t="n"/>
      <c r="F2" s="7" t="n"/>
      <c r="G2" s="7" t="n"/>
      <c r="H2" s="7" t="n"/>
      <c r="I2" s="5" t="n"/>
    </row>
    <row r="3">
      <c r="A3" s="5" t="n"/>
      <c r="B3" s="5" t="n"/>
      <c r="C3" s="6" t="n"/>
      <c r="D3" s="6" t="n"/>
      <c r="E3" s="5" t="n"/>
      <c r="F3" s="7" t="n"/>
      <c r="G3" s="7" t="n"/>
      <c r="H3" s="7" t="n"/>
      <c r="I3" s="5" t="n"/>
    </row>
    <row r="4">
      <c r="A4" s="5" t="n"/>
      <c r="B4" s="5" t="n"/>
      <c r="C4" s="6" t="n"/>
      <c r="D4" s="6" t="n"/>
      <c r="E4" s="5" t="n"/>
      <c r="F4" s="7" t="n"/>
      <c r="G4" s="7" t="n"/>
      <c r="H4" s="7" t="n"/>
      <c r="I4" s="5" t="n"/>
    </row>
    <row r="5">
      <c r="A5" s="5" t="n"/>
      <c r="B5" s="5" t="n"/>
      <c r="C5" s="6" t="n"/>
      <c r="D5" s="6" t="n"/>
      <c r="E5" s="5" t="n"/>
      <c r="F5" s="7" t="n"/>
      <c r="G5" s="7" t="n"/>
      <c r="H5" s="7" t="n"/>
      <c r="I5" s="5" t="n"/>
    </row>
    <row r="6">
      <c r="A6" s="5" t="n"/>
      <c r="B6" s="5" t="n"/>
      <c r="C6" s="6" t="n"/>
      <c r="D6" s="6" t="n"/>
      <c r="E6" s="5" t="n"/>
      <c r="F6" s="7" t="n"/>
      <c r="G6" s="7" t="n"/>
      <c r="H6" s="7" t="n"/>
      <c r="I6" s="5" t="n"/>
    </row>
    <row r="7">
      <c r="A7" s="5" t="n"/>
      <c r="B7" s="5" t="n"/>
      <c r="C7" s="6" t="n"/>
      <c r="D7" s="6" t="n"/>
      <c r="E7" s="5" t="n"/>
      <c r="F7" s="7" t="n"/>
      <c r="G7" s="7" t="n"/>
      <c r="H7" s="7" t="n"/>
      <c r="I7" s="5" t="n"/>
    </row>
    <row r="8">
      <c r="A8" s="5" t="n"/>
      <c r="B8" s="5" t="n"/>
      <c r="C8" s="6" t="n"/>
      <c r="D8" s="6" t="n"/>
      <c r="E8" s="5" t="n"/>
      <c r="F8" s="7" t="n"/>
      <c r="G8" s="7" t="n"/>
      <c r="H8" s="7" t="n"/>
      <c r="I8" s="5" t="n"/>
    </row>
    <row r="9">
      <c r="A9" s="5" t="n"/>
      <c r="B9" s="5" t="n"/>
      <c r="C9" s="6" t="n"/>
      <c r="D9" s="6" t="n"/>
      <c r="E9" s="5" t="n"/>
      <c r="F9" s="7" t="n"/>
      <c r="G9" s="7" t="n"/>
      <c r="H9" s="7" t="n"/>
      <c r="I9" s="5" t="n"/>
    </row>
    <row r="10">
      <c r="A10" s="5" t="n"/>
      <c r="B10" s="5" t="n"/>
      <c r="C10" s="6" t="n"/>
      <c r="D10" s="6" t="n"/>
      <c r="E10" s="5" t="n"/>
      <c r="F10" s="7" t="n"/>
      <c r="G10" s="7" t="n"/>
      <c r="H10" s="7" t="n"/>
      <c r="I10" s="5" t="n"/>
    </row>
    <row r="11">
      <c r="A11" s="5" t="n"/>
      <c r="B11" s="5" t="n"/>
      <c r="C11" s="6" t="n"/>
      <c r="D11" s="6" t="n"/>
      <c r="E11" s="5" t="n"/>
      <c r="F11" s="7" t="n"/>
      <c r="G11" s="7" t="n"/>
      <c r="H11" s="7" t="n"/>
      <c r="I11" s="5" t="n"/>
    </row>
    <row r="12">
      <c r="A12" s="5" t="n"/>
      <c r="B12" s="5" t="n"/>
      <c r="C12" s="6" t="n"/>
      <c r="D12" s="6" t="n"/>
      <c r="E12" s="5" t="n"/>
      <c r="F12" s="7" t="n"/>
      <c r="G12" s="7" t="n"/>
      <c r="H12" s="7" t="n"/>
      <c r="I12" s="5" t="n"/>
    </row>
    <row r="13">
      <c r="A13" s="5" t="n"/>
      <c r="B13" s="5" t="n"/>
      <c r="C13" s="6" t="n"/>
      <c r="D13" s="6" t="n"/>
      <c r="E13" s="5" t="n"/>
      <c r="F13" s="7" t="n"/>
      <c r="G13" s="7" t="n"/>
      <c r="H13" s="7" t="n"/>
      <c r="I13" s="5" t="n"/>
    </row>
    <row r="14">
      <c r="A14" s="5" t="n"/>
      <c r="B14" s="5" t="n"/>
      <c r="C14" s="6" t="n"/>
      <c r="D14" s="6" t="n"/>
      <c r="E14" s="5" t="n"/>
      <c r="F14" s="7" t="n"/>
      <c r="G14" s="7" t="n"/>
      <c r="H14" s="7" t="n"/>
      <c r="I14" s="5" t="n"/>
    </row>
    <row r="15">
      <c r="A15" s="5" t="n"/>
      <c r="B15" s="5" t="n"/>
      <c r="C15" s="6" t="n"/>
      <c r="D15" s="6" t="n"/>
      <c r="E15" s="5" t="n"/>
      <c r="F15" s="7" t="n"/>
      <c r="G15" s="7" t="n"/>
      <c r="H15" s="7" t="n"/>
      <c r="I15" s="5" t="n"/>
    </row>
    <row r="16">
      <c r="A16" s="5" t="n"/>
      <c r="B16" s="5" t="n"/>
      <c r="C16" s="6" t="n"/>
      <c r="D16" s="6" t="n"/>
      <c r="E16" s="5" t="n"/>
      <c r="F16" s="7" t="n"/>
      <c r="G16" s="7" t="n"/>
      <c r="H16" s="7" t="n"/>
      <c r="I16" s="5" t="n"/>
    </row>
    <row r="17">
      <c r="A17" s="5" t="n"/>
      <c r="B17" s="5" t="n"/>
      <c r="C17" s="6" t="n"/>
      <c r="D17" s="6" t="n"/>
      <c r="E17" s="5" t="n"/>
      <c r="F17" s="7" t="n"/>
      <c r="G17" s="7" t="n"/>
      <c r="H17" s="7" t="n"/>
      <c r="I17" s="5" t="n"/>
    </row>
    <row r="18">
      <c r="A18" s="5" t="n"/>
      <c r="B18" s="5" t="n"/>
      <c r="C18" s="6" t="n"/>
      <c r="D18" s="6" t="n"/>
      <c r="E18" s="5" t="n"/>
      <c r="F18" s="7" t="n"/>
      <c r="G18" s="7" t="n"/>
      <c r="H18" s="7" t="n"/>
      <c r="I18" s="5" t="n"/>
    </row>
    <row r="19">
      <c r="A19" s="5" t="n"/>
      <c r="B19" s="5" t="n"/>
      <c r="C19" s="6" t="n"/>
      <c r="D19" s="6" t="n"/>
      <c r="E19" s="5" t="n"/>
      <c r="F19" s="7" t="n"/>
      <c r="G19" s="7" t="n"/>
      <c r="H19" s="7" t="n"/>
      <c r="I19" s="5" t="n"/>
    </row>
    <row r="20">
      <c r="A20" s="5" t="n"/>
      <c r="B20" s="5" t="n"/>
      <c r="C20" s="6" t="n"/>
      <c r="D20" s="6" t="n"/>
      <c r="E20" s="5" t="n"/>
      <c r="F20" s="7" t="n"/>
      <c r="G20" s="7" t="n"/>
      <c r="H20" s="7" t="n"/>
      <c r="I20" s="5" t="n"/>
    </row>
    <row r="21">
      <c r="A21" s="5" t="n"/>
      <c r="B21" s="5" t="n"/>
      <c r="C21" s="6" t="n"/>
      <c r="D21" s="6" t="n"/>
      <c r="E21" s="5" t="n"/>
      <c r="F21" s="7" t="n"/>
      <c r="G21" s="7" t="n"/>
      <c r="H21" s="7" t="n"/>
      <c r="I21" s="5" t="n"/>
    </row>
    <row r="22">
      <c r="A22" s="5" t="n"/>
      <c r="B22" s="5" t="n"/>
      <c r="C22" s="6" t="n"/>
      <c r="D22" s="6" t="n"/>
      <c r="E22" s="5" t="n"/>
      <c r="F22" s="7" t="n"/>
      <c r="G22" s="7" t="n"/>
      <c r="H22" s="7" t="n"/>
      <c r="I22" s="5" t="n"/>
    </row>
    <row r="23">
      <c r="A23" s="5" t="n"/>
      <c r="B23" s="5" t="n"/>
      <c r="C23" s="6" t="n"/>
      <c r="D23" s="6" t="n"/>
      <c r="E23" s="5" t="n"/>
      <c r="F23" s="7" t="n"/>
      <c r="G23" s="7" t="n"/>
      <c r="H23" s="7" t="n"/>
      <c r="I23" s="5" t="n"/>
    </row>
    <row r="24">
      <c r="A24" s="5" t="n"/>
      <c r="B24" s="5" t="n"/>
      <c r="C24" s="6" t="n"/>
      <c r="D24" s="6" t="n"/>
      <c r="E24" s="5" t="n"/>
      <c r="F24" s="7" t="n"/>
      <c r="G24" s="7" t="n"/>
      <c r="H24" s="7" t="n"/>
      <c r="I24" s="5" t="n"/>
    </row>
    <row r="25">
      <c r="A25" s="5" t="n"/>
      <c r="B25" s="5" t="n"/>
      <c r="C25" s="6" t="n"/>
      <c r="D25" s="6" t="n"/>
      <c r="E25" s="5" t="n"/>
      <c r="F25" s="7" t="n"/>
      <c r="G25" s="7" t="n"/>
      <c r="H25" s="7" t="n"/>
      <c r="I25" s="5" t="n"/>
    </row>
    <row r="26">
      <c r="A26" s="5" t="n"/>
      <c r="B26" s="5" t="n"/>
      <c r="C26" s="6" t="n"/>
      <c r="D26" s="6" t="n"/>
      <c r="E26" s="5" t="n"/>
      <c r="F26" s="7" t="n"/>
      <c r="G26" s="7" t="n"/>
      <c r="H26" s="7" t="n"/>
      <c r="I26" s="5" t="n"/>
    </row>
    <row r="27">
      <c r="A27" s="5" t="n"/>
      <c r="B27" s="5" t="n"/>
      <c r="C27" s="6" t="n"/>
      <c r="D27" s="6" t="n"/>
      <c r="E27" s="5" t="n"/>
      <c r="F27" s="7" t="n"/>
      <c r="G27" s="7" t="n"/>
      <c r="H27" s="7" t="n"/>
      <c r="I27" s="5" t="n"/>
    </row>
    <row r="28">
      <c r="A28" s="5" t="n"/>
      <c r="B28" s="5" t="n"/>
      <c r="C28" s="6" t="n"/>
      <c r="D28" s="6" t="n"/>
      <c r="E28" s="5" t="n"/>
      <c r="F28" s="7" t="n"/>
      <c r="G28" s="7" t="n"/>
      <c r="H28" s="7" t="n"/>
      <c r="I28" s="5" t="n"/>
    </row>
    <row r="29">
      <c r="A29" s="5" t="n"/>
      <c r="B29" s="5" t="n"/>
      <c r="C29" s="6" t="n"/>
      <c r="D29" s="6" t="n"/>
      <c r="E29" s="5" t="n"/>
      <c r="F29" s="7" t="n"/>
      <c r="G29" s="7" t="n"/>
      <c r="H29" s="7" t="n"/>
      <c r="I29" s="5" t="n"/>
    </row>
    <row r="30">
      <c r="A30" s="5" t="n"/>
      <c r="B30" s="5" t="n"/>
      <c r="C30" s="6" t="n"/>
      <c r="D30" s="6" t="n"/>
      <c r="E30" s="5" t="n"/>
      <c r="F30" s="7" t="n"/>
      <c r="G30" s="7" t="n"/>
      <c r="H30" s="7" t="n"/>
      <c r="I30" s="5" t="n"/>
    </row>
    <row r="31">
      <c r="A31" s="5" t="n"/>
      <c r="B31" s="5" t="n"/>
      <c r="C31" s="6" t="n"/>
      <c r="D31" s="6" t="n"/>
      <c r="E31" s="5" t="n"/>
      <c r="F31" s="7" t="n"/>
      <c r="G31" s="7" t="n"/>
      <c r="H31" s="7" t="n"/>
      <c r="I31" s="5" t="n"/>
    </row>
    <row r="32">
      <c r="A32" s="5" t="n"/>
      <c r="B32" s="5" t="n"/>
      <c r="C32" s="6" t="n"/>
      <c r="D32" s="6" t="n"/>
      <c r="E32" s="5" t="n"/>
      <c r="F32" s="7" t="n"/>
      <c r="G32" s="7" t="n"/>
      <c r="H32" s="7" t="n"/>
      <c r="I32" s="5" t="n"/>
    </row>
    <row r="33">
      <c r="A33" s="5" t="n"/>
      <c r="B33" s="5" t="n"/>
      <c r="C33" s="6" t="n"/>
      <c r="D33" s="6" t="n"/>
      <c r="E33" s="5" t="n"/>
      <c r="F33" s="7" t="n"/>
      <c r="G33" s="7" t="n"/>
      <c r="H33" s="7" t="n"/>
      <c r="I33" s="5" t="n"/>
    </row>
    <row r="34">
      <c r="A34" s="5" t="n"/>
      <c r="B34" s="5" t="n"/>
      <c r="C34" s="6" t="n"/>
      <c r="D34" s="6" t="n"/>
      <c r="E34" s="5" t="n"/>
      <c r="F34" s="7" t="n"/>
      <c r="G34" s="7" t="n"/>
      <c r="H34" s="7" t="n"/>
      <c r="I34" s="5" t="n"/>
    </row>
    <row r="35">
      <c r="A35" s="5" t="n"/>
      <c r="B35" s="5" t="n"/>
      <c r="C35" s="6" t="n"/>
      <c r="D35" s="6" t="n"/>
      <c r="E35" s="5" t="n"/>
      <c r="F35" s="7" t="n"/>
      <c r="G35" s="7" t="n"/>
      <c r="H35" s="7" t="n"/>
      <c r="I35" s="5" t="n"/>
    </row>
    <row r="36">
      <c r="A36" s="5" t="n"/>
      <c r="B36" s="5" t="n"/>
      <c r="C36" s="6" t="n"/>
      <c r="D36" s="6" t="n"/>
      <c r="E36" s="5" t="n"/>
      <c r="F36" s="7" t="n"/>
      <c r="G36" s="7" t="n"/>
      <c r="H36" s="7" t="n"/>
      <c r="I36" s="5" t="n"/>
    </row>
    <row r="37">
      <c r="A37" s="5" t="n"/>
      <c r="B37" s="5" t="n"/>
      <c r="C37" s="6" t="n"/>
      <c r="D37" s="6" t="n"/>
      <c r="E37" s="5" t="n"/>
      <c r="F37" s="7" t="n"/>
      <c r="G37" s="7" t="n"/>
      <c r="H37" s="7" t="n"/>
      <c r="I37" s="5" t="n"/>
    </row>
    <row r="38">
      <c r="A38" s="5" t="n"/>
      <c r="B38" s="5" t="n"/>
      <c r="C38" s="6" t="n"/>
      <c r="D38" s="6" t="n"/>
      <c r="E38" s="5" t="n"/>
      <c r="F38" s="7" t="n"/>
      <c r="G38" s="7" t="n"/>
      <c r="H38" s="7" t="n"/>
      <c r="I38" s="5" t="n"/>
    </row>
    <row r="39">
      <c r="A39" s="5" t="n"/>
      <c r="B39" s="5" t="n"/>
      <c r="C39" s="6" t="n"/>
      <c r="D39" s="6" t="n"/>
      <c r="E39" s="5" t="n"/>
      <c r="F39" s="7" t="n"/>
      <c r="G39" s="7" t="n"/>
      <c r="H39" s="7" t="n"/>
      <c r="I39" s="5" t="n"/>
    </row>
    <row r="40">
      <c r="A40" s="5" t="n"/>
      <c r="B40" s="5" t="n"/>
      <c r="C40" s="6" t="n"/>
      <c r="D40" s="6" t="n"/>
      <c r="E40" s="5" t="n"/>
      <c r="F40" s="7" t="n"/>
      <c r="G40" s="7" t="n"/>
      <c r="H40" s="7" t="n"/>
      <c r="I40" s="5" t="n"/>
    </row>
    <row r="41">
      <c r="A41" s="5" t="n"/>
      <c r="B41" s="5" t="n"/>
      <c r="C41" s="6" t="n"/>
      <c r="D41" s="6" t="n"/>
      <c r="E41" s="5" t="n"/>
      <c r="F41" s="7" t="n"/>
      <c r="G41" s="7" t="n"/>
      <c r="H41" s="7" t="n"/>
      <c r="I41" s="5" t="n"/>
    </row>
    <row r="42">
      <c r="A42" s="5" t="n"/>
      <c r="B42" s="5" t="n"/>
      <c r="C42" s="6" t="n"/>
      <c r="D42" s="6" t="n"/>
      <c r="E42" s="5" t="n"/>
      <c r="F42" s="7" t="n"/>
      <c r="G42" s="7" t="n"/>
      <c r="H42" s="7" t="n"/>
      <c r="I42" s="5" t="n"/>
    </row>
    <row r="43">
      <c r="A43" s="5" t="n"/>
      <c r="B43" s="5" t="n"/>
      <c r="C43" s="6" t="n"/>
      <c r="D43" s="6" t="n"/>
      <c r="E43" s="5" t="n"/>
      <c r="F43" s="7" t="n"/>
      <c r="G43" s="7" t="n"/>
      <c r="H43" s="7" t="n"/>
      <c r="I43" s="5" t="n"/>
    </row>
    <row r="44">
      <c r="A44" s="5" t="n"/>
      <c r="B44" s="5" t="n"/>
      <c r="C44" s="6" t="n"/>
      <c r="D44" s="6" t="n"/>
      <c r="E44" s="5" t="n"/>
      <c r="F44" s="7" t="n"/>
      <c r="G44" s="7" t="n"/>
      <c r="H44" s="7" t="n"/>
      <c r="I44" s="5" t="n"/>
    </row>
    <row r="45">
      <c r="A45" s="5" t="n"/>
      <c r="B45" s="5" t="n"/>
      <c r="C45" s="6" t="n"/>
      <c r="D45" s="6" t="n"/>
      <c r="E45" s="5" t="n"/>
      <c r="F45" s="7" t="n"/>
      <c r="G45" s="7" t="n"/>
      <c r="H45" s="7" t="n"/>
      <c r="I45" s="5" t="n"/>
    </row>
    <row r="46">
      <c r="A46" s="5" t="n"/>
      <c r="B46" s="5" t="n"/>
      <c r="C46" s="6" t="n"/>
      <c r="D46" s="6" t="n"/>
      <c r="E46" s="5" t="n"/>
      <c r="F46" s="7" t="n"/>
      <c r="G46" s="7" t="n"/>
      <c r="H46" s="7" t="n"/>
      <c r="I46" s="5" t="n"/>
    </row>
    <row r="47">
      <c r="A47" s="5" t="n"/>
      <c r="B47" s="5" t="n"/>
      <c r="C47" s="6" t="n"/>
      <c r="D47" s="6" t="n"/>
      <c r="E47" s="5" t="n"/>
      <c r="F47" s="7" t="n"/>
      <c r="G47" s="7" t="n"/>
      <c r="H47" s="7" t="n"/>
      <c r="I47" s="5" t="n"/>
    </row>
    <row r="48">
      <c r="A48" s="5" t="n"/>
      <c r="B48" s="5" t="n"/>
      <c r="C48" s="6" t="n"/>
      <c r="D48" s="6" t="n"/>
      <c r="E48" s="5" t="n"/>
      <c r="F48" s="7" t="n"/>
      <c r="G48" s="7" t="n"/>
      <c r="H48" s="7" t="n"/>
      <c r="I48" s="5" t="n"/>
    </row>
    <row r="49">
      <c r="A49" s="5" t="n"/>
      <c r="B49" s="5" t="n"/>
      <c r="C49" s="6" t="n"/>
      <c r="D49" s="6" t="n"/>
      <c r="E49" s="5" t="n"/>
      <c r="F49" s="7" t="n"/>
      <c r="G49" s="7" t="n"/>
      <c r="H49" s="7" t="n"/>
      <c r="I49" s="5" t="n"/>
    </row>
    <row r="50">
      <c r="A50" s="5" t="n"/>
      <c r="B50" s="5" t="n"/>
      <c r="C50" s="6" t="n"/>
      <c r="D50" s="6" t="n"/>
      <c r="E50" s="5" t="n"/>
      <c r="F50" s="7" t="n"/>
      <c r="G50" s="7" t="n"/>
      <c r="H50" s="7" t="n"/>
      <c r="I50" s="5" t="n"/>
    </row>
    <row r="51">
      <c r="A51" s="5" t="n"/>
      <c r="B51" s="5" t="n"/>
      <c r="C51" s="6" t="n"/>
      <c r="D51" s="6" t="n"/>
      <c r="E51" s="5" t="n"/>
      <c r="F51" s="7" t="n"/>
      <c r="G51" s="7" t="n"/>
      <c r="H51" s="7" t="n"/>
      <c r="I51" s="5" t="n"/>
    </row>
    <row r="52">
      <c r="A52" s="5" t="n"/>
      <c r="B52" s="5" t="n"/>
      <c r="C52" s="6" t="n"/>
      <c r="D52" s="6" t="n"/>
      <c r="E52" s="5" t="n"/>
      <c r="F52" s="7" t="n"/>
      <c r="G52" s="7" t="n"/>
      <c r="H52" s="7" t="n"/>
      <c r="I52" s="5" t="n"/>
    </row>
    <row r="53">
      <c r="A53" s="5" t="n"/>
      <c r="B53" s="5" t="n"/>
      <c r="C53" s="6" t="n"/>
      <c r="D53" s="6" t="n"/>
      <c r="E53" s="5" t="n"/>
      <c r="F53" s="7" t="n"/>
      <c r="G53" s="7" t="n"/>
      <c r="H53" s="7" t="n"/>
      <c r="I53" s="5" t="n"/>
    </row>
    <row r="54">
      <c r="A54" s="5" t="n"/>
      <c r="B54" s="5" t="n"/>
      <c r="C54" s="6" t="n"/>
      <c r="D54" s="6" t="n"/>
      <c r="E54" s="5" t="n"/>
      <c r="F54" s="7" t="n"/>
      <c r="G54" s="7" t="n"/>
      <c r="H54" s="7" t="n"/>
      <c r="I54" s="5" t="n"/>
    </row>
    <row r="55">
      <c r="A55" s="5" t="n"/>
      <c r="B55" s="5" t="n"/>
      <c r="C55" s="6" t="n"/>
      <c r="D55" s="6" t="n"/>
      <c r="E55" s="5" t="n"/>
      <c r="F55" s="7" t="n"/>
      <c r="G55" s="7" t="n"/>
      <c r="H55" s="7" t="n"/>
      <c r="I55" s="5" t="n"/>
    </row>
    <row r="56">
      <c r="A56" s="5" t="n"/>
      <c r="B56" s="5" t="n"/>
      <c r="C56" s="6" t="n"/>
      <c r="D56" s="6" t="n"/>
      <c r="E56" s="5" t="n"/>
      <c r="F56" s="7" t="n"/>
      <c r="G56" s="7" t="n"/>
      <c r="H56" s="7" t="n"/>
      <c r="I56" s="5" t="n"/>
    </row>
    <row r="57">
      <c r="A57" s="5" t="n"/>
      <c r="B57" s="5" t="n"/>
      <c r="C57" s="6" t="n"/>
      <c r="D57" s="6" t="n"/>
      <c r="E57" s="5" t="n"/>
      <c r="F57" s="7" t="n"/>
      <c r="G57" s="7" t="n"/>
      <c r="H57" s="7" t="n"/>
      <c r="I57" s="5" t="n"/>
    </row>
    <row r="58">
      <c r="A58" s="5" t="n"/>
      <c r="B58" s="5" t="n"/>
      <c r="C58" s="6" t="n"/>
      <c r="D58" s="6" t="n"/>
      <c r="E58" s="5" t="n"/>
      <c r="F58" s="7" t="n"/>
      <c r="G58" s="7" t="n"/>
      <c r="H58" s="7" t="n"/>
      <c r="I58" s="5" t="n"/>
    </row>
    <row r="59">
      <c r="A59" s="5" t="n"/>
      <c r="B59" s="5" t="n"/>
      <c r="C59" s="6" t="n"/>
      <c r="D59" s="6" t="n"/>
      <c r="E59" s="5" t="n"/>
      <c r="F59" s="7" t="n"/>
      <c r="G59" s="7" t="n"/>
      <c r="H59" s="7" t="n"/>
      <c r="I59" s="5" t="n"/>
    </row>
    <row r="60">
      <c r="A60" s="5" t="n"/>
      <c r="B60" s="5" t="n"/>
      <c r="C60" s="6" t="n"/>
      <c r="D60" s="6" t="n"/>
      <c r="E60" s="5" t="n"/>
      <c r="F60" s="7" t="n"/>
      <c r="G60" s="7" t="n"/>
      <c r="H60" s="7" t="n"/>
      <c r="I60" s="5" t="n"/>
    </row>
    <row r="61">
      <c r="A61" s="5" t="n"/>
      <c r="B61" s="5" t="n"/>
      <c r="C61" s="6" t="n"/>
      <c r="D61" s="6" t="n"/>
      <c r="E61" s="5" t="n"/>
      <c r="F61" s="7" t="n"/>
      <c r="G61" s="7" t="n"/>
      <c r="H61" s="7" t="n"/>
      <c r="I61" s="5" t="n"/>
    </row>
    <row r="62">
      <c r="A62" s="5" t="n"/>
      <c r="B62" s="5" t="n"/>
      <c r="C62" s="6" t="n"/>
      <c r="D62" s="6" t="n"/>
      <c r="E62" s="5" t="n"/>
      <c r="F62" s="7" t="n"/>
      <c r="G62" s="7" t="n"/>
      <c r="H62" s="7" t="n"/>
      <c r="I62" s="5" t="n"/>
    </row>
    <row r="63">
      <c r="A63" s="5" t="n"/>
      <c r="B63" s="5" t="n"/>
      <c r="C63" s="6" t="n"/>
      <c r="D63" s="6" t="n"/>
      <c r="E63" s="5" t="n"/>
      <c r="F63" s="7" t="n"/>
      <c r="G63" s="7" t="n"/>
      <c r="H63" s="7" t="n"/>
      <c r="I63" s="5" t="n"/>
    </row>
    <row r="64">
      <c r="A64" s="5" t="n"/>
      <c r="B64" s="5" t="n"/>
      <c r="C64" s="6" t="n"/>
      <c r="D64" s="6" t="n"/>
      <c r="E64" s="5" t="n"/>
      <c r="F64" s="7" t="n"/>
      <c r="G64" s="7" t="n"/>
      <c r="H64" s="7" t="n"/>
      <c r="I64" s="5" t="n"/>
    </row>
    <row r="65">
      <c r="A65" s="5" t="n"/>
      <c r="B65" s="5" t="n"/>
      <c r="C65" s="6" t="n"/>
      <c r="D65" s="6" t="n"/>
      <c r="E65" s="5" t="n"/>
      <c r="F65" s="7" t="n"/>
      <c r="G65" s="7" t="n"/>
      <c r="H65" s="7" t="n"/>
      <c r="I65" s="5" t="n"/>
    </row>
    <row r="66">
      <c r="A66" s="5" t="n"/>
      <c r="B66" s="5" t="n"/>
      <c r="C66" s="6" t="n"/>
      <c r="D66" s="6" t="n"/>
      <c r="E66" s="5" t="n"/>
      <c r="F66" s="7" t="n"/>
      <c r="G66" s="7" t="n"/>
      <c r="H66" s="7" t="n"/>
      <c r="I66" s="5" t="n"/>
    </row>
    <row r="67">
      <c r="A67" s="5" t="n"/>
      <c r="B67" s="5" t="n"/>
      <c r="C67" s="6" t="n"/>
      <c r="D67" s="6" t="n"/>
      <c r="E67" s="5" t="n"/>
      <c r="F67" s="7" t="n"/>
      <c r="G67" s="7" t="n"/>
      <c r="H67" s="7" t="n"/>
      <c r="I67" s="5" t="n"/>
    </row>
    <row r="68">
      <c r="A68" s="5" t="n"/>
      <c r="B68" s="5" t="n"/>
      <c r="C68" s="6" t="n"/>
      <c r="D68" s="6" t="n"/>
      <c r="E68" s="5" t="n"/>
      <c r="F68" s="7" t="n"/>
      <c r="G68" s="7" t="n"/>
      <c r="H68" s="7" t="n"/>
      <c r="I68" s="5" t="n"/>
    </row>
    <row r="69">
      <c r="A69" s="5" t="n"/>
      <c r="B69" s="5" t="n"/>
      <c r="C69" s="6" t="n"/>
      <c r="D69" s="6" t="n"/>
      <c r="E69" s="5" t="n"/>
      <c r="F69" s="7" t="n"/>
      <c r="G69" s="7" t="n"/>
      <c r="H69" s="7" t="n"/>
      <c r="I69" s="5" t="n"/>
    </row>
    <row r="70">
      <c r="A70" s="5" t="n"/>
      <c r="B70" s="5" t="n"/>
      <c r="C70" s="6" t="n"/>
      <c r="D70" s="6" t="n"/>
      <c r="E70" s="5" t="n"/>
      <c r="F70" s="7" t="n"/>
      <c r="G70" s="7" t="n"/>
      <c r="H70" s="7" t="n"/>
      <c r="I70" s="5" t="n"/>
    </row>
    <row r="71">
      <c r="A71" s="5" t="n"/>
      <c r="B71" s="5" t="n"/>
      <c r="C71" s="6" t="n"/>
      <c r="D71" s="6" t="n"/>
      <c r="E71" s="5" t="n"/>
      <c r="F71" s="7" t="n"/>
      <c r="G71" s="7" t="n"/>
      <c r="H71" s="7" t="n"/>
      <c r="I71" s="5" t="n"/>
    </row>
    <row r="72">
      <c r="A72" s="5" t="n"/>
      <c r="B72" s="5" t="n"/>
      <c r="C72" s="6" t="n"/>
      <c r="D72" s="6" t="n"/>
      <c r="E72" s="5" t="n"/>
      <c r="F72" s="7" t="n"/>
      <c r="G72" s="7" t="n"/>
      <c r="H72" s="7" t="n"/>
      <c r="I72" s="5" t="n"/>
    </row>
    <row r="73">
      <c r="A73" s="5" t="n"/>
      <c r="B73" s="5" t="n"/>
      <c r="C73" s="6" t="n"/>
      <c r="D73" s="6" t="n"/>
      <c r="E73" s="5" t="n"/>
      <c r="F73" s="7" t="n"/>
      <c r="G73" s="7" t="n"/>
      <c r="H73" s="7" t="n"/>
      <c r="I73" s="5" t="n"/>
    </row>
    <row r="74">
      <c r="A74" s="5" t="n"/>
      <c r="B74" s="5" t="n"/>
      <c r="C74" s="6" t="n"/>
      <c r="D74" s="6" t="n"/>
      <c r="E74" s="5" t="n"/>
      <c r="F74" s="7" t="n"/>
      <c r="G74" s="7" t="n"/>
      <c r="H74" s="7" t="n"/>
      <c r="I74" s="5" t="n"/>
    </row>
    <row r="75">
      <c r="A75" s="5" t="n"/>
      <c r="B75" s="5" t="n"/>
      <c r="C75" s="6" t="n"/>
      <c r="D75" s="6" t="n"/>
      <c r="E75" s="5" t="n"/>
      <c r="F75" s="7" t="n"/>
      <c r="G75" s="7" t="n"/>
      <c r="H75" s="7" t="n"/>
      <c r="I75" s="5" t="n"/>
    </row>
    <row r="76">
      <c r="A76" s="5" t="n"/>
      <c r="B76" s="5" t="n"/>
      <c r="C76" s="6" t="n"/>
      <c r="D76" s="6" t="n"/>
      <c r="E76" s="5" t="n"/>
      <c r="F76" s="7" t="n"/>
      <c r="G76" s="7" t="n"/>
      <c r="H76" s="7" t="n"/>
      <c r="I76" s="5" t="n"/>
    </row>
    <row r="77">
      <c r="A77" s="5" t="n"/>
      <c r="B77" s="5" t="n"/>
      <c r="C77" s="6" t="n"/>
      <c r="D77" s="6" t="n"/>
      <c r="E77" s="5" t="n"/>
      <c r="F77" s="7" t="n"/>
      <c r="G77" s="7" t="n"/>
      <c r="H77" s="7" t="n"/>
      <c r="I77" s="5" t="n"/>
    </row>
    <row r="78">
      <c r="A78" s="5" t="n"/>
      <c r="B78" s="5" t="n"/>
      <c r="C78" s="6" t="n"/>
      <c r="D78" s="6" t="n"/>
      <c r="E78" s="5" t="n"/>
      <c r="F78" s="7" t="n"/>
      <c r="G78" s="7" t="n"/>
      <c r="H78" s="7" t="n"/>
      <c r="I78" s="5" t="n"/>
    </row>
    <row r="79">
      <c r="A79" s="5" t="n"/>
      <c r="B79" s="5" t="n"/>
      <c r="C79" s="6" t="n"/>
      <c r="D79" s="6" t="n"/>
      <c r="E79" s="5" t="n"/>
      <c r="F79" s="7" t="n"/>
      <c r="G79" s="7" t="n"/>
      <c r="H79" s="7" t="n"/>
      <c r="I79" s="5" t="n"/>
    </row>
    <row r="80">
      <c r="A80" s="5" t="n"/>
      <c r="B80" s="5" t="n"/>
      <c r="C80" s="6" t="n"/>
      <c r="D80" s="6" t="n"/>
      <c r="E80" s="5" t="n"/>
      <c r="F80" s="7" t="n"/>
      <c r="G80" s="7" t="n"/>
      <c r="H80" s="7" t="n"/>
      <c r="I80" s="5" t="n"/>
    </row>
    <row r="81">
      <c r="A81" s="5" t="n"/>
      <c r="B81" s="5" t="n"/>
      <c r="C81" s="6" t="n"/>
      <c r="D81" s="6" t="n"/>
      <c r="E81" s="5" t="n"/>
      <c r="F81" s="7" t="n"/>
      <c r="G81" s="7" t="n"/>
      <c r="H81" s="7" t="n"/>
      <c r="I81" s="5" t="n"/>
    </row>
    <row r="82">
      <c r="A82" s="5" t="n"/>
      <c r="B82" s="5" t="n"/>
      <c r="C82" s="6" t="n"/>
      <c r="D82" s="6" t="n"/>
      <c r="E82" s="5" t="n"/>
      <c r="F82" s="7" t="n"/>
      <c r="G82" s="7" t="n"/>
      <c r="H82" s="7" t="n"/>
      <c r="I82" s="5" t="n"/>
    </row>
    <row r="83">
      <c r="A83" s="5" t="n"/>
      <c r="B83" s="5" t="n"/>
      <c r="C83" s="6" t="n"/>
      <c r="D83" s="6" t="n"/>
      <c r="E83" s="5" t="n"/>
      <c r="F83" s="7" t="n"/>
      <c r="G83" s="7" t="n"/>
      <c r="H83" s="7" t="n"/>
      <c r="I83" s="5" t="n"/>
    </row>
    <row r="84">
      <c r="A84" s="5" t="n"/>
      <c r="B84" s="5" t="n"/>
      <c r="C84" s="6" t="n"/>
      <c r="D84" s="6" t="n"/>
      <c r="E84" s="5" t="n"/>
      <c r="F84" s="7" t="n"/>
      <c r="G84" s="7" t="n"/>
      <c r="H84" s="7" t="n"/>
      <c r="I84" s="5" t="n"/>
    </row>
    <row r="85">
      <c r="A85" s="5" t="n"/>
      <c r="B85" s="5" t="n"/>
      <c r="C85" s="6" t="n"/>
      <c r="D85" s="6" t="n"/>
      <c r="E85" s="5" t="n"/>
      <c r="F85" s="7" t="n"/>
      <c r="G85" s="7" t="n"/>
      <c r="H85" s="7" t="n"/>
      <c r="I85" s="5" t="n"/>
    </row>
    <row r="86">
      <c r="A86" s="5" t="n"/>
      <c r="B86" s="5" t="n"/>
      <c r="C86" s="6" t="n"/>
      <c r="D86" s="6" t="n"/>
      <c r="E86" s="5" t="n"/>
      <c r="F86" s="7" t="n"/>
      <c r="G86" s="7" t="n"/>
      <c r="H86" s="7" t="n"/>
      <c r="I86" s="5" t="n"/>
    </row>
    <row r="87">
      <c r="A87" s="5" t="n"/>
      <c r="B87" s="5" t="n"/>
      <c r="C87" s="6" t="n"/>
      <c r="D87" s="6" t="n"/>
      <c r="E87" s="5" t="n"/>
      <c r="F87" s="7" t="n"/>
      <c r="G87" s="7" t="n"/>
      <c r="H87" s="7" t="n"/>
      <c r="I87" s="5" t="n"/>
    </row>
    <row r="88">
      <c r="A88" s="5" t="n"/>
      <c r="B88" s="5" t="n"/>
      <c r="C88" s="6" t="n"/>
      <c r="D88" s="6" t="n"/>
      <c r="E88" s="5" t="n"/>
      <c r="F88" s="7" t="n"/>
      <c r="G88" s="7" t="n"/>
      <c r="H88" s="7" t="n"/>
      <c r="I88" s="5" t="n"/>
    </row>
    <row r="89">
      <c r="A89" s="5" t="n"/>
      <c r="B89" s="5" t="n"/>
      <c r="C89" s="6" t="n"/>
      <c r="D89" s="6" t="n"/>
      <c r="E89" s="5" t="n"/>
      <c r="F89" s="7" t="n"/>
      <c r="G89" s="7" t="n"/>
      <c r="H89" s="7" t="n"/>
      <c r="I89" s="5" t="n"/>
    </row>
    <row r="90">
      <c r="A90" s="5" t="n"/>
      <c r="B90" s="5" t="n"/>
      <c r="C90" s="6" t="n"/>
      <c r="D90" s="6" t="n"/>
      <c r="E90" s="5" t="n"/>
      <c r="F90" s="7" t="n"/>
      <c r="G90" s="7" t="n"/>
      <c r="H90" s="7" t="n"/>
      <c r="I90" s="5" t="n"/>
    </row>
    <row r="91">
      <c r="A91" s="5" t="n"/>
      <c r="B91" s="5" t="n"/>
      <c r="C91" s="6" t="n"/>
      <c r="D91" s="6" t="n"/>
      <c r="E91" s="5" t="n"/>
      <c r="F91" s="7" t="n"/>
      <c r="G91" s="7" t="n"/>
      <c r="H91" s="7" t="n"/>
      <c r="I91" s="5" t="n"/>
    </row>
    <row r="92">
      <c r="A92" s="5" t="n"/>
      <c r="B92" s="5" t="n"/>
      <c r="C92" s="6" t="n"/>
      <c r="D92" s="6" t="n"/>
      <c r="E92" s="5" t="n"/>
      <c r="F92" s="7" t="n"/>
      <c r="G92" s="7" t="n"/>
      <c r="H92" s="7" t="n"/>
      <c r="I92" s="5" t="n"/>
    </row>
    <row r="93">
      <c r="A93" s="5" t="n"/>
      <c r="B93" s="5" t="n"/>
      <c r="C93" s="6" t="n"/>
      <c r="D93" s="6" t="n"/>
      <c r="E93" s="5" t="n"/>
      <c r="F93" s="7" t="n"/>
      <c r="G93" s="7" t="n"/>
      <c r="H93" s="7" t="n"/>
      <c r="I93" s="5" t="n"/>
    </row>
    <row r="94">
      <c r="A94" s="5" t="n"/>
      <c r="B94" s="5" t="n"/>
      <c r="C94" s="6" t="n"/>
      <c r="D94" s="6" t="n"/>
      <c r="E94" s="5" t="n"/>
      <c r="F94" s="7" t="n"/>
      <c r="G94" s="7" t="n"/>
      <c r="H94" s="7" t="n"/>
      <c r="I94" s="5" t="n"/>
    </row>
    <row r="95">
      <c r="A95" s="5" t="n"/>
      <c r="B95" s="5" t="n"/>
      <c r="C95" s="6" t="n"/>
      <c r="D95" s="6" t="n"/>
      <c r="E95" s="5" t="n"/>
      <c r="F95" s="7" t="n"/>
      <c r="G95" s="7" t="n"/>
      <c r="H95" s="7" t="n"/>
      <c r="I95" s="5" t="n"/>
    </row>
    <row r="96">
      <c r="A96" s="5" t="n"/>
      <c r="B96" s="5" t="n"/>
      <c r="C96" s="6" t="n"/>
      <c r="D96" s="6" t="n"/>
      <c r="E96" s="5" t="n"/>
      <c r="F96" s="7" t="n"/>
      <c r="G96" s="7" t="n"/>
      <c r="H96" s="7" t="n"/>
      <c r="I96" s="5" t="n"/>
    </row>
    <row r="97">
      <c r="A97" s="5" t="n"/>
      <c r="B97" s="5" t="n"/>
      <c r="C97" s="6" t="n"/>
      <c r="D97" s="6" t="n"/>
      <c r="E97" s="5" t="n"/>
      <c r="F97" s="7" t="n"/>
      <c r="G97" s="7" t="n"/>
      <c r="H97" s="7" t="n"/>
      <c r="I97" s="5" t="n"/>
    </row>
    <row r="98">
      <c r="A98" s="5" t="n"/>
      <c r="B98" s="5" t="n"/>
      <c r="C98" s="6" t="n"/>
      <c r="D98" s="6" t="n"/>
      <c r="E98" s="5" t="n"/>
      <c r="F98" s="7" t="n"/>
      <c r="G98" s="7" t="n"/>
      <c r="H98" s="7" t="n"/>
      <c r="I98" s="5" t="n"/>
    </row>
    <row r="99">
      <c r="A99" s="5" t="n"/>
      <c r="B99" s="5" t="n"/>
      <c r="C99" s="6" t="n"/>
      <c r="D99" s="6" t="n"/>
      <c r="E99" s="5" t="n"/>
      <c r="F99" s="7" t="n"/>
      <c r="G99" s="7" t="n"/>
      <c r="H99" s="7" t="n"/>
      <c r="I99" s="5" t="n"/>
    </row>
    <row r="100">
      <c r="A100" s="5" t="n"/>
      <c r="B100" s="5" t="n"/>
      <c r="C100" s="6" t="n"/>
      <c r="D100" s="6" t="n"/>
      <c r="E100" s="5" t="n"/>
      <c r="F100" s="7" t="n"/>
      <c r="G100" s="7" t="n"/>
      <c r="H100" s="7" t="n"/>
      <c r="I100" s="5" t="n"/>
    </row>
    <row r="101">
      <c r="A101" s="5" t="n"/>
      <c r="B101" s="5" t="n"/>
      <c r="C101" s="6" t="n"/>
      <c r="D101" s="6" t="n"/>
      <c r="E101" s="5" t="n"/>
      <c r="F101" s="7" t="n"/>
      <c r="G101" s="7" t="n"/>
      <c r="H101" s="7" t="n"/>
      <c r="I101" s="5" t="n"/>
    </row>
    <row r="102">
      <c r="A102" s="5" t="n"/>
      <c r="B102" s="5" t="n"/>
      <c r="C102" s="6" t="n"/>
      <c r="D102" s="6" t="n"/>
      <c r="E102" s="5" t="n"/>
      <c r="F102" s="7" t="n"/>
      <c r="G102" s="7" t="n"/>
      <c r="H102" s="7" t="n"/>
      <c r="I102" s="5" t="n"/>
    </row>
    <row r="103">
      <c r="A103" s="5" t="n"/>
      <c r="B103" s="5" t="n"/>
      <c r="C103" s="6" t="n"/>
      <c r="D103" s="6" t="n"/>
      <c r="E103" s="5" t="n"/>
      <c r="F103" s="7" t="n"/>
      <c r="G103" s="7" t="n"/>
      <c r="H103" s="7" t="n"/>
      <c r="I103" s="5" t="n"/>
    </row>
    <row r="104">
      <c r="A104" s="5" t="n"/>
      <c r="B104" s="5" t="n"/>
      <c r="C104" s="6" t="n"/>
      <c r="D104" s="6" t="n"/>
      <c r="E104" s="5" t="n"/>
      <c r="F104" s="7" t="n"/>
      <c r="G104" s="7" t="n"/>
      <c r="H104" s="7" t="n"/>
      <c r="I104" s="5" t="n"/>
    </row>
    <row r="105">
      <c r="A105" s="5" t="n"/>
      <c r="B105" s="5" t="n"/>
      <c r="C105" s="6" t="n"/>
      <c r="D105" s="6" t="n"/>
      <c r="E105" s="5" t="n"/>
      <c r="F105" s="7" t="n"/>
      <c r="G105" s="7" t="n"/>
      <c r="H105" s="7" t="n"/>
      <c r="I105" s="5" t="n"/>
    </row>
    <row r="106">
      <c r="A106" s="5" t="n"/>
      <c r="B106" s="5" t="n"/>
      <c r="C106" s="6" t="n"/>
      <c r="D106" s="6" t="n"/>
      <c r="E106" s="5" t="n"/>
      <c r="F106" s="7" t="n"/>
      <c r="G106" s="7" t="n"/>
      <c r="H106" s="7" t="n"/>
      <c r="I106" s="5" t="n"/>
    </row>
    <row r="107">
      <c r="A107" s="5" t="n"/>
      <c r="B107" s="5" t="n"/>
      <c r="C107" s="6" t="n"/>
      <c r="D107" s="6" t="n"/>
      <c r="E107" s="5" t="n"/>
      <c r="F107" s="7" t="n"/>
      <c r="G107" s="7" t="n"/>
      <c r="H107" s="7" t="n"/>
      <c r="I107" s="5" t="n"/>
    </row>
    <row r="108">
      <c r="A108" s="5" t="n"/>
      <c r="B108" s="5" t="n"/>
      <c r="C108" s="6" t="n"/>
      <c r="D108" s="6" t="n"/>
      <c r="E108" s="5" t="n"/>
      <c r="F108" s="7" t="n"/>
      <c r="G108" s="7" t="n"/>
      <c r="H108" s="7" t="n"/>
      <c r="I108" s="5" t="n"/>
    </row>
    <row r="109">
      <c r="A109" s="5" t="n"/>
      <c r="B109" s="5" t="n"/>
      <c r="C109" s="6" t="n"/>
      <c r="D109" s="6" t="n"/>
      <c r="E109" s="5" t="n"/>
      <c r="F109" s="7" t="n"/>
      <c r="G109" s="7" t="n"/>
      <c r="H109" s="7" t="n"/>
      <c r="I109" s="5" t="n"/>
    </row>
    <row r="110">
      <c r="A110" s="5" t="n"/>
      <c r="B110" s="5" t="n"/>
      <c r="C110" s="6" t="n"/>
      <c r="D110" s="6" t="n"/>
      <c r="E110" s="5" t="n"/>
      <c r="F110" s="7" t="n"/>
      <c r="G110" s="7" t="n"/>
      <c r="H110" s="7" t="n"/>
      <c r="I110" s="5" t="n"/>
    </row>
    <row r="111">
      <c r="A111" s="5" t="n"/>
      <c r="B111" s="5" t="n"/>
      <c r="C111" s="6" t="n"/>
      <c r="D111" s="6" t="n"/>
      <c r="E111" s="5" t="n"/>
      <c r="F111" s="7" t="n"/>
      <c r="G111" s="7" t="n"/>
      <c r="H111" s="7" t="n"/>
      <c r="I111" s="5" t="n"/>
    </row>
    <row r="112">
      <c r="A112" s="5" t="n"/>
      <c r="B112" s="5" t="n"/>
      <c r="C112" s="6" t="n"/>
      <c r="D112" s="6" t="n"/>
      <c r="E112" s="5" t="n"/>
      <c r="F112" s="7" t="n"/>
      <c r="G112" s="7" t="n"/>
      <c r="H112" s="7" t="n"/>
      <c r="I112" s="5" t="n"/>
    </row>
    <row r="113">
      <c r="A113" s="5" t="n"/>
      <c r="B113" s="5" t="n"/>
      <c r="C113" s="6" t="n"/>
      <c r="D113" s="6" t="n"/>
      <c r="E113" s="5" t="n"/>
      <c r="F113" s="7" t="n"/>
      <c r="G113" s="7" t="n"/>
      <c r="H113" s="7" t="n"/>
      <c r="I113" s="5" t="n"/>
    </row>
    <row r="114">
      <c r="A114" s="5" t="n"/>
      <c r="B114" s="5" t="n"/>
      <c r="C114" s="6" t="n"/>
      <c r="D114" s="6" t="n"/>
      <c r="E114" s="5" t="n"/>
      <c r="F114" s="7" t="n"/>
      <c r="G114" s="7" t="n"/>
      <c r="H114" s="7" t="n"/>
      <c r="I114" s="5" t="n"/>
    </row>
    <row r="115">
      <c r="A115" s="5" t="n"/>
      <c r="B115" s="5" t="n"/>
      <c r="C115" s="6" t="n"/>
      <c r="D115" s="6" t="n"/>
      <c r="E115" s="5" t="n"/>
      <c r="F115" s="7" t="n"/>
      <c r="G115" s="7" t="n"/>
      <c r="H115" s="7" t="n"/>
      <c r="I115" s="5" t="n"/>
    </row>
    <row r="116">
      <c r="A116" s="5" t="n"/>
      <c r="B116" s="5" t="n"/>
      <c r="C116" s="6" t="n"/>
      <c r="D116" s="6" t="n"/>
      <c r="E116" s="5" t="n"/>
      <c r="F116" s="7" t="n"/>
      <c r="G116" s="7" t="n"/>
      <c r="H116" s="7" t="n"/>
      <c r="I116" s="5" t="n"/>
    </row>
    <row r="117">
      <c r="A117" s="5" t="n"/>
      <c r="B117" s="5" t="n"/>
      <c r="C117" s="6" t="n"/>
      <c r="D117" s="6" t="n"/>
      <c r="E117" s="5" t="n"/>
      <c r="F117" s="7" t="n"/>
      <c r="G117" s="7" t="n"/>
      <c r="H117" s="7" t="n"/>
      <c r="I117" s="5" t="n"/>
    </row>
    <row r="118">
      <c r="A118" s="5" t="n"/>
      <c r="B118" s="5" t="n"/>
      <c r="C118" s="6" t="n"/>
      <c r="D118" s="6" t="n"/>
      <c r="E118" s="5" t="n"/>
      <c r="F118" s="7" t="n"/>
      <c r="G118" s="7" t="n"/>
      <c r="H118" s="7" t="n"/>
      <c r="I118" s="5" t="n"/>
    </row>
    <row r="119">
      <c r="A119" s="5" t="n"/>
      <c r="B119" s="5" t="n"/>
      <c r="C119" s="6" t="n"/>
      <c r="D119" s="6" t="n"/>
      <c r="E119" s="5" t="n"/>
      <c r="F119" s="7" t="n"/>
      <c r="G119" s="7" t="n"/>
      <c r="H119" s="7" t="n"/>
      <c r="I119" s="5" t="n"/>
    </row>
    <row r="120">
      <c r="A120" s="5" t="n"/>
      <c r="B120" s="5" t="n"/>
      <c r="C120" s="6" t="n"/>
      <c r="D120" s="6" t="n"/>
      <c r="E120" s="5" t="n"/>
      <c r="F120" s="7" t="n"/>
      <c r="G120" s="7" t="n"/>
      <c r="H120" s="7" t="n"/>
      <c r="I120" s="5" t="n"/>
    </row>
    <row r="121">
      <c r="A121" s="5" t="n"/>
      <c r="B121" s="5" t="n"/>
      <c r="C121" s="6" t="n"/>
      <c r="D121" s="6" t="n"/>
      <c r="E121" s="5" t="n"/>
      <c r="F121" s="7" t="n"/>
      <c r="G121" s="7" t="n"/>
      <c r="H121" s="7" t="n"/>
      <c r="I121" s="5" t="n"/>
    </row>
    <row r="122">
      <c r="A122" s="5" t="n"/>
      <c r="B122" s="5" t="n"/>
      <c r="C122" s="6" t="n"/>
      <c r="D122" s="6" t="n"/>
      <c r="E122" s="5" t="n"/>
      <c r="F122" s="7" t="n"/>
      <c r="G122" s="7" t="n"/>
      <c r="H122" s="7" t="n"/>
      <c r="I122" s="5" t="n"/>
    </row>
    <row r="123">
      <c r="A123" s="5" t="n"/>
      <c r="B123" s="5" t="n"/>
      <c r="C123" s="6" t="n"/>
      <c r="D123" s="6" t="n"/>
      <c r="E123" s="5" t="n"/>
      <c r="F123" s="7" t="n"/>
      <c r="G123" s="7" t="n"/>
      <c r="H123" s="7" t="n"/>
      <c r="I123" s="5" t="n"/>
    </row>
    <row r="124">
      <c r="A124" s="5" t="n"/>
      <c r="B124" s="5" t="n"/>
      <c r="C124" s="6" t="n"/>
      <c r="D124" s="6" t="n"/>
      <c r="E124" s="5" t="n"/>
      <c r="F124" s="7" t="n"/>
      <c r="G124" s="7" t="n"/>
      <c r="H124" s="7" t="n"/>
      <c r="I124" s="5" t="n"/>
    </row>
    <row r="125">
      <c r="A125" s="5" t="n"/>
      <c r="B125" s="5" t="n"/>
      <c r="C125" s="6" t="n"/>
      <c r="D125" s="6" t="n"/>
      <c r="E125" s="5" t="n"/>
      <c r="F125" s="7" t="n"/>
      <c r="G125" s="7" t="n"/>
      <c r="H125" s="7" t="n"/>
      <c r="I125" s="5" t="n"/>
    </row>
    <row r="126">
      <c r="A126" s="5" t="n"/>
      <c r="B126" s="5" t="n"/>
      <c r="C126" s="6" t="n"/>
      <c r="D126" s="6" t="n"/>
      <c r="E126" s="5" t="n"/>
      <c r="F126" s="7" t="n"/>
      <c r="G126" s="7" t="n"/>
      <c r="H126" s="7" t="n"/>
      <c r="I126" s="5" t="n"/>
    </row>
    <row r="127">
      <c r="A127" s="5" t="n"/>
      <c r="B127" s="5" t="n"/>
      <c r="C127" s="6" t="n"/>
      <c r="D127" s="6" t="n"/>
      <c r="E127" s="5" t="n"/>
      <c r="F127" s="7" t="n"/>
      <c r="G127" s="7" t="n"/>
      <c r="H127" s="7" t="n"/>
      <c r="I127" s="5" t="n"/>
    </row>
    <row r="128">
      <c r="A128" s="5" t="n"/>
      <c r="B128" s="5" t="n"/>
      <c r="C128" s="6" t="n"/>
      <c r="D128" s="6" t="n"/>
      <c r="E128" s="5" t="n"/>
      <c r="F128" s="7" t="n"/>
      <c r="G128" s="7" t="n"/>
      <c r="H128" s="7" t="n"/>
      <c r="I128" s="5" t="n"/>
    </row>
    <row r="129">
      <c r="A129" s="5" t="n"/>
      <c r="B129" s="5" t="n"/>
      <c r="C129" s="6" t="n"/>
      <c r="D129" s="6" t="n"/>
      <c r="E129" s="5" t="n"/>
      <c r="F129" s="7" t="n"/>
      <c r="G129" s="7" t="n"/>
      <c r="H129" s="7" t="n"/>
      <c r="I129" s="5" t="n"/>
    </row>
    <row r="130">
      <c r="A130" s="5" t="n"/>
      <c r="B130" s="5" t="n"/>
      <c r="C130" s="6" t="n"/>
      <c r="D130" s="6" t="n"/>
      <c r="E130" s="5" t="n"/>
      <c r="F130" s="7" t="n"/>
      <c r="G130" s="7" t="n"/>
      <c r="H130" s="7" t="n"/>
      <c r="I130" s="5" t="n"/>
    </row>
    <row r="131">
      <c r="A131" s="5" t="n"/>
      <c r="B131" s="5" t="n"/>
      <c r="C131" s="6" t="n"/>
      <c r="D131" s="6" t="n"/>
      <c r="E131" s="5" t="n"/>
      <c r="F131" s="7" t="n"/>
      <c r="G131" s="7" t="n"/>
      <c r="H131" s="7" t="n"/>
      <c r="I131" s="5" t="n"/>
    </row>
    <row r="132">
      <c r="A132" s="5" t="n"/>
      <c r="B132" s="5" t="n"/>
      <c r="C132" s="6" t="n"/>
      <c r="D132" s="6" t="n"/>
      <c r="E132" s="5" t="n"/>
      <c r="F132" s="7" t="n"/>
      <c r="G132" s="7" t="n"/>
      <c r="H132" s="7" t="n"/>
      <c r="I132" s="5" t="n"/>
    </row>
    <row r="133">
      <c r="A133" s="5" t="n"/>
      <c r="B133" s="5" t="n"/>
      <c r="C133" s="6" t="n"/>
      <c r="D133" s="6" t="n"/>
      <c r="E133" s="5" t="n"/>
      <c r="F133" s="7" t="n"/>
      <c r="G133" s="7" t="n"/>
      <c r="H133" s="7" t="n"/>
      <c r="I133" s="5" t="n"/>
    </row>
    <row r="134">
      <c r="A134" s="5" t="n"/>
      <c r="B134" s="5" t="n"/>
      <c r="C134" s="6" t="n"/>
      <c r="D134" s="6" t="n"/>
      <c r="E134" s="5" t="n"/>
      <c r="F134" s="7" t="n"/>
      <c r="G134" s="7" t="n"/>
      <c r="H134" s="7" t="n"/>
      <c r="I134" s="5" t="n"/>
    </row>
    <row r="135">
      <c r="A135" s="5" t="n"/>
      <c r="B135" s="5" t="n"/>
      <c r="C135" s="6" t="n"/>
      <c r="D135" s="6" t="n"/>
      <c r="E135" s="5" t="n"/>
      <c r="F135" s="7" t="n"/>
      <c r="G135" s="7" t="n"/>
      <c r="H135" s="7" t="n"/>
      <c r="I135" s="5" t="n"/>
    </row>
    <row r="136">
      <c r="A136" s="5" t="n"/>
      <c r="B136" s="5" t="n"/>
      <c r="C136" s="6" t="n"/>
      <c r="D136" s="6" t="n"/>
      <c r="E136" s="5" t="n"/>
      <c r="F136" s="7" t="n"/>
      <c r="G136" s="7" t="n"/>
      <c r="H136" s="7" t="n"/>
      <c r="I136" s="5" t="n"/>
    </row>
    <row r="137">
      <c r="A137" s="5" t="n"/>
      <c r="B137" s="5" t="n"/>
      <c r="C137" s="6" t="n"/>
      <c r="D137" s="6" t="n"/>
      <c r="E137" s="5" t="n"/>
      <c r="F137" s="7" t="n"/>
      <c r="G137" s="7" t="n"/>
      <c r="H137" s="7" t="n"/>
      <c r="I137" s="5" t="n"/>
    </row>
    <row r="138">
      <c r="A138" s="5" t="n"/>
      <c r="B138" s="5" t="n"/>
      <c r="C138" s="6" t="n"/>
      <c r="D138" s="6" t="n"/>
      <c r="E138" s="5" t="n"/>
      <c r="F138" s="7" t="n"/>
      <c r="G138" s="7" t="n"/>
      <c r="H138" s="7" t="n"/>
      <c r="I138" s="5" t="n"/>
    </row>
    <row r="139">
      <c r="A139" s="5" t="n"/>
      <c r="B139" s="5" t="n"/>
      <c r="C139" s="6" t="n"/>
      <c r="D139" s="6" t="n"/>
      <c r="E139" s="5" t="n"/>
      <c r="F139" s="7" t="n"/>
      <c r="G139" s="7" t="n"/>
      <c r="H139" s="7" t="n"/>
      <c r="I139" s="5" t="n"/>
    </row>
    <row r="140">
      <c r="A140" s="5" t="n"/>
      <c r="B140" s="5" t="n"/>
      <c r="C140" s="6" t="n"/>
      <c r="D140" s="6" t="n"/>
      <c r="E140" s="5" t="n"/>
      <c r="F140" s="7" t="n"/>
      <c r="G140" s="7" t="n"/>
      <c r="H140" s="7" t="n"/>
      <c r="I140" s="5" t="n"/>
    </row>
    <row r="141">
      <c r="A141" s="5" t="n"/>
      <c r="B141" s="5" t="n"/>
      <c r="C141" s="6" t="n"/>
      <c r="D141" s="6" t="n"/>
      <c r="E141" s="5" t="n"/>
      <c r="F141" s="7" t="n"/>
      <c r="G141" s="7" t="n"/>
      <c r="H141" s="7" t="n"/>
      <c r="I141" s="5" t="n"/>
    </row>
    <row r="142">
      <c r="A142" s="5" t="n"/>
      <c r="B142" s="5" t="n"/>
      <c r="C142" s="6" t="n"/>
      <c r="D142" s="6" t="n"/>
      <c r="E142" s="5" t="n"/>
      <c r="F142" s="7" t="n"/>
      <c r="G142" s="7" t="n"/>
      <c r="H142" s="7" t="n"/>
      <c r="I142" s="5" t="n"/>
    </row>
    <row r="143">
      <c r="A143" s="5" t="n"/>
      <c r="B143" s="5" t="n"/>
      <c r="C143" s="6" t="n"/>
      <c r="D143" s="6" t="n"/>
      <c r="E143" s="5" t="n"/>
      <c r="F143" s="7" t="n"/>
      <c r="G143" s="7" t="n"/>
      <c r="H143" s="7" t="n"/>
      <c r="I143" s="5" t="n"/>
    </row>
    <row r="144">
      <c r="A144" s="5" t="n"/>
      <c r="B144" s="5" t="n"/>
      <c r="C144" s="6" t="n"/>
      <c r="D144" s="6" t="n"/>
      <c r="E144" s="5" t="n"/>
      <c r="F144" s="7" t="n"/>
      <c r="G144" s="7" t="n"/>
      <c r="H144" s="7" t="n"/>
      <c r="I144" s="5" t="n"/>
    </row>
    <row r="145">
      <c r="A145" s="5" t="n"/>
      <c r="B145" s="5" t="n"/>
      <c r="C145" s="6" t="n"/>
      <c r="D145" s="6" t="n"/>
      <c r="E145" s="5" t="n"/>
      <c r="F145" s="7" t="n"/>
      <c r="G145" s="7" t="n"/>
      <c r="H145" s="7" t="n"/>
      <c r="I145" s="5" t="n"/>
    </row>
    <row r="146">
      <c r="A146" s="5" t="n"/>
      <c r="B146" s="5" t="n"/>
      <c r="C146" s="6" t="n"/>
      <c r="D146" s="6" t="n"/>
      <c r="E146" s="5" t="n"/>
      <c r="F146" s="7" t="n"/>
      <c r="G146" s="7" t="n"/>
      <c r="H146" s="7" t="n"/>
      <c r="I146" s="5" t="n"/>
    </row>
    <row r="147">
      <c r="A147" s="5" t="n"/>
      <c r="B147" s="5" t="n"/>
      <c r="C147" s="6" t="n"/>
      <c r="D147" s="6" t="n"/>
      <c r="E147" s="5" t="n"/>
      <c r="F147" s="7" t="n"/>
      <c r="G147" s="7" t="n"/>
      <c r="H147" s="7" t="n"/>
      <c r="I147" s="5" t="n"/>
    </row>
    <row r="148">
      <c r="A148" s="5" t="n"/>
      <c r="B148" s="5" t="n"/>
      <c r="C148" s="6" t="n"/>
      <c r="D148" s="6" t="n"/>
      <c r="E148" s="5" t="n"/>
      <c r="F148" s="7" t="n"/>
      <c r="G148" s="7" t="n"/>
      <c r="H148" s="7" t="n"/>
      <c r="I148" s="5" t="n"/>
    </row>
    <row r="149">
      <c r="A149" s="5" t="n"/>
      <c r="B149" s="5" t="n"/>
      <c r="C149" s="6" t="n"/>
      <c r="D149" s="6" t="n"/>
      <c r="E149" s="5" t="n"/>
      <c r="F149" s="7" t="n"/>
      <c r="G149" s="7" t="n"/>
      <c r="H149" s="7" t="n"/>
      <c r="I149" s="5" t="n"/>
    </row>
    <row r="150">
      <c r="A150" s="5" t="n"/>
      <c r="B150" s="5" t="n"/>
      <c r="C150" s="6" t="n"/>
      <c r="D150" s="6" t="n"/>
      <c r="E150" s="5" t="n"/>
      <c r="F150" s="7" t="n"/>
      <c r="G150" s="7" t="n"/>
      <c r="H150" s="7" t="n"/>
      <c r="I150" s="5" t="n"/>
    </row>
    <row r="151">
      <c r="A151" s="5" t="n"/>
      <c r="B151" s="5" t="n"/>
      <c r="C151" s="6" t="n"/>
      <c r="D151" s="6" t="n"/>
      <c r="E151" s="5" t="n"/>
      <c r="F151" s="7" t="n"/>
      <c r="G151" s="7" t="n"/>
      <c r="H151" s="7" t="n"/>
      <c r="I151" s="5" t="n"/>
    </row>
    <row r="152">
      <c r="A152" s="5" t="n"/>
      <c r="B152" s="5" t="n"/>
      <c r="C152" s="6" t="n"/>
      <c r="D152" s="6" t="n"/>
      <c r="E152" s="5" t="n"/>
      <c r="F152" s="7" t="n"/>
      <c r="G152" s="7" t="n"/>
      <c r="H152" s="7" t="n"/>
      <c r="I152" s="5" t="n"/>
    </row>
    <row r="153">
      <c r="A153" s="5" t="n"/>
      <c r="B153" s="5" t="n"/>
      <c r="C153" s="6" t="n"/>
      <c r="D153" s="6" t="n"/>
      <c r="E153" s="5" t="n"/>
      <c r="F153" s="7" t="n"/>
      <c r="G153" s="7" t="n"/>
      <c r="H153" s="7" t="n"/>
      <c r="I153" s="5" t="n"/>
    </row>
    <row r="154">
      <c r="A154" s="5" t="n"/>
      <c r="B154" s="5" t="n"/>
      <c r="C154" s="6" t="n"/>
      <c r="D154" s="6" t="n"/>
      <c r="E154" s="5" t="n"/>
      <c r="F154" s="7" t="n"/>
      <c r="G154" s="7" t="n"/>
      <c r="H154" s="7" t="n"/>
      <c r="I154" s="5" t="n"/>
    </row>
    <row r="155">
      <c r="A155" s="5" t="n"/>
      <c r="B155" s="5" t="n"/>
      <c r="C155" s="6" t="n"/>
      <c r="D155" s="6" t="n"/>
      <c r="E155" s="5" t="n"/>
      <c r="F155" s="7" t="n"/>
      <c r="G155" s="7" t="n"/>
      <c r="H155" s="7" t="n"/>
      <c r="I155" s="5" t="n"/>
    </row>
    <row r="156">
      <c r="A156" s="5" t="n"/>
      <c r="B156" s="5" t="n"/>
      <c r="C156" s="6" t="n"/>
      <c r="D156" s="6" t="n"/>
      <c r="E156" s="5" t="n"/>
      <c r="F156" s="7" t="n"/>
      <c r="G156" s="7" t="n"/>
      <c r="H156" s="7" t="n"/>
      <c r="I156" s="5" t="n"/>
    </row>
    <row r="157">
      <c r="A157" s="5" t="n"/>
      <c r="B157" s="5" t="n"/>
      <c r="C157" s="6" t="n"/>
      <c r="D157" s="6" t="n"/>
      <c r="E157" s="5" t="n"/>
      <c r="F157" s="7" t="n"/>
      <c r="G157" s="7" t="n"/>
      <c r="H157" s="7" t="n"/>
      <c r="I157" s="5" t="n"/>
    </row>
    <row r="158">
      <c r="A158" s="5" t="n"/>
      <c r="B158" s="5" t="n"/>
      <c r="C158" s="6" t="n"/>
      <c r="D158" s="6" t="n"/>
      <c r="E158" s="5" t="n"/>
      <c r="F158" s="7" t="n"/>
      <c r="G158" s="7" t="n"/>
      <c r="H158" s="7" t="n"/>
      <c r="I158" s="5" t="n"/>
    </row>
    <row r="159">
      <c r="A159" s="5" t="n"/>
      <c r="B159" s="5" t="n"/>
      <c r="C159" s="6" t="n"/>
      <c r="D159" s="6" t="n"/>
      <c r="E159" s="5" t="n"/>
      <c r="F159" s="7" t="n"/>
      <c r="G159" s="7" t="n"/>
      <c r="H159" s="7" t="n"/>
      <c r="I159" s="5" t="n"/>
    </row>
    <row r="160">
      <c r="A160" s="5" t="n"/>
      <c r="B160" s="5" t="n"/>
      <c r="C160" s="6" t="n"/>
      <c r="D160" s="6" t="n"/>
      <c r="E160" s="5" t="n"/>
      <c r="F160" s="7" t="n"/>
      <c r="G160" s="7" t="n"/>
      <c r="H160" s="7" t="n"/>
      <c r="I160" s="5" t="n"/>
    </row>
    <row r="161">
      <c r="A161" s="5" t="n"/>
      <c r="B161" s="5" t="n"/>
      <c r="C161" s="6" t="n"/>
      <c r="D161" s="6" t="n"/>
      <c r="E161" s="5" t="n"/>
      <c r="F161" s="7" t="n"/>
      <c r="G161" s="7" t="n"/>
      <c r="H161" s="7" t="n"/>
      <c r="I161" s="5" t="n"/>
    </row>
    <row r="162">
      <c r="A162" s="5" t="n"/>
      <c r="B162" s="5" t="n"/>
      <c r="C162" s="6" t="n"/>
      <c r="D162" s="6" t="n"/>
      <c r="E162" s="5" t="n"/>
      <c r="F162" s="7" t="n"/>
      <c r="G162" s="7" t="n"/>
      <c r="H162" s="7" t="n"/>
      <c r="I162" s="5" t="n"/>
    </row>
    <row r="163">
      <c r="A163" s="5" t="n"/>
      <c r="B163" s="5" t="n"/>
      <c r="C163" s="6" t="n"/>
      <c r="D163" s="6" t="n"/>
      <c r="E163" s="5" t="n"/>
      <c r="F163" s="7" t="n"/>
      <c r="G163" s="7" t="n"/>
      <c r="H163" s="7" t="n"/>
      <c r="I163" s="5" t="n"/>
    </row>
    <row r="164">
      <c r="A164" s="5" t="n"/>
      <c r="B164" s="5" t="n"/>
      <c r="C164" s="6" t="n"/>
      <c r="D164" s="6" t="n"/>
      <c r="E164" s="5" t="n"/>
      <c r="F164" s="7" t="n"/>
      <c r="G164" s="7" t="n"/>
      <c r="H164" s="7" t="n"/>
      <c r="I164" s="5" t="n"/>
    </row>
    <row r="165">
      <c r="A165" s="5" t="n"/>
      <c r="B165" s="5" t="n"/>
      <c r="C165" s="6" t="n"/>
      <c r="D165" s="6" t="n"/>
      <c r="E165" s="5" t="n"/>
      <c r="F165" s="7" t="n"/>
      <c r="G165" s="7" t="n"/>
      <c r="H165" s="7" t="n"/>
      <c r="I165" s="5" t="n"/>
    </row>
    <row r="166">
      <c r="A166" s="5" t="n"/>
      <c r="B166" s="5" t="n"/>
      <c r="C166" s="6" t="n"/>
      <c r="D166" s="6" t="n"/>
      <c r="E166" s="5" t="n"/>
      <c r="F166" s="7" t="n"/>
      <c r="G166" s="7" t="n"/>
      <c r="H166" s="7" t="n"/>
      <c r="I166" s="5" t="n"/>
    </row>
    <row r="167">
      <c r="A167" s="5" t="n"/>
      <c r="B167" s="5" t="n"/>
      <c r="C167" s="6" t="n"/>
      <c r="D167" s="6" t="n"/>
      <c r="E167" s="5" t="n"/>
      <c r="F167" s="7" t="n"/>
      <c r="G167" s="7" t="n"/>
      <c r="H167" s="7" t="n"/>
      <c r="I167" s="5" t="n"/>
    </row>
    <row r="168">
      <c r="A168" s="5" t="n"/>
      <c r="B168" s="5" t="n"/>
      <c r="C168" s="6" t="n"/>
      <c r="D168" s="6" t="n"/>
      <c r="E168" s="5" t="n"/>
      <c r="F168" s="7" t="n"/>
      <c r="G168" s="7" t="n"/>
      <c r="H168" s="7" t="n"/>
      <c r="I168" s="5" t="n"/>
    </row>
    <row r="169">
      <c r="A169" s="5" t="n"/>
      <c r="B169" s="5" t="n"/>
      <c r="C169" s="6" t="n"/>
      <c r="D169" s="6" t="n"/>
      <c r="E169" s="5" t="n"/>
      <c r="F169" s="7" t="n"/>
      <c r="G169" s="7" t="n"/>
      <c r="H169" s="7" t="n"/>
      <c r="I169" s="5" t="n"/>
    </row>
    <row r="170">
      <c r="A170" s="5" t="n"/>
      <c r="B170" s="5" t="n"/>
      <c r="C170" s="6" t="n"/>
      <c r="D170" s="6" t="n"/>
      <c r="E170" s="5" t="n"/>
      <c r="F170" s="7" t="n"/>
      <c r="G170" s="7" t="n"/>
      <c r="H170" s="7" t="n"/>
      <c r="I170" s="5" t="n"/>
    </row>
    <row r="171">
      <c r="A171" s="5" t="n"/>
      <c r="B171" s="5" t="n"/>
      <c r="C171" s="6" t="n"/>
      <c r="D171" s="6" t="n"/>
      <c r="E171" s="5" t="n"/>
      <c r="F171" s="7" t="n"/>
      <c r="G171" s="7" t="n"/>
      <c r="H171" s="7" t="n"/>
      <c r="I171" s="5" t="n"/>
    </row>
    <row r="172">
      <c r="A172" s="5" t="n"/>
      <c r="B172" s="5" t="n"/>
      <c r="C172" s="6" t="n"/>
      <c r="D172" s="6" t="n"/>
      <c r="E172" s="5" t="n"/>
      <c r="F172" s="7" t="n"/>
      <c r="G172" s="7" t="n"/>
      <c r="H172" s="7" t="n"/>
      <c r="I172" s="5" t="n"/>
    </row>
    <row r="173">
      <c r="A173" s="5" t="n"/>
      <c r="B173" s="5" t="n"/>
      <c r="C173" s="6" t="n"/>
      <c r="D173" s="6" t="n"/>
      <c r="E173" s="5" t="n"/>
      <c r="F173" s="7" t="n"/>
      <c r="G173" s="7" t="n"/>
      <c r="H173" s="7" t="n"/>
      <c r="I173" s="5" t="n"/>
    </row>
    <row r="174">
      <c r="A174" s="5" t="n"/>
      <c r="B174" s="5" t="n"/>
      <c r="C174" s="6" t="n"/>
      <c r="D174" s="6" t="n"/>
      <c r="E174" s="5" t="n"/>
      <c r="F174" s="7" t="n"/>
      <c r="G174" s="7" t="n"/>
      <c r="H174" s="7" t="n"/>
      <c r="I174" s="5" t="n"/>
    </row>
    <row r="175">
      <c r="A175" s="5" t="n"/>
      <c r="B175" s="5" t="n"/>
      <c r="C175" s="6" t="n"/>
      <c r="D175" s="6" t="n"/>
      <c r="E175" s="5" t="n"/>
      <c r="F175" s="7" t="n"/>
      <c r="G175" s="7" t="n"/>
      <c r="H175" s="7" t="n"/>
      <c r="I175" s="5" t="n"/>
    </row>
    <row r="176">
      <c r="A176" s="5" t="n"/>
      <c r="B176" s="5" t="n"/>
      <c r="C176" s="6" t="n"/>
      <c r="D176" s="6" t="n"/>
      <c r="E176" s="5" t="n"/>
      <c r="F176" s="7" t="n"/>
      <c r="G176" s="7" t="n"/>
      <c r="H176" s="7" t="n"/>
      <c r="I176" s="5" t="n"/>
    </row>
    <row r="177">
      <c r="A177" s="5" t="n"/>
      <c r="B177" s="5" t="n"/>
      <c r="C177" s="6" t="n"/>
      <c r="D177" s="6" t="n"/>
      <c r="E177" s="5" t="n"/>
      <c r="F177" s="7" t="n"/>
      <c r="G177" s="7" t="n"/>
      <c r="H177" s="7" t="n"/>
      <c r="I177" s="5" t="n"/>
    </row>
    <row r="178">
      <c r="A178" s="5" t="n"/>
      <c r="B178" s="5" t="n"/>
      <c r="C178" s="6" t="n"/>
      <c r="D178" s="6" t="n"/>
      <c r="E178" s="5" t="n"/>
      <c r="F178" s="7" t="n"/>
      <c r="G178" s="7" t="n"/>
      <c r="H178" s="7" t="n"/>
      <c r="I178" s="5" t="n"/>
    </row>
    <row r="179">
      <c r="A179" s="5" t="n"/>
      <c r="B179" s="5" t="n"/>
      <c r="C179" s="6" t="n"/>
      <c r="D179" s="6" t="n"/>
      <c r="E179" s="5" t="n"/>
      <c r="F179" s="7" t="n"/>
      <c r="G179" s="7" t="n"/>
      <c r="H179" s="7" t="n"/>
      <c r="I179" s="5" t="n"/>
    </row>
    <row r="180">
      <c r="A180" s="5" t="n"/>
      <c r="B180" s="5" t="n"/>
      <c r="C180" s="6" t="n"/>
      <c r="D180" s="6" t="n"/>
      <c r="E180" s="5" t="n"/>
      <c r="F180" s="7" t="n"/>
      <c r="G180" s="7" t="n"/>
      <c r="H180" s="7" t="n"/>
      <c r="I180" s="5" t="n"/>
    </row>
    <row r="181">
      <c r="A181" s="5" t="n"/>
      <c r="B181" s="5" t="n"/>
      <c r="C181" s="6" t="n"/>
      <c r="D181" s="6" t="n"/>
      <c r="E181" s="5" t="n"/>
      <c r="F181" s="7" t="n"/>
      <c r="G181" s="7" t="n"/>
      <c r="H181" s="7" t="n"/>
      <c r="I181" s="5" t="n"/>
    </row>
    <row r="182">
      <c r="A182" s="5" t="n"/>
      <c r="B182" s="5" t="n"/>
      <c r="C182" s="6" t="n"/>
      <c r="D182" s="6" t="n"/>
      <c r="E182" s="5" t="n"/>
      <c r="F182" s="7" t="n"/>
      <c r="G182" s="7" t="n"/>
      <c r="H182" s="7" t="n"/>
      <c r="I182" s="5" t="n"/>
    </row>
    <row r="183">
      <c r="A183" s="5" t="n"/>
      <c r="B183" s="5" t="n"/>
      <c r="C183" s="6" t="n"/>
      <c r="D183" s="6" t="n"/>
      <c r="E183" s="5" t="n"/>
      <c r="F183" s="7" t="n"/>
      <c r="G183" s="7" t="n"/>
      <c r="H183" s="7" t="n"/>
      <c r="I183" s="5" t="n"/>
    </row>
    <row r="184">
      <c r="A184" s="5" t="n"/>
      <c r="B184" s="5" t="n"/>
      <c r="C184" s="6" t="n"/>
      <c r="D184" s="6" t="n"/>
      <c r="E184" s="5" t="n"/>
      <c r="F184" s="7" t="n"/>
      <c r="G184" s="7" t="n"/>
      <c r="H184" s="7" t="n"/>
      <c r="I184" s="5" t="n"/>
    </row>
    <row r="185">
      <c r="A185" s="5" t="n"/>
      <c r="B185" s="5" t="n"/>
      <c r="C185" s="6" t="n"/>
      <c r="D185" s="6" t="n"/>
      <c r="E185" s="5" t="n"/>
      <c r="F185" s="7" t="n"/>
      <c r="G185" s="7" t="n"/>
      <c r="H185" s="7" t="n"/>
      <c r="I185" s="5" t="n"/>
    </row>
    <row r="186">
      <c r="A186" s="5" t="n"/>
      <c r="B186" s="5" t="n"/>
      <c r="C186" s="6" t="n"/>
      <c r="D186" s="6" t="n"/>
      <c r="E186" s="5" t="n"/>
      <c r="F186" s="7" t="n"/>
      <c r="G186" s="7" t="n"/>
      <c r="H186" s="7" t="n"/>
      <c r="I186" s="5" t="n"/>
    </row>
    <row r="187">
      <c r="A187" s="5" t="n"/>
      <c r="B187" s="5" t="n"/>
      <c r="C187" s="6" t="n"/>
      <c r="D187" s="6" t="n"/>
      <c r="E187" s="5" t="n"/>
      <c r="F187" s="7" t="n"/>
      <c r="G187" s="7" t="n"/>
      <c r="H187" s="7" t="n"/>
      <c r="I187" s="5" t="n"/>
    </row>
    <row r="188">
      <c r="A188" s="5" t="n"/>
      <c r="B188" s="5" t="n"/>
      <c r="C188" s="6" t="n"/>
      <c r="D188" s="6" t="n"/>
      <c r="E188" s="5" t="n"/>
      <c r="F188" s="7" t="n"/>
      <c r="G188" s="7" t="n"/>
      <c r="H188" s="7" t="n"/>
      <c r="I188" s="5" t="n"/>
    </row>
    <row r="189">
      <c r="A189" s="5" t="n"/>
      <c r="B189" s="5" t="n"/>
      <c r="C189" s="6" t="n"/>
      <c r="D189" s="6" t="n"/>
      <c r="E189" s="5" t="n"/>
      <c r="F189" s="7" t="n"/>
      <c r="G189" s="7" t="n"/>
      <c r="H189" s="7" t="n"/>
      <c r="I189" s="5" t="n"/>
    </row>
    <row r="190">
      <c r="A190" s="5" t="n"/>
      <c r="B190" s="5" t="n"/>
      <c r="C190" s="6" t="n"/>
      <c r="D190" s="6" t="n"/>
      <c r="E190" s="5" t="n"/>
      <c r="F190" s="7" t="n"/>
      <c r="G190" s="7" t="n"/>
      <c r="H190" s="7" t="n"/>
      <c r="I190" s="5" t="n"/>
    </row>
    <row r="191">
      <c r="A191" s="5" t="n"/>
      <c r="B191" s="5" t="n"/>
      <c r="C191" s="6" t="n"/>
      <c r="D191" s="6" t="n"/>
      <c r="E191" s="5" t="n"/>
      <c r="F191" s="7" t="n"/>
      <c r="G191" s="7" t="n"/>
      <c r="H191" s="7" t="n"/>
      <c r="I191" s="5" t="n"/>
    </row>
    <row r="192">
      <c r="A192" s="5" t="n"/>
      <c r="B192" s="5" t="n"/>
      <c r="C192" s="6" t="n"/>
      <c r="D192" s="6" t="n"/>
      <c r="E192" s="5" t="n"/>
      <c r="F192" s="7" t="n"/>
      <c r="G192" s="7" t="n"/>
      <c r="H192" s="7" t="n"/>
      <c r="I192" s="5" t="n"/>
    </row>
    <row r="193">
      <c r="A193" s="5" t="n"/>
      <c r="B193" s="5" t="n"/>
      <c r="C193" s="6" t="n"/>
      <c r="D193" s="6" t="n"/>
      <c r="E193" s="5" t="n"/>
      <c r="F193" s="7" t="n"/>
      <c r="G193" s="7" t="n"/>
      <c r="H193" s="7" t="n"/>
      <c r="I193" s="5" t="n"/>
    </row>
    <row r="194">
      <c r="A194" s="5" t="n"/>
      <c r="B194" s="5" t="n"/>
      <c r="C194" s="6" t="n"/>
      <c r="D194" s="6" t="n"/>
      <c r="E194" s="5" t="n"/>
      <c r="F194" s="7" t="n"/>
      <c r="G194" s="7" t="n"/>
      <c r="H194" s="7" t="n"/>
      <c r="I194" s="5" t="n"/>
    </row>
    <row r="195">
      <c r="A195" s="5" t="n"/>
      <c r="B195" s="5" t="n"/>
      <c r="C195" s="6" t="n"/>
      <c r="D195" s="6" t="n"/>
      <c r="E195" s="5" t="n"/>
      <c r="F195" s="7" t="n"/>
      <c r="G195" s="7" t="n"/>
      <c r="H195" s="7" t="n"/>
      <c r="I195" s="5" t="n"/>
    </row>
    <row r="196">
      <c r="A196" s="5" t="n"/>
      <c r="B196" s="5" t="n"/>
      <c r="C196" s="6" t="n"/>
      <c r="D196" s="6" t="n"/>
      <c r="E196" s="5" t="n"/>
      <c r="F196" s="7" t="n"/>
      <c r="G196" s="7" t="n"/>
      <c r="H196" s="7" t="n"/>
      <c r="I196" s="5" t="n"/>
    </row>
    <row r="197">
      <c r="A197" s="5" t="n"/>
      <c r="B197" s="5" t="n"/>
      <c r="C197" s="6" t="n"/>
      <c r="D197" s="6" t="n"/>
      <c r="E197" s="5" t="n"/>
      <c r="F197" s="7" t="n"/>
      <c r="G197" s="7" t="n"/>
      <c r="H197" s="7" t="n"/>
      <c r="I197" s="5" t="n"/>
    </row>
    <row r="198">
      <c r="A198" s="5" t="n"/>
      <c r="B198" s="5" t="n"/>
      <c r="C198" s="6" t="n"/>
      <c r="D198" s="6" t="n"/>
      <c r="E198" s="5" t="n"/>
      <c r="F198" s="7" t="n"/>
      <c r="G198" s="7" t="n"/>
      <c r="H198" s="7" t="n"/>
      <c r="I198" s="5" t="n"/>
    </row>
    <row r="199">
      <c r="A199" s="5" t="n"/>
      <c r="B199" s="5" t="n"/>
      <c r="C199" s="6" t="n"/>
      <c r="D199" s="6" t="n"/>
      <c r="E199" s="5" t="n"/>
      <c r="F199" s="7" t="n"/>
      <c r="G199" s="7" t="n"/>
      <c r="H199" s="7" t="n"/>
      <c r="I199" s="5" t="n"/>
    </row>
    <row r="200">
      <c r="A200" s="5" t="n"/>
      <c r="B200" s="5" t="n"/>
      <c r="C200" s="6" t="n"/>
      <c r="D200" s="6" t="n"/>
      <c r="E200" s="5" t="n"/>
      <c r="F200" s="7" t="n"/>
      <c r="G200" s="7" t="n"/>
      <c r="H200" s="7" t="n"/>
      <c r="I200" s="5" t="n"/>
    </row>
    <row r="201">
      <c r="A201" s="5" t="n"/>
      <c r="B201" s="5" t="n"/>
      <c r="C201" s="6" t="n"/>
      <c r="D201" s="6" t="n"/>
      <c r="E201" s="5" t="n"/>
      <c r="F201" s="7" t="n"/>
      <c r="G201" s="7" t="n"/>
      <c r="H201" s="7" t="n"/>
      <c r="I201" s="5" t="n"/>
    </row>
  </sheetData>
  <conditionalFormatting sqref="A2:A201">
    <cfRule type="expression" priority="1" dxfId="0" stopIfTrue="0">
      <formula>AND(A2&lt;&gt;"",COUNTIF(CL_TIPO_OPERACION_CF_I,A2)=0)</formula>
    </cfRule>
  </conditionalFormatting>
  <conditionalFormatting sqref="B2:B201">
    <cfRule type="expression" priority="2" dxfId="0" stopIfTrue="0">
      <formula>AND(B2&lt;&gt;"",COUNTIF(CL_TIPO_FONDEO_CF_I,B2)=0)</formula>
    </cfRule>
  </conditionalFormatting>
  <conditionalFormatting sqref="C2:C201">
    <cfRule type="expression" priority="3" dxfId="0" stopIfTrue="0">
      <formula>AND(C2&lt;&gt;"",NOT(ISNUMBER(C2)))</formula>
    </cfRule>
  </conditionalFormatting>
  <conditionalFormatting sqref="D2:D201">
    <cfRule type="expression" priority="4" dxfId="0" stopIfTrue="0">
      <formula>AND(D2&lt;&gt;"",NOT(ISNUMBER(D2)))</formula>
    </cfRule>
  </conditionalFormatting>
  <conditionalFormatting sqref="E2:E201">
    <cfRule type="expression" priority="5" dxfId="0" stopIfTrue="0">
      <formula>AND(E2&lt;&gt;"",IF(ISNUMBER(E2),OR(E2&lt;&gt;INT(E2),LEN(TEXT(ABS(E2),"0"))&gt;12),TRUE))</formula>
    </cfRule>
  </conditionalFormatting>
  <conditionalFormatting sqref="F2:F201">
    <cfRule type="expression" priority="6" dxfId="0" stopIfTrue="0">
      <formula>AND(F2&lt;&gt;"",OR(LEN(F2)&gt;3,COUNTIF(CL_MONEDA_ISO,F2)=0))</formula>
    </cfRule>
  </conditionalFormatting>
  <conditionalFormatting sqref="G2:G201">
    <cfRule type="expression" priority="7" dxfId="0" stopIfTrue="0">
      <formula>AND(G2&lt;&gt;"",LEN(G2)&gt;6)</formula>
    </cfRule>
  </conditionalFormatting>
  <conditionalFormatting sqref="H2:H201">
    <cfRule type="expression" priority="8" dxfId="0" stopIfTrue="0">
      <formula>AND(H2&lt;&gt;"",LEN(H2)&gt;34)</formula>
    </cfRule>
  </conditionalFormatting>
  <conditionalFormatting sqref="I2:I201">
    <cfRule type="expression" priority="9" dxfId="0" stopIfTrue="0">
      <formula>AND(I2&lt;&gt;"",COUNTIF(CL_TIPO_RELACION_ACREDITADO,I2)=0)</formula>
    </cfRule>
  </conditionalFormatting>
  <dataValidations count="4">
    <dataValidation sqref="A2:A201" showDropDown="0" showInputMessage="1" showErrorMessage="1" allowBlank="1" errorTitle="Clave inválida" error="El valor debe existir en el catálogo TIPO OPERACION CF I" promptTitle="TIPOOPERACION" prompt="Selecciona una Clave del catálogo TIPO OPERACION CF I" type="list">
      <formula1>=CL_TIPO_OPERACION_CF_I</formula1>
    </dataValidation>
    <dataValidation sqref="B2:B201" showDropDown="0" showInputMessage="1" showErrorMessage="1" allowBlank="1" errorTitle="Clave inválida" error="El valor debe existir en el catálogo TIPO FONDEO CF I" promptTitle="TIPOFONDEO" prompt="Selecciona una Clave del catálogo TIPO FONDEO CF I" type="list">
      <formula1>=CL_TIPO_FONDEO_CF_I</formula1>
    </dataValidation>
    <dataValidation sqref="F2:F201" showDropDown="0" showInputMessage="1" showErrorMessage="1" allowBlank="1" errorTitle="Clave inválida" error="El valor debe existir en el catálogo MONEDA ISO" promptTitle="MONEDA" prompt="Selecciona una Clave del catálogo MONEDA ISO" type="list">
      <formula1>=CL_MONEDA_ISO</formula1>
    </dataValidation>
    <dataValidation sqref="I2:I201" showDropDown="0" showInputMessage="1" showErrorMessage="1" allowBlank="1" errorTitle="Clave inválida" error="El valor debe existir en el catálogo TIPO RELACION ACREDITADO" promptTitle="TIP_REL_ACREED" prompt="Selecciona una Clave del catálogo TIPO RELACION ACREDITADO" type="list">
      <formula1>=CL_TIPO_RELACION_ACREDITADO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7" t="inlineStr">
        <is>
          <t>1</t>
        </is>
      </c>
      <c r="B2" t="inlineStr">
        <is>
          <t>Depósitos de Exigibilidad Inmediata sin interés</t>
        </is>
      </c>
    </row>
    <row r="3">
      <c r="A3" s="7" t="inlineStr">
        <is>
          <t>2</t>
        </is>
      </c>
      <c r="B3" t="inlineStr">
        <is>
          <t>Depósitos de Exigibilidad Inmediata con interés</t>
        </is>
      </c>
    </row>
    <row r="4">
      <c r="A4" s="7" t="inlineStr">
        <is>
          <t>3</t>
        </is>
      </c>
      <c r="B4" t="inlineStr">
        <is>
          <t>Depósitos a Plazo del Público en General</t>
        </is>
      </c>
    </row>
    <row r="5">
      <c r="A5" s="7" t="inlineStr">
        <is>
          <t>4</t>
        </is>
      </c>
      <c r="B5" t="inlineStr">
        <is>
          <t>Depósitos a Plazo del Mercado de Dinero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7" t="inlineStr">
        <is>
          <t>1</t>
        </is>
      </c>
      <c r="B2" t="inlineStr">
        <is>
          <t>Fondeo Minorista, asegurados por el IPAB, con relación transaccional</t>
        </is>
      </c>
    </row>
    <row r="3">
      <c r="A3" s="7" t="inlineStr">
        <is>
          <t>2</t>
        </is>
      </c>
      <c r="B3" t="inlineStr">
        <is>
          <t>Fondeo Minorista, asegurados por el IPAB, sin relación transaccional</t>
        </is>
      </c>
    </row>
    <row r="4">
      <c r="A4" s="7" t="inlineStr">
        <is>
          <t>3</t>
        </is>
      </c>
      <c r="B4" t="inlineStr">
        <is>
          <t>Fondeo Minorista, no asegurados por el IPAB, con relación transaccional</t>
        </is>
      </c>
    </row>
    <row r="5">
      <c r="A5" s="7" t="inlineStr">
        <is>
          <t>4</t>
        </is>
      </c>
      <c r="B5" t="inlineStr">
        <is>
          <t>Fondeo Minorista, no asegurados por el IPAB, sin relación transaccional</t>
        </is>
      </c>
    </row>
    <row r="6">
      <c r="A6" s="7" t="inlineStr">
        <is>
          <t>5</t>
        </is>
      </c>
      <c r="B6" t="inlineStr">
        <is>
          <t>Fondeo Mayorista, con relación operacional, asegurados por el IPAB. Monto que mantiene cada empresa para asegurar el cumplimiento de las operaciones relacionadas con el propósito de la cuenta, o para evitar cobros o cancelaciones (lo que resulte mayor en cada caso)</t>
        </is>
      </c>
    </row>
    <row r="7">
      <c r="A7" s="7" t="inlineStr">
        <is>
          <t>6</t>
        </is>
      </c>
      <c r="B7" t="inlineStr">
        <is>
          <t>Fondeo Mayorista, con relación operacional, asegurados por el IPAB. Monto en exceso a la cantidad anterior</t>
        </is>
      </c>
    </row>
    <row r="8">
      <c r="A8" s="7" t="inlineStr">
        <is>
          <t>7</t>
        </is>
      </c>
      <c r="B8" t="inlineStr">
        <is>
          <t>Fondeo Mayorista, con relación operacional, no asegurados por el IPAB. Monto que mantiene cada empresa para asegurar el cumplimiento de las operaciones relacionadas con el propósito de la cuenta, o para evitar cobros o cancelaciones (lo que resulte mayor en cada caso)</t>
        </is>
      </c>
    </row>
    <row r="9">
      <c r="A9" s="7" t="inlineStr">
        <is>
          <t>8</t>
        </is>
      </c>
      <c r="B9" t="inlineStr">
        <is>
          <t>Fondeo Mayorista, con relación operacional, no asegurados por el IPAB. Monto en exceso a la cantidad anterior</t>
        </is>
      </c>
    </row>
    <row r="10">
      <c r="A10" s="7" t="inlineStr">
        <is>
          <t>9</t>
        </is>
      </c>
      <c r="B10" t="inlineStr">
        <is>
          <t>Fondeo Mayorista, sin relación operacional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7" t="inlineStr">
        <is>
          <t>AED</t>
        </is>
      </c>
      <c r="B2" t="inlineStr">
        <is>
          <t>UAE Dirham</t>
        </is>
      </c>
    </row>
    <row r="3">
      <c r="A3" s="7" t="inlineStr">
        <is>
          <t>AFN</t>
        </is>
      </c>
      <c r="B3" t="inlineStr">
        <is>
          <t>Afghani</t>
        </is>
      </c>
    </row>
    <row r="4">
      <c r="A4" s="7" t="inlineStr">
        <is>
          <t>ALL</t>
        </is>
      </c>
      <c r="B4" t="inlineStr">
        <is>
          <t>Lek</t>
        </is>
      </c>
    </row>
    <row r="5">
      <c r="A5" s="7" t="inlineStr">
        <is>
          <t>AMD</t>
        </is>
      </c>
      <c r="B5" t="inlineStr">
        <is>
          <t>Armenian Dram</t>
        </is>
      </c>
    </row>
    <row r="6">
      <c r="A6" s="7" t="inlineStr">
        <is>
          <t>ANG</t>
        </is>
      </c>
      <c r="B6" t="inlineStr">
        <is>
          <t>Netherlands Antillean Guilder</t>
        </is>
      </c>
    </row>
    <row r="7">
      <c r="A7" s="7" t="inlineStr">
        <is>
          <t>AOA</t>
        </is>
      </c>
      <c r="B7" t="inlineStr">
        <is>
          <t>Kwanza</t>
        </is>
      </c>
    </row>
    <row r="8">
      <c r="A8" s="7" t="inlineStr">
        <is>
          <t>ARS</t>
        </is>
      </c>
      <c r="B8" t="inlineStr">
        <is>
          <t>Argentine Peso</t>
        </is>
      </c>
    </row>
    <row r="9">
      <c r="A9" s="7" t="inlineStr">
        <is>
          <t>AUD</t>
        </is>
      </c>
      <c r="B9" t="inlineStr">
        <is>
          <t>Australian Dollar</t>
        </is>
      </c>
    </row>
    <row r="10">
      <c r="A10" s="7" t="inlineStr">
        <is>
          <t>AWG</t>
        </is>
      </c>
      <c r="B10" t="inlineStr">
        <is>
          <t>Aruban Guilder</t>
        </is>
      </c>
    </row>
    <row r="11">
      <c r="A11" s="7" t="inlineStr">
        <is>
          <t>AZN</t>
        </is>
      </c>
      <c r="B11" t="inlineStr">
        <is>
          <t>Azerbaijanian Manat</t>
        </is>
      </c>
    </row>
    <row r="12">
      <c r="A12" s="7" t="inlineStr">
        <is>
          <t>BAM</t>
        </is>
      </c>
      <c r="B12" t="inlineStr">
        <is>
          <t>Convertible Mark</t>
        </is>
      </c>
    </row>
    <row r="13">
      <c r="A13" s="7" t="inlineStr">
        <is>
          <t>BBD</t>
        </is>
      </c>
      <c r="B13" t="inlineStr">
        <is>
          <t>Barbados Dollar</t>
        </is>
      </c>
    </row>
    <row r="14">
      <c r="A14" s="7" t="inlineStr">
        <is>
          <t>BDT</t>
        </is>
      </c>
      <c r="B14" t="inlineStr">
        <is>
          <t>Taka</t>
        </is>
      </c>
    </row>
    <row r="15">
      <c r="A15" s="7" t="inlineStr">
        <is>
          <t>BGN</t>
        </is>
      </c>
      <c r="B15" t="inlineStr">
        <is>
          <t>Bulgarian Lev</t>
        </is>
      </c>
    </row>
    <row r="16">
      <c r="A16" s="7" t="inlineStr">
        <is>
          <t>BHD</t>
        </is>
      </c>
      <c r="B16" t="inlineStr">
        <is>
          <t>Bahraini Dinar</t>
        </is>
      </c>
    </row>
    <row r="17">
      <c r="A17" s="7" t="inlineStr">
        <is>
          <t>BIF</t>
        </is>
      </c>
      <c r="B17" t="inlineStr">
        <is>
          <t>Burundi Franc</t>
        </is>
      </c>
    </row>
    <row r="18">
      <c r="A18" s="7" t="inlineStr">
        <is>
          <t>BMD</t>
        </is>
      </c>
      <c r="B18" t="inlineStr">
        <is>
          <t>Bermudian Dollar</t>
        </is>
      </c>
    </row>
    <row r="19">
      <c r="A19" s="7" t="inlineStr">
        <is>
          <t>BND</t>
        </is>
      </c>
      <c r="B19" t="inlineStr">
        <is>
          <t>Brunei Dollar</t>
        </is>
      </c>
    </row>
    <row r="20">
      <c r="A20" s="7" t="inlineStr">
        <is>
          <t>BOB</t>
        </is>
      </c>
      <c r="B20" t="inlineStr">
        <is>
          <t>Boliviano</t>
        </is>
      </c>
    </row>
    <row r="21">
      <c r="A21" s="7" t="inlineStr">
        <is>
          <t>BOV</t>
        </is>
      </c>
      <c r="B21" t="inlineStr">
        <is>
          <t>Mvdol</t>
        </is>
      </c>
    </row>
    <row r="22">
      <c r="A22" s="7" t="inlineStr">
        <is>
          <t>BRL</t>
        </is>
      </c>
      <c r="B22" t="inlineStr">
        <is>
          <t>Brazilian Real</t>
        </is>
      </c>
    </row>
    <row r="23">
      <c r="A23" s="7" t="inlineStr">
        <is>
          <t>BSD</t>
        </is>
      </c>
      <c r="B23" t="inlineStr">
        <is>
          <t>Bahamian Dollar</t>
        </is>
      </c>
    </row>
    <row r="24">
      <c r="A24" s="7" t="inlineStr">
        <is>
          <t>BYR</t>
        </is>
      </c>
      <c r="B24" t="inlineStr">
        <is>
          <t>Belarussian Ruble</t>
        </is>
      </c>
    </row>
    <row r="25">
      <c r="A25" s="7" t="inlineStr">
        <is>
          <t>BZD</t>
        </is>
      </c>
      <c r="B25" t="inlineStr">
        <is>
          <t>Belize Dollar</t>
        </is>
      </c>
    </row>
    <row r="26">
      <c r="A26" s="7" t="inlineStr">
        <is>
          <t>BTN</t>
        </is>
      </c>
      <c r="B26" t="inlineStr">
        <is>
          <t xml:space="preserve">Ngultrum </t>
        </is>
      </c>
    </row>
    <row r="27">
      <c r="A27" s="7" t="inlineStr">
        <is>
          <t>BWP</t>
        </is>
      </c>
      <c r="B27" t="inlineStr">
        <is>
          <t>Pula</t>
        </is>
      </c>
    </row>
    <row r="28">
      <c r="A28" s="7" t="inlineStr">
        <is>
          <t>CAD</t>
        </is>
      </c>
      <c r="B28" t="inlineStr">
        <is>
          <t>Canadian Dollar</t>
        </is>
      </c>
    </row>
    <row r="29">
      <c r="A29" s="7" t="inlineStr">
        <is>
          <t>EUR</t>
        </is>
      </c>
      <c r="B29" t="inlineStr">
        <is>
          <t>Euro</t>
        </is>
      </c>
    </row>
    <row r="30">
      <c r="A30" s="7" t="inlineStr">
        <is>
          <t>DZD</t>
        </is>
      </c>
      <c r="B30" t="inlineStr">
        <is>
          <t>Algerian Dinar</t>
        </is>
      </c>
    </row>
    <row r="31">
      <c r="A31" s="7" t="inlineStr">
        <is>
          <t>CVE</t>
        </is>
      </c>
      <c r="B31" t="inlineStr">
        <is>
          <t>Cape Verde Escudo</t>
        </is>
      </c>
    </row>
    <row r="32">
      <c r="A32" s="7" t="inlineStr">
        <is>
          <t>CLP</t>
        </is>
      </c>
      <c r="B32" t="inlineStr">
        <is>
          <t>Chilean Peso</t>
        </is>
      </c>
    </row>
    <row r="33">
      <c r="A33" s="7" t="inlineStr">
        <is>
          <t>CLF</t>
        </is>
      </c>
      <c r="B33" t="inlineStr">
        <is>
          <t xml:space="preserve">Unidades de fomento </t>
        </is>
      </c>
    </row>
    <row r="34">
      <c r="A34" s="7" t="inlineStr">
        <is>
          <t>CNY</t>
        </is>
      </c>
      <c r="B34" t="inlineStr">
        <is>
          <t>Yuan Renminbi</t>
        </is>
      </c>
    </row>
    <row r="35">
      <c r="A35" s="7" t="inlineStr">
        <is>
          <t>COP</t>
        </is>
      </c>
      <c r="B35" t="inlineStr">
        <is>
          <t>Colombian Peso</t>
        </is>
      </c>
    </row>
    <row r="36">
      <c r="A36" s="7" t="inlineStr">
        <is>
          <t>COU</t>
        </is>
      </c>
      <c r="B36" t="inlineStr">
        <is>
          <t>Unidad de Valor Real</t>
        </is>
      </c>
    </row>
    <row r="37">
      <c r="A37" s="7" t="inlineStr">
        <is>
          <t>CDF</t>
        </is>
      </c>
      <c r="B37" t="inlineStr">
        <is>
          <t>Congolese Franc</t>
        </is>
      </c>
    </row>
    <row r="38">
      <c r="A38" s="7" t="inlineStr">
        <is>
          <t>CRC</t>
        </is>
      </c>
      <c r="B38" t="inlineStr">
        <is>
          <t>Costa Rican Colon</t>
        </is>
      </c>
    </row>
    <row r="39">
      <c r="A39" s="7" t="inlineStr">
        <is>
          <t>HRK</t>
        </is>
      </c>
      <c r="B39" t="inlineStr">
        <is>
          <t>Croatian Kuna</t>
        </is>
      </c>
    </row>
    <row r="40">
      <c r="A40" s="7" t="inlineStr">
        <is>
          <t>CUP</t>
        </is>
      </c>
      <c r="B40" t="inlineStr">
        <is>
          <t>Cuban Peso</t>
        </is>
      </c>
    </row>
    <row r="41">
      <c r="A41" s="7" t="inlineStr">
        <is>
          <t>CUC</t>
        </is>
      </c>
      <c r="B41" t="inlineStr">
        <is>
          <t>Peso Convertible</t>
        </is>
      </c>
    </row>
    <row r="42">
      <c r="A42" s="7" t="inlineStr">
        <is>
          <t>CZK</t>
        </is>
      </c>
      <c r="B42" t="inlineStr">
        <is>
          <t>Czech Koruna</t>
        </is>
      </c>
    </row>
    <row r="43">
      <c r="A43" s="7" t="inlineStr">
        <is>
          <t>DKK</t>
        </is>
      </c>
      <c r="B43" t="inlineStr">
        <is>
          <t>Danish Krone</t>
        </is>
      </c>
    </row>
    <row r="44">
      <c r="A44" s="7" t="inlineStr">
        <is>
          <t>DJF</t>
        </is>
      </c>
      <c r="B44" t="inlineStr">
        <is>
          <t>Djibouti Franc</t>
        </is>
      </c>
    </row>
    <row r="45">
      <c r="A45" s="7" t="inlineStr">
        <is>
          <t>DOP</t>
        </is>
      </c>
      <c r="B45" t="inlineStr">
        <is>
          <t>Dominican Peso</t>
        </is>
      </c>
    </row>
    <row r="46">
      <c r="A46" s="7" t="inlineStr">
        <is>
          <t>EGP</t>
        </is>
      </c>
      <c r="B46" t="inlineStr">
        <is>
          <t>Egyptian Pound</t>
        </is>
      </c>
    </row>
    <row r="47">
      <c r="A47" s="7" t="inlineStr">
        <is>
          <t>ERN</t>
        </is>
      </c>
      <c r="B47" t="inlineStr">
        <is>
          <t>Nakfa</t>
        </is>
      </c>
    </row>
    <row r="48">
      <c r="A48" s="7" t="inlineStr">
        <is>
          <t>ETB</t>
        </is>
      </c>
      <c r="B48" t="inlineStr">
        <is>
          <t>Ethiopian Birr</t>
        </is>
      </c>
    </row>
    <row r="49">
      <c r="A49" s="7" t="inlineStr">
        <is>
          <t>FKP</t>
        </is>
      </c>
      <c r="B49" t="inlineStr">
        <is>
          <t>Falkland Islands Pound</t>
        </is>
      </c>
    </row>
    <row r="50">
      <c r="A50" s="7" t="inlineStr">
        <is>
          <t>FJD</t>
        </is>
      </c>
      <c r="B50" t="inlineStr">
        <is>
          <t>Fiji Dollar</t>
        </is>
      </c>
    </row>
    <row r="51">
      <c r="A51" s="7" t="inlineStr">
        <is>
          <t>GMD</t>
        </is>
      </c>
      <c r="B51" t="inlineStr">
        <is>
          <t>Dalasi</t>
        </is>
      </c>
    </row>
    <row r="52">
      <c r="A52" s="7" t="inlineStr">
        <is>
          <t>GEL</t>
        </is>
      </c>
      <c r="B52" t="inlineStr">
        <is>
          <t>Lari</t>
        </is>
      </c>
    </row>
    <row r="53">
      <c r="A53" s="7" t="inlineStr">
        <is>
          <t>GHS</t>
        </is>
      </c>
      <c r="B53" t="inlineStr">
        <is>
          <t>Cedi</t>
        </is>
      </c>
    </row>
    <row r="54">
      <c r="A54" s="7" t="inlineStr">
        <is>
          <t>GIP</t>
        </is>
      </c>
      <c r="B54" t="inlineStr">
        <is>
          <t>Gibraltar Pound</t>
        </is>
      </c>
    </row>
    <row r="55">
      <c r="A55" s="7" t="inlineStr">
        <is>
          <t>GTQ</t>
        </is>
      </c>
      <c r="B55" t="inlineStr">
        <is>
          <t>Quetzal</t>
        </is>
      </c>
    </row>
    <row r="56">
      <c r="A56" s="7" t="inlineStr">
        <is>
          <t>GBP</t>
        </is>
      </c>
      <c r="B56" t="inlineStr">
        <is>
          <t>Pound Sterling</t>
        </is>
      </c>
    </row>
    <row r="57">
      <c r="A57" s="7" t="inlineStr">
        <is>
          <t>GNF</t>
        </is>
      </c>
      <c r="B57" t="inlineStr">
        <is>
          <t>Guinea Franc</t>
        </is>
      </c>
    </row>
    <row r="58">
      <c r="A58" s="7" t="inlineStr">
        <is>
          <t>GYD</t>
        </is>
      </c>
      <c r="B58" t="inlineStr">
        <is>
          <t>Guyana Dollar</t>
        </is>
      </c>
    </row>
    <row r="59">
      <c r="A59" s="7" t="inlineStr">
        <is>
          <t>HTG</t>
        </is>
      </c>
      <c r="B59" t="inlineStr">
        <is>
          <t>Gourde</t>
        </is>
      </c>
    </row>
    <row r="60">
      <c r="A60" s="7" t="inlineStr">
        <is>
          <t>HNL</t>
        </is>
      </c>
      <c r="B60" t="inlineStr">
        <is>
          <t>Lempira</t>
        </is>
      </c>
    </row>
    <row r="61">
      <c r="A61" s="7" t="inlineStr">
        <is>
          <t>HKD</t>
        </is>
      </c>
      <c r="B61" t="inlineStr">
        <is>
          <t>Hong Kong Dollar</t>
        </is>
      </c>
    </row>
    <row r="62">
      <c r="A62" s="7" t="inlineStr">
        <is>
          <t>CHF</t>
        </is>
      </c>
      <c r="B62" t="inlineStr">
        <is>
          <t>Swiss Franc</t>
        </is>
      </c>
    </row>
    <row r="63">
      <c r="A63" s="7" t="inlineStr">
        <is>
          <t>CHE</t>
        </is>
      </c>
      <c r="B63" t="inlineStr">
        <is>
          <t>WIR Euro</t>
        </is>
      </c>
    </row>
    <row r="64">
      <c r="A64" s="7" t="inlineStr">
        <is>
          <t>CHW</t>
        </is>
      </c>
      <c r="B64" t="inlineStr">
        <is>
          <t>WIR Franc</t>
        </is>
      </c>
    </row>
    <row r="65">
      <c r="A65" s="7" t="inlineStr">
        <is>
          <t>HUF</t>
        </is>
      </c>
      <c r="B65" t="inlineStr">
        <is>
          <t>Forint</t>
        </is>
      </c>
    </row>
    <row r="66">
      <c r="A66" s="7" t="inlineStr">
        <is>
          <t>BYN</t>
        </is>
      </c>
      <c r="B66" t="inlineStr">
        <is>
          <t>Rublo bielorruso</t>
        </is>
      </c>
    </row>
    <row r="67">
      <c r="A67" s="7" t="inlineStr">
        <is>
          <t>CNH</t>
        </is>
      </c>
      <c r="B67" t="inlineStr">
        <is>
          <t>Yuan chino Offshore</t>
        </is>
      </c>
    </row>
    <row r="68">
      <c r="A68" s="7" t="inlineStr">
        <is>
          <t>INR</t>
        </is>
      </c>
      <c r="B68" t="inlineStr">
        <is>
          <t>Indian Rupee</t>
        </is>
      </c>
    </row>
    <row r="69">
      <c r="A69" s="7" t="inlineStr">
        <is>
          <t>NOK</t>
        </is>
      </c>
      <c r="B69" t="inlineStr">
        <is>
          <t>Norwegian Krone</t>
        </is>
      </c>
    </row>
    <row r="70">
      <c r="A70" s="7" t="inlineStr">
        <is>
          <t>KHR</t>
        </is>
      </c>
      <c r="B70" t="inlineStr">
        <is>
          <t>Riel</t>
        </is>
      </c>
    </row>
    <row r="71">
      <c r="A71" s="7" t="inlineStr">
        <is>
          <t>KYD</t>
        </is>
      </c>
      <c r="B71" t="inlineStr">
        <is>
          <t>Cayman Islands Dollar</t>
        </is>
      </c>
    </row>
    <row r="72">
      <c r="A72" s="7" t="inlineStr">
        <is>
          <t>KMF</t>
        </is>
      </c>
      <c r="B72" t="inlineStr">
        <is>
          <t>Comoro Franc</t>
        </is>
      </c>
    </row>
    <row r="73">
      <c r="A73" s="7" t="inlineStr">
        <is>
          <t>NZD</t>
        </is>
      </c>
      <c r="B73" t="inlineStr">
        <is>
          <t>New Zealand Dollar</t>
        </is>
      </c>
    </row>
    <row r="74">
      <c r="A74" s="7" t="inlineStr">
        <is>
          <t>ISK</t>
        </is>
      </c>
      <c r="B74" t="inlineStr">
        <is>
          <t>Iceland Krona</t>
        </is>
      </c>
    </row>
    <row r="75">
      <c r="A75" s="7" t="inlineStr">
        <is>
          <t>IDR</t>
        </is>
      </c>
      <c r="B75" t="inlineStr">
        <is>
          <t>Rupiah</t>
        </is>
      </c>
    </row>
    <row r="76">
      <c r="A76" s="7" t="inlineStr">
        <is>
          <t>IRR</t>
        </is>
      </c>
      <c r="B76" t="inlineStr">
        <is>
          <t>Iranian Rial</t>
        </is>
      </c>
    </row>
    <row r="77">
      <c r="A77" s="7" t="inlineStr">
        <is>
          <t>IQD</t>
        </is>
      </c>
      <c r="B77" t="inlineStr">
        <is>
          <t>Iraqi Dinar</t>
        </is>
      </c>
    </row>
    <row r="78">
      <c r="A78" s="7" t="inlineStr">
        <is>
          <t>ILS</t>
        </is>
      </c>
      <c r="B78" t="inlineStr">
        <is>
          <t>New Israeli Sheqel</t>
        </is>
      </c>
    </row>
    <row r="79">
      <c r="A79" s="7" t="inlineStr">
        <is>
          <t>JMD</t>
        </is>
      </c>
      <c r="B79" t="inlineStr">
        <is>
          <t>Jamaican Dollar</t>
        </is>
      </c>
    </row>
    <row r="80">
      <c r="A80" s="7" t="inlineStr">
        <is>
          <t>JPY</t>
        </is>
      </c>
      <c r="B80" t="inlineStr">
        <is>
          <t>Yen</t>
        </is>
      </c>
    </row>
    <row r="81">
      <c r="A81" s="7" t="inlineStr">
        <is>
          <t>JOD</t>
        </is>
      </c>
      <c r="B81" t="inlineStr">
        <is>
          <t>Jordanian Dinar</t>
        </is>
      </c>
    </row>
    <row r="82">
      <c r="A82" s="7" t="inlineStr">
        <is>
          <t>KZT</t>
        </is>
      </c>
      <c r="B82" t="inlineStr">
        <is>
          <t>Tenge</t>
        </is>
      </c>
    </row>
    <row r="83">
      <c r="A83" s="7" t="inlineStr">
        <is>
          <t>KES</t>
        </is>
      </c>
      <c r="B83" t="inlineStr">
        <is>
          <t>Kenyan Shilling</t>
        </is>
      </c>
    </row>
    <row r="84">
      <c r="A84" s="7" t="inlineStr">
        <is>
          <t>KPW</t>
        </is>
      </c>
      <c r="B84" t="inlineStr">
        <is>
          <t>North Korean Won</t>
        </is>
      </c>
    </row>
    <row r="85">
      <c r="A85" s="7" t="inlineStr">
        <is>
          <t>KRW</t>
        </is>
      </c>
      <c r="B85" t="inlineStr">
        <is>
          <t>Won</t>
        </is>
      </c>
    </row>
    <row r="86">
      <c r="A86" s="7" t="inlineStr">
        <is>
          <t>KWD</t>
        </is>
      </c>
      <c r="B86" t="inlineStr">
        <is>
          <t>Kuwaiti Dinar</t>
        </is>
      </c>
    </row>
    <row r="87">
      <c r="A87" s="7" t="inlineStr">
        <is>
          <t>KGS</t>
        </is>
      </c>
      <c r="B87" t="inlineStr">
        <is>
          <t>Som</t>
        </is>
      </c>
    </row>
    <row r="88">
      <c r="A88" s="7" t="inlineStr">
        <is>
          <t>LAK</t>
        </is>
      </c>
      <c r="B88" t="inlineStr">
        <is>
          <t>Kip</t>
        </is>
      </c>
    </row>
    <row r="89">
      <c r="A89" s="7" t="inlineStr">
        <is>
          <t>LVL</t>
        </is>
      </c>
      <c r="B89" t="inlineStr">
        <is>
          <t>Latvian Lats</t>
        </is>
      </c>
    </row>
    <row r="90">
      <c r="A90" s="7" t="inlineStr">
        <is>
          <t>LBP</t>
        </is>
      </c>
      <c r="B90" t="inlineStr">
        <is>
          <t>Lebanese Pound</t>
        </is>
      </c>
    </row>
    <row r="91">
      <c r="A91" s="7" t="inlineStr">
        <is>
          <t>LSL</t>
        </is>
      </c>
      <c r="B91" t="inlineStr">
        <is>
          <t>Loti</t>
        </is>
      </c>
    </row>
    <row r="92">
      <c r="A92" s="7" t="inlineStr">
        <is>
          <t>LRD</t>
        </is>
      </c>
      <c r="B92" t="inlineStr">
        <is>
          <t>Liberian Dollar</t>
        </is>
      </c>
    </row>
    <row r="93">
      <c r="A93" s="7" t="inlineStr">
        <is>
          <t>LYD</t>
        </is>
      </c>
      <c r="B93" t="inlineStr">
        <is>
          <t>Libyan Dinar</t>
        </is>
      </c>
    </row>
    <row r="94">
      <c r="A94" s="7" t="inlineStr">
        <is>
          <t>LTL</t>
        </is>
      </c>
      <c r="B94" t="inlineStr">
        <is>
          <t>Lithuanian Litas</t>
        </is>
      </c>
    </row>
    <row r="95">
      <c r="A95" s="7" t="inlineStr">
        <is>
          <t>MOP</t>
        </is>
      </c>
      <c r="B95" t="inlineStr">
        <is>
          <t>Pataca</t>
        </is>
      </c>
    </row>
    <row r="96">
      <c r="A96" s="7" t="inlineStr">
        <is>
          <t>MKD</t>
        </is>
      </c>
      <c r="B96" t="inlineStr">
        <is>
          <t>Denar</t>
        </is>
      </c>
    </row>
    <row r="97">
      <c r="A97" s="7" t="inlineStr">
        <is>
          <t>MGA</t>
        </is>
      </c>
      <c r="B97" t="inlineStr">
        <is>
          <t>Malagasy Ariary</t>
        </is>
      </c>
    </row>
    <row r="98">
      <c r="A98" s="7" t="inlineStr">
        <is>
          <t>MWK</t>
        </is>
      </c>
      <c r="B98" t="inlineStr">
        <is>
          <t>Kwacha</t>
        </is>
      </c>
    </row>
    <row r="99">
      <c r="A99" s="7" t="inlineStr">
        <is>
          <t>MYR</t>
        </is>
      </c>
      <c r="B99" t="inlineStr">
        <is>
          <t>Malaysian Ringgit</t>
        </is>
      </c>
    </row>
    <row r="100">
      <c r="A100" s="7" t="inlineStr">
        <is>
          <t>MVR</t>
        </is>
      </c>
      <c r="B100" t="inlineStr">
        <is>
          <t>Rufiyaa</t>
        </is>
      </c>
    </row>
    <row r="101">
      <c r="A101" s="7" t="inlineStr">
        <is>
          <t>MRO</t>
        </is>
      </c>
      <c r="B101" t="inlineStr">
        <is>
          <t>Ouguiya</t>
        </is>
      </c>
    </row>
    <row r="102">
      <c r="A102" s="7" t="inlineStr">
        <is>
          <t>MUR</t>
        </is>
      </c>
      <c r="B102" t="inlineStr">
        <is>
          <t>Mauritius Rupee</t>
        </is>
      </c>
    </row>
    <row r="103">
      <c r="A103" s="7" t="inlineStr">
        <is>
          <t>MXN</t>
        </is>
      </c>
      <c r="B103" t="inlineStr">
        <is>
          <t>Mexican Peso</t>
        </is>
      </c>
    </row>
    <row r="104">
      <c r="A104" s="7" t="inlineStr">
        <is>
          <t>MXV</t>
        </is>
      </c>
      <c r="B104" t="inlineStr">
        <is>
          <t>Mexican Unidad de Inversion (UDI)</t>
        </is>
      </c>
    </row>
    <row r="105">
      <c r="A105" s="7" t="inlineStr">
        <is>
          <t>MDL</t>
        </is>
      </c>
      <c r="B105" t="inlineStr">
        <is>
          <t>Moldovan Leu</t>
        </is>
      </c>
    </row>
    <row r="106">
      <c r="A106" s="7" t="inlineStr">
        <is>
          <t>MNT</t>
        </is>
      </c>
      <c r="B106" t="inlineStr">
        <is>
          <t>Tugrik</t>
        </is>
      </c>
    </row>
    <row r="107">
      <c r="A107" s="7" t="inlineStr">
        <is>
          <t>MAD</t>
        </is>
      </c>
      <c r="B107" t="inlineStr">
        <is>
          <t>Moroccan Dirham</t>
        </is>
      </c>
    </row>
    <row r="108">
      <c r="A108" s="7" t="inlineStr">
        <is>
          <t>MZN</t>
        </is>
      </c>
      <c r="B108" t="inlineStr">
        <is>
          <t>Metical</t>
        </is>
      </c>
    </row>
    <row r="109">
      <c r="A109" s="7" t="inlineStr">
        <is>
          <t>MMK</t>
        </is>
      </c>
      <c r="B109" t="inlineStr">
        <is>
          <t>Kyat</t>
        </is>
      </c>
    </row>
    <row r="110">
      <c r="A110" s="7" t="inlineStr">
        <is>
          <t>NAD</t>
        </is>
      </c>
      <c r="B110" t="inlineStr">
        <is>
          <t>Namibia Dollar</t>
        </is>
      </c>
    </row>
    <row r="111">
      <c r="A111" s="7" t="inlineStr">
        <is>
          <t>NPR</t>
        </is>
      </c>
      <c r="B111" t="inlineStr">
        <is>
          <t>Nepalese Rupee</t>
        </is>
      </c>
    </row>
    <row r="112">
      <c r="A112" s="7" t="inlineStr">
        <is>
          <t>NIO</t>
        </is>
      </c>
      <c r="B112" t="inlineStr">
        <is>
          <t>Cordoba Oro</t>
        </is>
      </c>
    </row>
    <row r="113">
      <c r="A113" s="7" t="inlineStr">
        <is>
          <t>NGN</t>
        </is>
      </c>
      <c r="B113" t="inlineStr">
        <is>
          <t>Naira</t>
        </is>
      </c>
    </row>
    <row r="114">
      <c r="A114" s="7" t="inlineStr">
        <is>
          <t>OMR</t>
        </is>
      </c>
      <c r="B114" t="inlineStr">
        <is>
          <t>Rial Omani</t>
        </is>
      </c>
    </row>
    <row r="115">
      <c r="A115" s="7" t="inlineStr">
        <is>
          <t>PKR</t>
        </is>
      </c>
      <c r="B115" t="inlineStr">
        <is>
          <t>Pakistan Rupee</t>
        </is>
      </c>
    </row>
    <row r="116">
      <c r="A116" s="7" t="inlineStr">
        <is>
          <t>PAB</t>
        </is>
      </c>
      <c r="B116" t="inlineStr">
        <is>
          <t>Balboa</t>
        </is>
      </c>
    </row>
    <row r="117">
      <c r="A117" s="7" t="inlineStr">
        <is>
          <t>PGK</t>
        </is>
      </c>
      <c r="B117" t="inlineStr">
        <is>
          <t>Kina</t>
        </is>
      </c>
    </row>
    <row r="118">
      <c r="A118" s="7" t="inlineStr">
        <is>
          <t>PYG</t>
        </is>
      </c>
      <c r="B118" t="inlineStr">
        <is>
          <t>Guarani</t>
        </is>
      </c>
    </row>
    <row r="119">
      <c r="A119" s="7" t="inlineStr">
        <is>
          <t>PEN</t>
        </is>
      </c>
      <c r="B119" t="inlineStr">
        <is>
          <t>Nuevo Sol</t>
        </is>
      </c>
    </row>
    <row r="120">
      <c r="A120" s="7" t="inlineStr">
        <is>
          <t>PHP</t>
        </is>
      </c>
      <c r="B120" t="inlineStr">
        <is>
          <t>Philippine Peso</t>
        </is>
      </c>
    </row>
    <row r="121">
      <c r="A121" s="7" t="inlineStr">
        <is>
          <t>PLN</t>
        </is>
      </c>
      <c r="B121" t="inlineStr">
        <is>
          <t>Zloty</t>
        </is>
      </c>
    </row>
    <row r="122">
      <c r="A122" s="7" t="inlineStr">
        <is>
          <t>QAR</t>
        </is>
      </c>
      <c r="B122" t="inlineStr">
        <is>
          <t>Qatari Rial</t>
        </is>
      </c>
    </row>
    <row r="123">
      <c r="A123" s="7" t="inlineStr">
        <is>
          <t>RON</t>
        </is>
      </c>
      <c r="B123" t="inlineStr">
        <is>
          <t>Leu</t>
        </is>
      </c>
    </row>
    <row r="124">
      <c r="A124" s="7" t="inlineStr">
        <is>
          <t>RUB</t>
        </is>
      </c>
      <c r="B124" t="inlineStr">
        <is>
          <t>Russian Ruble</t>
        </is>
      </c>
    </row>
    <row r="125">
      <c r="A125" s="7" t="inlineStr">
        <is>
          <t>RWF</t>
        </is>
      </c>
      <c r="B125" t="inlineStr">
        <is>
          <t>Rwanda Franc</t>
        </is>
      </c>
    </row>
    <row r="126">
      <c r="A126" s="7" t="inlineStr">
        <is>
          <t>SHP</t>
        </is>
      </c>
      <c r="B126" t="inlineStr">
        <is>
          <t>Saint Helena Pound</t>
        </is>
      </c>
    </row>
    <row r="127">
      <c r="A127" s="7" t="inlineStr">
        <is>
          <t>STD</t>
        </is>
      </c>
      <c r="B127" t="inlineStr">
        <is>
          <t>Dobra</t>
        </is>
      </c>
    </row>
    <row r="128">
      <c r="A128" s="7" t="inlineStr">
        <is>
          <t>SAR</t>
        </is>
      </c>
      <c r="B128" t="inlineStr">
        <is>
          <t>Saudi Riyal</t>
        </is>
      </c>
    </row>
    <row r="129">
      <c r="A129" s="7" t="inlineStr">
        <is>
          <t>RSD</t>
        </is>
      </c>
      <c r="B129" t="inlineStr">
        <is>
          <t>Serbian Dinar</t>
        </is>
      </c>
    </row>
    <row r="130">
      <c r="A130" s="7" t="inlineStr">
        <is>
          <t>SCR</t>
        </is>
      </c>
      <c r="B130" t="inlineStr">
        <is>
          <t>Seychelles Rupee</t>
        </is>
      </c>
    </row>
    <row r="131">
      <c r="A131" s="7" t="inlineStr">
        <is>
          <t>SLL</t>
        </is>
      </c>
      <c r="B131" t="inlineStr">
        <is>
          <t>Leone</t>
        </is>
      </c>
    </row>
    <row r="132">
      <c r="A132" s="7" t="inlineStr">
        <is>
          <t>SGD</t>
        </is>
      </c>
      <c r="B132" t="inlineStr">
        <is>
          <t>Singapore Dollar</t>
        </is>
      </c>
    </row>
    <row r="133">
      <c r="A133" s="7" t="inlineStr">
        <is>
          <t>SBD</t>
        </is>
      </c>
      <c r="B133" t="inlineStr">
        <is>
          <t>Solomon Islands Dollar</t>
        </is>
      </c>
    </row>
    <row r="134">
      <c r="A134" s="7" t="inlineStr">
        <is>
          <t>SOS</t>
        </is>
      </c>
      <c r="B134" t="inlineStr">
        <is>
          <t>Somali Shilling</t>
        </is>
      </c>
    </row>
    <row r="135">
      <c r="A135" s="7" t="inlineStr">
        <is>
          <t>LKR</t>
        </is>
      </c>
      <c r="B135" t="inlineStr">
        <is>
          <t>Sri Lanka Rupee</t>
        </is>
      </c>
    </row>
    <row r="136">
      <c r="A136" s="7" t="inlineStr">
        <is>
          <t>SDG</t>
        </is>
      </c>
      <c r="B136" t="inlineStr">
        <is>
          <t>Sudanese Pound</t>
        </is>
      </c>
    </row>
    <row r="137">
      <c r="A137" s="7" t="inlineStr">
        <is>
          <t>SRD</t>
        </is>
      </c>
      <c r="B137" t="inlineStr">
        <is>
          <t>Surinam Dollar</t>
        </is>
      </c>
    </row>
    <row r="138">
      <c r="A138" s="7" t="inlineStr">
        <is>
          <t>SEK</t>
        </is>
      </c>
      <c r="B138" t="inlineStr">
        <is>
          <t>Swedish Krona</t>
        </is>
      </c>
    </row>
    <row r="139">
      <c r="A139" s="7" t="inlineStr">
        <is>
          <t>SVC</t>
        </is>
      </c>
      <c r="B139" t="inlineStr">
        <is>
          <t>El Salvador Colon</t>
        </is>
      </c>
    </row>
    <row r="140">
      <c r="A140" s="7" t="inlineStr">
        <is>
          <t>SZL</t>
        </is>
      </c>
      <c r="B140" t="inlineStr">
        <is>
          <t>Lilangeni</t>
        </is>
      </c>
    </row>
    <row r="141">
      <c r="A141" s="7" t="inlineStr">
        <is>
          <t>SYP</t>
        </is>
      </c>
      <c r="B141" t="inlineStr">
        <is>
          <t>Syrian Pound</t>
        </is>
      </c>
    </row>
    <row r="142">
      <c r="A142" s="7" t="inlineStr">
        <is>
          <t>TWD</t>
        </is>
      </c>
      <c r="B142" t="inlineStr">
        <is>
          <t>New Taiwan Dollar</t>
        </is>
      </c>
    </row>
    <row r="143">
      <c r="A143" s="7" t="inlineStr">
        <is>
          <t>TJS</t>
        </is>
      </c>
      <c r="B143" t="inlineStr">
        <is>
          <t>Somoni</t>
        </is>
      </c>
    </row>
    <row r="144">
      <c r="A144" s="7" t="inlineStr">
        <is>
          <t>TZS</t>
        </is>
      </c>
      <c r="B144" t="inlineStr">
        <is>
          <t>Tanzanian Shilling</t>
        </is>
      </c>
    </row>
    <row r="145">
      <c r="A145" s="7" t="inlineStr">
        <is>
          <t>THB</t>
        </is>
      </c>
      <c r="B145" t="inlineStr">
        <is>
          <t>Baht</t>
        </is>
      </c>
    </row>
    <row r="146">
      <c r="A146" s="7" t="inlineStr">
        <is>
          <t>TOP</t>
        </is>
      </c>
      <c r="B146" t="inlineStr">
        <is>
          <t>Pa’anga</t>
        </is>
      </c>
    </row>
    <row r="147">
      <c r="A147" s="7" t="inlineStr">
        <is>
          <t>TTD</t>
        </is>
      </c>
      <c r="B147" t="inlineStr">
        <is>
          <t>Trinidad and Tobago Dollar</t>
        </is>
      </c>
    </row>
    <row r="148">
      <c r="A148" s="7" t="inlineStr">
        <is>
          <t>TND</t>
        </is>
      </c>
      <c r="B148" t="inlineStr">
        <is>
          <t>Tunisian Dinar</t>
        </is>
      </c>
    </row>
    <row r="149">
      <c r="A149" s="7" t="inlineStr">
        <is>
          <t>TRY</t>
        </is>
      </c>
      <c r="B149" t="inlineStr">
        <is>
          <t>Turkish Lira</t>
        </is>
      </c>
    </row>
    <row r="150">
      <c r="A150" s="7" t="inlineStr">
        <is>
          <t>TMT</t>
        </is>
      </c>
      <c r="B150" t="inlineStr">
        <is>
          <t>New Manat</t>
        </is>
      </c>
    </row>
    <row r="151">
      <c r="A151" s="7" t="inlineStr">
        <is>
          <t>UAH</t>
        </is>
      </c>
      <c r="B151" t="inlineStr">
        <is>
          <t>Hryvnia</t>
        </is>
      </c>
    </row>
    <row r="152">
      <c r="A152" s="7" t="inlineStr">
        <is>
          <t>MRU</t>
        </is>
      </c>
      <c r="B152" t="inlineStr">
        <is>
          <t>Uguiya</t>
        </is>
      </c>
    </row>
    <row r="153">
      <c r="A153" s="7" t="inlineStr">
        <is>
          <t>SMA</t>
        </is>
      </c>
      <c r="B153" t="inlineStr">
        <is>
          <t>VSMG (Veces Salario Minimo General)</t>
        </is>
      </c>
    </row>
    <row r="154">
      <c r="A154" s="7" t="inlineStr">
        <is>
          <t>SSP</t>
        </is>
      </c>
      <c r="B154" t="inlineStr">
        <is>
          <t>Libra sursudanesa</t>
        </is>
      </c>
    </row>
    <row r="155">
      <c r="A155" s="7" t="inlineStr">
        <is>
          <t>STN</t>
        </is>
      </c>
      <c r="B155" t="inlineStr">
        <is>
          <t>Dobra</t>
        </is>
      </c>
    </row>
    <row r="156">
      <c r="A156" s="7" t="inlineStr">
        <is>
          <t>USD</t>
        </is>
      </c>
      <c r="B156" t="inlineStr">
        <is>
          <t>US Dollar</t>
        </is>
      </c>
    </row>
    <row r="157">
      <c r="A157" s="7" t="inlineStr">
        <is>
          <t>XCD</t>
        </is>
      </c>
      <c r="B157" t="inlineStr">
        <is>
          <t>East Caribbean Dollar</t>
        </is>
      </c>
    </row>
    <row r="158">
      <c r="A158" s="7" t="inlineStr">
        <is>
          <t>XOF</t>
        </is>
      </c>
      <c r="B158" t="inlineStr">
        <is>
          <t xml:space="preserve">CFA Franc BCEAO </t>
        </is>
      </c>
    </row>
    <row r="159">
      <c r="A159" s="7" t="inlineStr">
        <is>
          <t>XAF</t>
        </is>
      </c>
      <c r="B159" t="inlineStr">
        <is>
          <t xml:space="preserve">CFA Franc BEAC </t>
        </is>
      </c>
    </row>
    <row r="160">
      <c r="A160" s="7" t="inlineStr">
        <is>
          <t>XPF</t>
        </is>
      </c>
      <c r="B160" t="inlineStr">
        <is>
          <t>CFP Franc</t>
        </is>
      </c>
    </row>
    <row r="161">
      <c r="A161" s="7" t="inlineStr">
        <is>
          <t>XDR</t>
        </is>
      </c>
      <c r="B161" t="inlineStr">
        <is>
          <t>SDR (Special Drawing Right)</t>
        </is>
      </c>
    </row>
    <row r="162">
      <c r="A162" s="7" t="inlineStr">
        <is>
          <t>ZAR</t>
        </is>
      </c>
      <c r="B162" t="inlineStr">
        <is>
          <t>Rand</t>
        </is>
      </c>
    </row>
    <row r="163">
      <c r="A163" s="7" t="inlineStr">
        <is>
          <t>XUA</t>
        </is>
      </c>
      <c r="B163" t="inlineStr">
        <is>
          <t>ADB Unit of Account</t>
        </is>
      </c>
    </row>
    <row r="164">
      <c r="A164" s="7" t="inlineStr">
        <is>
          <t>WST</t>
        </is>
      </c>
      <c r="B164" t="inlineStr">
        <is>
          <t>Tala</t>
        </is>
      </c>
    </row>
    <row r="165">
      <c r="A165" s="7" t="inlineStr">
        <is>
          <t>XSU</t>
        </is>
      </c>
      <c r="B165" t="inlineStr">
        <is>
          <t>Sucre</t>
        </is>
      </c>
    </row>
    <row r="166">
      <c r="A166" s="7" t="inlineStr">
        <is>
          <t>UGX</t>
        </is>
      </c>
      <c r="B166" t="inlineStr">
        <is>
          <t>Uganda Shilling</t>
        </is>
      </c>
    </row>
    <row r="167">
      <c r="A167" s="7" t="inlineStr">
        <is>
          <t>USN</t>
        </is>
      </c>
      <c r="B167" t="inlineStr">
        <is>
          <t xml:space="preserve">US Dollar (Next day) </t>
        </is>
      </c>
    </row>
    <row r="168">
      <c r="A168" s="7" t="inlineStr">
        <is>
          <t>USS</t>
        </is>
      </c>
      <c r="B168" t="inlineStr">
        <is>
          <t xml:space="preserve">US Dollar (Same day) </t>
        </is>
      </c>
    </row>
    <row r="169">
      <c r="A169" s="7" t="inlineStr">
        <is>
          <t>UYU</t>
        </is>
      </c>
      <c r="B169" t="inlineStr">
        <is>
          <t>Peso Uruguayo</t>
        </is>
      </c>
    </row>
    <row r="170">
      <c r="A170" s="7" t="inlineStr">
        <is>
          <t>UYI</t>
        </is>
      </c>
      <c r="B170" t="inlineStr">
        <is>
          <t>Uruguay Peso en Unidades Indexadas</t>
        </is>
      </c>
    </row>
    <row r="171">
      <c r="A171" s="7" t="inlineStr">
        <is>
          <t>UZS</t>
        </is>
      </c>
      <c r="B171" t="inlineStr">
        <is>
          <t>Uzbekistan Sum</t>
        </is>
      </c>
    </row>
    <row r="172">
      <c r="A172" s="7" t="inlineStr">
        <is>
          <t>VUV</t>
        </is>
      </c>
      <c r="B172" t="inlineStr">
        <is>
          <t>Vatu</t>
        </is>
      </c>
    </row>
    <row r="173">
      <c r="A173" s="7" t="inlineStr">
        <is>
          <t>VEF</t>
        </is>
      </c>
      <c r="B173" t="inlineStr">
        <is>
          <t>Bolivar Fuerte</t>
        </is>
      </c>
    </row>
    <row r="174">
      <c r="A174" s="7" t="inlineStr">
        <is>
          <t>VND</t>
        </is>
      </c>
      <c r="B174" t="inlineStr">
        <is>
          <t>Dong</t>
        </is>
      </c>
    </row>
    <row r="175">
      <c r="A175" s="7" t="inlineStr">
        <is>
          <t>YER</t>
        </is>
      </c>
      <c r="B175" t="inlineStr">
        <is>
          <t>Yemeni Rial</t>
        </is>
      </c>
    </row>
    <row r="176">
      <c r="A176" s="7" t="inlineStr">
        <is>
          <t>ZMK</t>
        </is>
      </c>
      <c r="B176" t="inlineStr">
        <is>
          <t>Zambian Kwacha</t>
        </is>
      </c>
    </row>
    <row r="177">
      <c r="A177" s="7" t="inlineStr">
        <is>
          <t>ZWL</t>
        </is>
      </c>
      <c r="B177" t="inlineStr">
        <is>
          <t>Zimbabwe Dollar</t>
        </is>
      </c>
    </row>
    <row r="178">
      <c r="A178" s="7" t="inlineStr">
        <is>
          <t>UYW</t>
        </is>
      </c>
      <c r="B178" t="inlineStr">
        <is>
          <t>Unidad Previsional</t>
        </is>
      </c>
    </row>
    <row r="179">
      <c r="A179" s="7" t="inlineStr">
        <is>
          <t>VES</t>
        </is>
      </c>
      <c r="B179" t="inlineStr">
        <is>
          <t>Bolívar soberano</t>
        </is>
      </c>
    </row>
    <row r="180">
      <c r="A180" s="7" t="inlineStr">
        <is>
          <t>XAG</t>
        </is>
      </c>
      <c r="B180" t="inlineStr">
        <is>
          <t>Plata (una onza troy)</t>
        </is>
      </c>
    </row>
    <row r="181">
      <c r="A181" s="7" t="inlineStr">
        <is>
          <t>XAU</t>
        </is>
      </c>
      <c r="B181" t="inlineStr">
        <is>
          <t>Onza de Oro</t>
        </is>
      </c>
    </row>
    <row r="182">
      <c r="A182" s="7" t="inlineStr">
        <is>
          <t>XBA</t>
        </is>
      </c>
      <c r="B182" t="inlineStr">
        <is>
          <t>Unidad compuesta europea (EURCO) (Unidad del mercados de bonos)</t>
        </is>
      </c>
    </row>
    <row r="183">
      <c r="A183" s="7" t="inlineStr">
        <is>
          <t>XBB</t>
        </is>
      </c>
      <c r="B183" t="inlineStr">
        <is>
          <t>Unidad Monetaria europea (E.M.U.-6) (Unidad del mercado de bonos)</t>
        </is>
      </c>
    </row>
    <row r="184">
      <c r="A184" s="7" t="inlineStr">
        <is>
          <t>XBC</t>
        </is>
      </c>
      <c r="B184" t="inlineStr">
        <is>
          <t>Unidad europea de cuenta 9 (E.U.A.-9) (Unidad del mercado de bonos)</t>
        </is>
      </c>
    </row>
    <row r="185">
      <c r="A185" s="7" t="inlineStr">
        <is>
          <t>XBD</t>
        </is>
      </c>
      <c r="B185" t="inlineStr">
        <is>
          <t>Unidad europea de cuenta 17 (E.U.A.-17) (Unidad del mercado de bonos)</t>
        </is>
      </c>
    </row>
    <row r="186">
      <c r="A186" s="7" t="inlineStr">
        <is>
          <t>XPD</t>
        </is>
      </c>
      <c r="B186" t="inlineStr">
        <is>
          <t>Paladio (una onza troy)</t>
        </is>
      </c>
    </row>
    <row r="187">
      <c r="A187" s="7" t="inlineStr">
        <is>
          <t>XPT</t>
        </is>
      </c>
      <c r="B187" t="inlineStr">
        <is>
          <t>Platino (una onza troy)</t>
        </is>
      </c>
    </row>
    <row r="188">
      <c r="A188" s="7" t="inlineStr">
        <is>
          <t>XTS</t>
        </is>
      </c>
      <c r="B188" t="inlineStr">
        <is>
          <t>Reservado para pruebas</t>
        </is>
      </c>
    </row>
    <row r="189">
      <c r="A189" s="7" t="inlineStr">
        <is>
          <t>XXX</t>
        </is>
      </c>
      <c r="B189" t="inlineStr">
        <is>
          <t>Sin divisa</t>
        </is>
      </c>
    </row>
    <row r="190">
      <c r="A190" s="7" t="inlineStr">
        <is>
          <t>ZMW</t>
        </is>
      </c>
      <c r="B190" t="inlineStr">
        <is>
          <t>Kwacha zambiano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7" t="inlineStr">
        <is>
          <t>1</t>
        </is>
      </c>
      <c r="B2" t="inlineStr">
        <is>
          <t>Sin relación</t>
        </is>
      </c>
    </row>
    <row r="3">
      <c r="A3" s="7" t="inlineStr">
        <is>
          <t>2</t>
        </is>
      </c>
      <c r="B3" t="inlineStr">
        <is>
          <t>Poseedoras del 2% o más de los Títulos Representativos</t>
        </is>
      </c>
    </row>
    <row r="4">
      <c r="A4" s="7" t="inlineStr">
        <is>
          <t>3</t>
        </is>
      </c>
      <c r="B4" t="inlineStr">
        <is>
          <t>Miembros del Consejo de Administración</t>
        </is>
      </c>
    </row>
    <row r="5">
      <c r="A5" s="7" t="inlineStr">
        <is>
          <t>4</t>
        </is>
      </c>
      <c r="B5" t="inlineStr">
        <is>
          <t>Cónyuges y personas con parentesco</t>
        </is>
      </c>
    </row>
    <row r="6">
      <c r="A6" s="7" t="inlineStr">
        <is>
          <t>5</t>
        </is>
      </c>
      <c r="B6" t="inlineStr">
        <is>
          <t>Personas con injerencia</t>
        </is>
      </c>
    </row>
    <row r="7">
      <c r="A7" s="7" t="inlineStr">
        <is>
          <t>6</t>
        </is>
      </c>
      <c r="B7" t="inlineStr">
        <is>
          <t>Poseedoras del 10% o más de los títulos representativos</t>
        </is>
      </c>
    </row>
    <row r="8">
      <c r="A8" s="7" t="inlineStr">
        <is>
          <t>7</t>
        </is>
      </c>
      <c r="B8" t="inlineStr">
        <is>
          <t>Consejeros o Administradores</t>
        </is>
      </c>
    </row>
    <row r="9">
      <c r="A9" s="7" t="inlineStr">
        <is>
          <t>8</t>
        </is>
      </c>
      <c r="B9" t="inlineStr">
        <is>
          <t>Personas con poder de mando</t>
        </is>
      </c>
    </row>
    <row r="10">
      <c r="A10" s="7" t="inlineStr">
        <is>
          <t>9</t>
        </is>
      </c>
      <c r="B10" t="inlineStr">
        <is>
          <t>Persona relacionada relevante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201"/>
  <sheetViews>
    <sheetView workbookViewId="0">
      <selection activeCell="A1" sqref="A1"/>
    </sheetView>
  </sheetViews>
  <sheetFormatPr baseColWidth="8" defaultRowHeight="15"/>
  <sheetData>
    <row r="2">
      <c r="A2">
        <f>IF(AND('CF_I'!A2&lt;&gt;"",COUNTIF(CL_TIPO_OPERACION_CF_I,'CF_I'!A2)=0),1,0)</f>
        <v/>
      </c>
      <c r="B2">
        <f>IF(AND('CF_I'!B2&lt;&gt;"",COUNTIF(CL_TIPO_FONDEO_CF_I,'CF_I'!B2)=0),1,0)</f>
        <v/>
      </c>
      <c r="C2">
        <f>IF(AND('CF_I'!C2&lt;&gt;"",NOT(ISNUMBER('CF_I'!C2))),1,0)</f>
        <v/>
      </c>
      <c r="D2">
        <f>IF(AND('CF_I'!D2&lt;&gt;"",NOT(ISNUMBER('CF_I'!D2))),1,0)</f>
        <v/>
      </c>
      <c r="E2">
        <f>IF(AND('CF_I'!E2&lt;&gt;"",IF(ISNUMBER('CF_I'!E2),OR('CF_I'!E2&lt;&gt;INT('CF_I'!E2),LEN(TEXT(ABS('CF_I'!E2),"0"))&gt;12),TRUE)),1,0)</f>
        <v/>
      </c>
      <c r="F2">
        <f>IF(AND('CF_I'!F2&lt;&gt;"",OR(LEN('CF_I'!F2)&gt;3,COUNTIF(CL_MONEDA_ISO,'CF_I'!F2)=0)),1,0)</f>
        <v/>
      </c>
      <c r="G2">
        <f>IF(AND('CF_I'!G2&lt;&gt;"",LEN('CF_I'!G2)&gt;6),1,0)</f>
        <v/>
      </c>
      <c r="H2">
        <f>IF(AND('CF_I'!H2&lt;&gt;"",LEN('CF_I'!H2)&gt;34),1,0)</f>
        <v/>
      </c>
      <c r="I2">
        <f>IF(AND('CF_I'!I2&lt;&gt;"",COUNTIF(CL_TIPO_RELACION_ACREDITADO,'CF_I'!I2)=0),1,0)</f>
        <v/>
      </c>
    </row>
    <row r="3">
      <c r="A3">
        <f>IF(AND('CF_I'!A3&lt;&gt;"",COUNTIF(CL_TIPO_OPERACION_CF_I,'CF_I'!A3)=0),1,0)</f>
        <v/>
      </c>
      <c r="B3">
        <f>IF(AND('CF_I'!B3&lt;&gt;"",COUNTIF(CL_TIPO_FONDEO_CF_I,'CF_I'!B3)=0),1,0)</f>
        <v/>
      </c>
      <c r="C3">
        <f>IF(AND('CF_I'!C3&lt;&gt;"",NOT(ISNUMBER('CF_I'!C3))),1,0)</f>
        <v/>
      </c>
      <c r="D3">
        <f>IF(AND('CF_I'!D3&lt;&gt;"",NOT(ISNUMBER('CF_I'!D3))),1,0)</f>
        <v/>
      </c>
      <c r="E3">
        <f>IF(AND('CF_I'!E3&lt;&gt;"",IF(ISNUMBER('CF_I'!E3),OR('CF_I'!E3&lt;&gt;INT('CF_I'!E3),LEN(TEXT(ABS('CF_I'!E3),"0"))&gt;12),TRUE)),1,0)</f>
        <v/>
      </c>
      <c r="F3">
        <f>IF(AND('CF_I'!F3&lt;&gt;"",OR(LEN('CF_I'!F3)&gt;3,COUNTIF(CL_MONEDA_ISO,'CF_I'!F3)=0)),1,0)</f>
        <v/>
      </c>
      <c r="G3">
        <f>IF(AND('CF_I'!G3&lt;&gt;"",LEN('CF_I'!G3)&gt;6),1,0)</f>
        <v/>
      </c>
      <c r="H3">
        <f>IF(AND('CF_I'!H3&lt;&gt;"",LEN('CF_I'!H3)&gt;34),1,0)</f>
        <v/>
      </c>
      <c r="I3">
        <f>IF(AND('CF_I'!I3&lt;&gt;"",COUNTIF(CL_TIPO_RELACION_ACREDITADO,'CF_I'!I3)=0),1,0)</f>
        <v/>
      </c>
    </row>
    <row r="4">
      <c r="A4">
        <f>IF(AND('CF_I'!A4&lt;&gt;"",COUNTIF(CL_TIPO_OPERACION_CF_I,'CF_I'!A4)=0),1,0)</f>
        <v/>
      </c>
      <c r="B4">
        <f>IF(AND('CF_I'!B4&lt;&gt;"",COUNTIF(CL_TIPO_FONDEO_CF_I,'CF_I'!B4)=0),1,0)</f>
        <v/>
      </c>
      <c r="C4">
        <f>IF(AND('CF_I'!C4&lt;&gt;"",NOT(ISNUMBER('CF_I'!C4))),1,0)</f>
        <v/>
      </c>
      <c r="D4">
        <f>IF(AND('CF_I'!D4&lt;&gt;"",NOT(ISNUMBER('CF_I'!D4))),1,0)</f>
        <v/>
      </c>
      <c r="E4">
        <f>IF(AND('CF_I'!E4&lt;&gt;"",IF(ISNUMBER('CF_I'!E4),OR('CF_I'!E4&lt;&gt;INT('CF_I'!E4),LEN(TEXT(ABS('CF_I'!E4),"0"))&gt;12),TRUE)),1,0)</f>
        <v/>
      </c>
      <c r="F4">
        <f>IF(AND('CF_I'!F4&lt;&gt;"",OR(LEN('CF_I'!F4)&gt;3,COUNTIF(CL_MONEDA_ISO,'CF_I'!F4)=0)),1,0)</f>
        <v/>
      </c>
      <c r="G4">
        <f>IF(AND('CF_I'!G4&lt;&gt;"",LEN('CF_I'!G4)&gt;6),1,0)</f>
        <v/>
      </c>
      <c r="H4">
        <f>IF(AND('CF_I'!H4&lt;&gt;"",LEN('CF_I'!H4)&gt;34),1,0)</f>
        <v/>
      </c>
      <c r="I4">
        <f>IF(AND('CF_I'!I4&lt;&gt;"",COUNTIF(CL_TIPO_RELACION_ACREDITADO,'CF_I'!I4)=0),1,0)</f>
        <v/>
      </c>
    </row>
    <row r="5">
      <c r="A5">
        <f>IF(AND('CF_I'!A5&lt;&gt;"",COUNTIF(CL_TIPO_OPERACION_CF_I,'CF_I'!A5)=0),1,0)</f>
        <v/>
      </c>
      <c r="B5">
        <f>IF(AND('CF_I'!B5&lt;&gt;"",COUNTIF(CL_TIPO_FONDEO_CF_I,'CF_I'!B5)=0),1,0)</f>
        <v/>
      </c>
      <c r="C5">
        <f>IF(AND('CF_I'!C5&lt;&gt;"",NOT(ISNUMBER('CF_I'!C5))),1,0)</f>
        <v/>
      </c>
      <c r="D5">
        <f>IF(AND('CF_I'!D5&lt;&gt;"",NOT(ISNUMBER('CF_I'!D5))),1,0)</f>
        <v/>
      </c>
      <c r="E5">
        <f>IF(AND('CF_I'!E5&lt;&gt;"",IF(ISNUMBER('CF_I'!E5),OR('CF_I'!E5&lt;&gt;INT('CF_I'!E5),LEN(TEXT(ABS('CF_I'!E5),"0"))&gt;12),TRUE)),1,0)</f>
        <v/>
      </c>
      <c r="F5">
        <f>IF(AND('CF_I'!F5&lt;&gt;"",OR(LEN('CF_I'!F5)&gt;3,COUNTIF(CL_MONEDA_ISO,'CF_I'!F5)=0)),1,0)</f>
        <v/>
      </c>
      <c r="G5">
        <f>IF(AND('CF_I'!G5&lt;&gt;"",LEN('CF_I'!G5)&gt;6),1,0)</f>
        <v/>
      </c>
      <c r="H5">
        <f>IF(AND('CF_I'!H5&lt;&gt;"",LEN('CF_I'!H5)&gt;34),1,0)</f>
        <v/>
      </c>
      <c r="I5">
        <f>IF(AND('CF_I'!I5&lt;&gt;"",COUNTIF(CL_TIPO_RELACION_ACREDITADO,'CF_I'!I5)=0),1,0)</f>
        <v/>
      </c>
    </row>
    <row r="6">
      <c r="A6">
        <f>IF(AND('CF_I'!A6&lt;&gt;"",COUNTIF(CL_TIPO_OPERACION_CF_I,'CF_I'!A6)=0),1,0)</f>
        <v/>
      </c>
      <c r="B6">
        <f>IF(AND('CF_I'!B6&lt;&gt;"",COUNTIF(CL_TIPO_FONDEO_CF_I,'CF_I'!B6)=0),1,0)</f>
        <v/>
      </c>
      <c r="C6">
        <f>IF(AND('CF_I'!C6&lt;&gt;"",NOT(ISNUMBER('CF_I'!C6))),1,0)</f>
        <v/>
      </c>
      <c r="D6">
        <f>IF(AND('CF_I'!D6&lt;&gt;"",NOT(ISNUMBER('CF_I'!D6))),1,0)</f>
        <v/>
      </c>
      <c r="E6">
        <f>IF(AND('CF_I'!E6&lt;&gt;"",IF(ISNUMBER('CF_I'!E6),OR('CF_I'!E6&lt;&gt;INT('CF_I'!E6),LEN(TEXT(ABS('CF_I'!E6),"0"))&gt;12),TRUE)),1,0)</f>
        <v/>
      </c>
      <c r="F6">
        <f>IF(AND('CF_I'!F6&lt;&gt;"",OR(LEN('CF_I'!F6)&gt;3,COUNTIF(CL_MONEDA_ISO,'CF_I'!F6)=0)),1,0)</f>
        <v/>
      </c>
      <c r="G6">
        <f>IF(AND('CF_I'!G6&lt;&gt;"",LEN('CF_I'!G6)&gt;6),1,0)</f>
        <v/>
      </c>
      <c r="H6">
        <f>IF(AND('CF_I'!H6&lt;&gt;"",LEN('CF_I'!H6)&gt;34),1,0)</f>
        <v/>
      </c>
      <c r="I6">
        <f>IF(AND('CF_I'!I6&lt;&gt;"",COUNTIF(CL_TIPO_RELACION_ACREDITADO,'CF_I'!I6)=0),1,0)</f>
        <v/>
      </c>
    </row>
    <row r="7">
      <c r="A7">
        <f>IF(AND('CF_I'!A7&lt;&gt;"",COUNTIF(CL_TIPO_OPERACION_CF_I,'CF_I'!A7)=0),1,0)</f>
        <v/>
      </c>
      <c r="B7">
        <f>IF(AND('CF_I'!B7&lt;&gt;"",COUNTIF(CL_TIPO_FONDEO_CF_I,'CF_I'!B7)=0),1,0)</f>
        <v/>
      </c>
      <c r="C7">
        <f>IF(AND('CF_I'!C7&lt;&gt;"",NOT(ISNUMBER('CF_I'!C7))),1,0)</f>
        <v/>
      </c>
      <c r="D7">
        <f>IF(AND('CF_I'!D7&lt;&gt;"",NOT(ISNUMBER('CF_I'!D7))),1,0)</f>
        <v/>
      </c>
      <c r="E7">
        <f>IF(AND('CF_I'!E7&lt;&gt;"",IF(ISNUMBER('CF_I'!E7),OR('CF_I'!E7&lt;&gt;INT('CF_I'!E7),LEN(TEXT(ABS('CF_I'!E7),"0"))&gt;12),TRUE)),1,0)</f>
        <v/>
      </c>
      <c r="F7">
        <f>IF(AND('CF_I'!F7&lt;&gt;"",OR(LEN('CF_I'!F7)&gt;3,COUNTIF(CL_MONEDA_ISO,'CF_I'!F7)=0)),1,0)</f>
        <v/>
      </c>
      <c r="G7">
        <f>IF(AND('CF_I'!G7&lt;&gt;"",LEN('CF_I'!G7)&gt;6),1,0)</f>
        <v/>
      </c>
      <c r="H7">
        <f>IF(AND('CF_I'!H7&lt;&gt;"",LEN('CF_I'!H7)&gt;34),1,0)</f>
        <v/>
      </c>
      <c r="I7">
        <f>IF(AND('CF_I'!I7&lt;&gt;"",COUNTIF(CL_TIPO_RELACION_ACREDITADO,'CF_I'!I7)=0),1,0)</f>
        <v/>
      </c>
    </row>
    <row r="8">
      <c r="A8">
        <f>IF(AND('CF_I'!A8&lt;&gt;"",COUNTIF(CL_TIPO_OPERACION_CF_I,'CF_I'!A8)=0),1,0)</f>
        <v/>
      </c>
      <c r="B8">
        <f>IF(AND('CF_I'!B8&lt;&gt;"",COUNTIF(CL_TIPO_FONDEO_CF_I,'CF_I'!B8)=0),1,0)</f>
        <v/>
      </c>
      <c r="C8">
        <f>IF(AND('CF_I'!C8&lt;&gt;"",NOT(ISNUMBER('CF_I'!C8))),1,0)</f>
        <v/>
      </c>
      <c r="D8">
        <f>IF(AND('CF_I'!D8&lt;&gt;"",NOT(ISNUMBER('CF_I'!D8))),1,0)</f>
        <v/>
      </c>
      <c r="E8">
        <f>IF(AND('CF_I'!E8&lt;&gt;"",IF(ISNUMBER('CF_I'!E8),OR('CF_I'!E8&lt;&gt;INT('CF_I'!E8),LEN(TEXT(ABS('CF_I'!E8),"0"))&gt;12),TRUE)),1,0)</f>
        <v/>
      </c>
      <c r="F8">
        <f>IF(AND('CF_I'!F8&lt;&gt;"",OR(LEN('CF_I'!F8)&gt;3,COUNTIF(CL_MONEDA_ISO,'CF_I'!F8)=0)),1,0)</f>
        <v/>
      </c>
      <c r="G8">
        <f>IF(AND('CF_I'!G8&lt;&gt;"",LEN('CF_I'!G8)&gt;6),1,0)</f>
        <v/>
      </c>
      <c r="H8">
        <f>IF(AND('CF_I'!H8&lt;&gt;"",LEN('CF_I'!H8)&gt;34),1,0)</f>
        <v/>
      </c>
      <c r="I8">
        <f>IF(AND('CF_I'!I8&lt;&gt;"",COUNTIF(CL_TIPO_RELACION_ACREDITADO,'CF_I'!I8)=0),1,0)</f>
        <v/>
      </c>
    </row>
    <row r="9">
      <c r="A9">
        <f>IF(AND('CF_I'!A9&lt;&gt;"",COUNTIF(CL_TIPO_OPERACION_CF_I,'CF_I'!A9)=0),1,0)</f>
        <v/>
      </c>
      <c r="B9">
        <f>IF(AND('CF_I'!B9&lt;&gt;"",COUNTIF(CL_TIPO_FONDEO_CF_I,'CF_I'!B9)=0),1,0)</f>
        <v/>
      </c>
      <c r="C9">
        <f>IF(AND('CF_I'!C9&lt;&gt;"",NOT(ISNUMBER('CF_I'!C9))),1,0)</f>
        <v/>
      </c>
      <c r="D9">
        <f>IF(AND('CF_I'!D9&lt;&gt;"",NOT(ISNUMBER('CF_I'!D9))),1,0)</f>
        <v/>
      </c>
      <c r="E9">
        <f>IF(AND('CF_I'!E9&lt;&gt;"",IF(ISNUMBER('CF_I'!E9),OR('CF_I'!E9&lt;&gt;INT('CF_I'!E9),LEN(TEXT(ABS('CF_I'!E9),"0"))&gt;12),TRUE)),1,0)</f>
        <v/>
      </c>
      <c r="F9">
        <f>IF(AND('CF_I'!F9&lt;&gt;"",OR(LEN('CF_I'!F9)&gt;3,COUNTIF(CL_MONEDA_ISO,'CF_I'!F9)=0)),1,0)</f>
        <v/>
      </c>
      <c r="G9">
        <f>IF(AND('CF_I'!G9&lt;&gt;"",LEN('CF_I'!G9)&gt;6),1,0)</f>
        <v/>
      </c>
      <c r="H9">
        <f>IF(AND('CF_I'!H9&lt;&gt;"",LEN('CF_I'!H9)&gt;34),1,0)</f>
        <v/>
      </c>
      <c r="I9">
        <f>IF(AND('CF_I'!I9&lt;&gt;"",COUNTIF(CL_TIPO_RELACION_ACREDITADO,'CF_I'!I9)=0),1,0)</f>
        <v/>
      </c>
    </row>
    <row r="10">
      <c r="A10">
        <f>IF(AND('CF_I'!A10&lt;&gt;"",COUNTIF(CL_TIPO_OPERACION_CF_I,'CF_I'!A10)=0),1,0)</f>
        <v/>
      </c>
      <c r="B10">
        <f>IF(AND('CF_I'!B10&lt;&gt;"",COUNTIF(CL_TIPO_FONDEO_CF_I,'CF_I'!B10)=0),1,0)</f>
        <v/>
      </c>
      <c r="C10">
        <f>IF(AND('CF_I'!C10&lt;&gt;"",NOT(ISNUMBER('CF_I'!C10))),1,0)</f>
        <v/>
      </c>
      <c r="D10">
        <f>IF(AND('CF_I'!D10&lt;&gt;"",NOT(ISNUMBER('CF_I'!D10))),1,0)</f>
        <v/>
      </c>
      <c r="E10">
        <f>IF(AND('CF_I'!E10&lt;&gt;"",IF(ISNUMBER('CF_I'!E10),OR('CF_I'!E10&lt;&gt;INT('CF_I'!E10),LEN(TEXT(ABS('CF_I'!E10),"0"))&gt;12),TRUE)),1,0)</f>
        <v/>
      </c>
      <c r="F10">
        <f>IF(AND('CF_I'!F10&lt;&gt;"",OR(LEN('CF_I'!F10)&gt;3,COUNTIF(CL_MONEDA_ISO,'CF_I'!F10)=0)),1,0)</f>
        <v/>
      </c>
      <c r="G10">
        <f>IF(AND('CF_I'!G10&lt;&gt;"",LEN('CF_I'!G10)&gt;6),1,0)</f>
        <v/>
      </c>
      <c r="H10">
        <f>IF(AND('CF_I'!H10&lt;&gt;"",LEN('CF_I'!H10)&gt;34),1,0)</f>
        <v/>
      </c>
      <c r="I10">
        <f>IF(AND('CF_I'!I10&lt;&gt;"",COUNTIF(CL_TIPO_RELACION_ACREDITADO,'CF_I'!I10)=0),1,0)</f>
        <v/>
      </c>
    </row>
    <row r="11">
      <c r="A11">
        <f>IF(AND('CF_I'!A11&lt;&gt;"",COUNTIF(CL_TIPO_OPERACION_CF_I,'CF_I'!A11)=0),1,0)</f>
        <v/>
      </c>
      <c r="B11">
        <f>IF(AND('CF_I'!B11&lt;&gt;"",COUNTIF(CL_TIPO_FONDEO_CF_I,'CF_I'!B11)=0),1,0)</f>
        <v/>
      </c>
      <c r="C11">
        <f>IF(AND('CF_I'!C11&lt;&gt;"",NOT(ISNUMBER('CF_I'!C11))),1,0)</f>
        <v/>
      </c>
      <c r="D11">
        <f>IF(AND('CF_I'!D11&lt;&gt;"",NOT(ISNUMBER('CF_I'!D11))),1,0)</f>
        <v/>
      </c>
      <c r="E11">
        <f>IF(AND('CF_I'!E11&lt;&gt;"",IF(ISNUMBER('CF_I'!E11),OR('CF_I'!E11&lt;&gt;INT('CF_I'!E11),LEN(TEXT(ABS('CF_I'!E11),"0"))&gt;12),TRUE)),1,0)</f>
        <v/>
      </c>
      <c r="F11">
        <f>IF(AND('CF_I'!F11&lt;&gt;"",OR(LEN('CF_I'!F11)&gt;3,COUNTIF(CL_MONEDA_ISO,'CF_I'!F11)=0)),1,0)</f>
        <v/>
      </c>
      <c r="G11">
        <f>IF(AND('CF_I'!G11&lt;&gt;"",LEN('CF_I'!G11)&gt;6),1,0)</f>
        <v/>
      </c>
      <c r="H11">
        <f>IF(AND('CF_I'!H11&lt;&gt;"",LEN('CF_I'!H11)&gt;34),1,0)</f>
        <v/>
      </c>
      <c r="I11">
        <f>IF(AND('CF_I'!I11&lt;&gt;"",COUNTIF(CL_TIPO_RELACION_ACREDITADO,'CF_I'!I11)=0),1,0)</f>
        <v/>
      </c>
    </row>
    <row r="12">
      <c r="A12">
        <f>IF(AND('CF_I'!A12&lt;&gt;"",COUNTIF(CL_TIPO_OPERACION_CF_I,'CF_I'!A12)=0),1,0)</f>
        <v/>
      </c>
      <c r="B12">
        <f>IF(AND('CF_I'!B12&lt;&gt;"",COUNTIF(CL_TIPO_FONDEO_CF_I,'CF_I'!B12)=0),1,0)</f>
        <v/>
      </c>
      <c r="C12">
        <f>IF(AND('CF_I'!C12&lt;&gt;"",NOT(ISNUMBER('CF_I'!C12))),1,0)</f>
        <v/>
      </c>
      <c r="D12">
        <f>IF(AND('CF_I'!D12&lt;&gt;"",NOT(ISNUMBER('CF_I'!D12))),1,0)</f>
        <v/>
      </c>
      <c r="E12">
        <f>IF(AND('CF_I'!E12&lt;&gt;"",IF(ISNUMBER('CF_I'!E12),OR('CF_I'!E12&lt;&gt;INT('CF_I'!E12),LEN(TEXT(ABS('CF_I'!E12),"0"))&gt;12),TRUE)),1,0)</f>
        <v/>
      </c>
      <c r="F12">
        <f>IF(AND('CF_I'!F12&lt;&gt;"",OR(LEN('CF_I'!F12)&gt;3,COUNTIF(CL_MONEDA_ISO,'CF_I'!F12)=0)),1,0)</f>
        <v/>
      </c>
      <c r="G12">
        <f>IF(AND('CF_I'!G12&lt;&gt;"",LEN('CF_I'!G12)&gt;6),1,0)</f>
        <v/>
      </c>
      <c r="H12">
        <f>IF(AND('CF_I'!H12&lt;&gt;"",LEN('CF_I'!H12)&gt;34),1,0)</f>
        <v/>
      </c>
      <c r="I12">
        <f>IF(AND('CF_I'!I12&lt;&gt;"",COUNTIF(CL_TIPO_RELACION_ACREDITADO,'CF_I'!I12)=0),1,0)</f>
        <v/>
      </c>
    </row>
    <row r="13">
      <c r="A13">
        <f>IF(AND('CF_I'!A13&lt;&gt;"",COUNTIF(CL_TIPO_OPERACION_CF_I,'CF_I'!A13)=0),1,0)</f>
        <v/>
      </c>
      <c r="B13">
        <f>IF(AND('CF_I'!B13&lt;&gt;"",COUNTIF(CL_TIPO_FONDEO_CF_I,'CF_I'!B13)=0),1,0)</f>
        <v/>
      </c>
      <c r="C13">
        <f>IF(AND('CF_I'!C13&lt;&gt;"",NOT(ISNUMBER('CF_I'!C13))),1,0)</f>
        <v/>
      </c>
      <c r="D13">
        <f>IF(AND('CF_I'!D13&lt;&gt;"",NOT(ISNUMBER('CF_I'!D13))),1,0)</f>
        <v/>
      </c>
      <c r="E13">
        <f>IF(AND('CF_I'!E13&lt;&gt;"",IF(ISNUMBER('CF_I'!E13),OR('CF_I'!E13&lt;&gt;INT('CF_I'!E13),LEN(TEXT(ABS('CF_I'!E13),"0"))&gt;12),TRUE)),1,0)</f>
        <v/>
      </c>
      <c r="F13">
        <f>IF(AND('CF_I'!F13&lt;&gt;"",OR(LEN('CF_I'!F13)&gt;3,COUNTIF(CL_MONEDA_ISO,'CF_I'!F13)=0)),1,0)</f>
        <v/>
      </c>
      <c r="G13">
        <f>IF(AND('CF_I'!G13&lt;&gt;"",LEN('CF_I'!G13)&gt;6),1,0)</f>
        <v/>
      </c>
      <c r="H13">
        <f>IF(AND('CF_I'!H13&lt;&gt;"",LEN('CF_I'!H13)&gt;34),1,0)</f>
        <v/>
      </c>
      <c r="I13">
        <f>IF(AND('CF_I'!I13&lt;&gt;"",COUNTIF(CL_TIPO_RELACION_ACREDITADO,'CF_I'!I13)=0),1,0)</f>
        <v/>
      </c>
    </row>
    <row r="14">
      <c r="A14">
        <f>IF(AND('CF_I'!A14&lt;&gt;"",COUNTIF(CL_TIPO_OPERACION_CF_I,'CF_I'!A14)=0),1,0)</f>
        <v/>
      </c>
      <c r="B14">
        <f>IF(AND('CF_I'!B14&lt;&gt;"",COUNTIF(CL_TIPO_FONDEO_CF_I,'CF_I'!B14)=0),1,0)</f>
        <v/>
      </c>
      <c r="C14">
        <f>IF(AND('CF_I'!C14&lt;&gt;"",NOT(ISNUMBER('CF_I'!C14))),1,0)</f>
        <v/>
      </c>
      <c r="D14">
        <f>IF(AND('CF_I'!D14&lt;&gt;"",NOT(ISNUMBER('CF_I'!D14))),1,0)</f>
        <v/>
      </c>
      <c r="E14">
        <f>IF(AND('CF_I'!E14&lt;&gt;"",IF(ISNUMBER('CF_I'!E14),OR('CF_I'!E14&lt;&gt;INT('CF_I'!E14),LEN(TEXT(ABS('CF_I'!E14),"0"))&gt;12),TRUE)),1,0)</f>
        <v/>
      </c>
      <c r="F14">
        <f>IF(AND('CF_I'!F14&lt;&gt;"",OR(LEN('CF_I'!F14)&gt;3,COUNTIF(CL_MONEDA_ISO,'CF_I'!F14)=0)),1,0)</f>
        <v/>
      </c>
      <c r="G14">
        <f>IF(AND('CF_I'!G14&lt;&gt;"",LEN('CF_I'!G14)&gt;6),1,0)</f>
        <v/>
      </c>
      <c r="H14">
        <f>IF(AND('CF_I'!H14&lt;&gt;"",LEN('CF_I'!H14)&gt;34),1,0)</f>
        <v/>
      </c>
      <c r="I14">
        <f>IF(AND('CF_I'!I14&lt;&gt;"",COUNTIF(CL_TIPO_RELACION_ACREDITADO,'CF_I'!I14)=0),1,0)</f>
        <v/>
      </c>
    </row>
    <row r="15">
      <c r="A15">
        <f>IF(AND('CF_I'!A15&lt;&gt;"",COUNTIF(CL_TIPO_OPERACION_CF_I,'CF_I'!A15)=0),1,0)</f>
        <v/>
      </c>
      <c r="B15">
        <f>IF(AND('CF_I'!B15&lt;&gt;"",COUNTIF(CL_TIPO_FONDEO_CF_I,'CF_I'!B15)=0),1,0)</f>
        <v/>
      </c>
      <c r="C15">
        <f>IF(AND('CF_I'!C15&lt;&gt;"",NOT(ISNUMBER('CF_I'!C15))),1,0)</f>
        <v/>
      </c>
      <c r="D15">
        <f>IF(AND('CF_I'!D15&lt;&gt;"",NOT(ISNUMBER('CF_I'!D15))),1,0)</f>
        <v/>
      </c>
      <c r="E15">
        <f>IF(AND('CF_I'!E15&lt;&gt;"",IF(ISNUMBER('CF_I'!E15),OR('CF_I'!E15&lt;&gt;INT('CF_I'!E15),LEN(TEXT(ABS('CF_I'!E15),"0"))&gt;12),TRUE)),1,0)</f>
        <v/>
      </c>
      <c r="F15">
        <f>IF(AND('CF_I'!F15&lt;&gt;"",OR(LEN('CF_I'!F15)&gt;3,COUNTIF(CL_MONEDA_ISO,'CF_I'!F15)=0)),1,0)</f>
        <v/>
      </c>
      <c r="G15">
        <f>IF(AND('CF_I'!G15&lt;&gt;"",LEN('CF_I'!G15)&gt;6),1,0)</f>
        <v/>
      </c>
      <c r="H15">
        <f>IF(AND('CF_I'!H15&lt;&gt;"",LEN('CF_I'!H15)&gt;34),1,0)</f>
        <v/>
      </c>
      <c r="I15">
        <f>IF(AND('CF_I'!I15&lt;&gt;"",COUNTIF(CL_TIPO_RELACION_ACREDITADO,'CF_I'!I15)=0),1,0)</f>
        <v/>
      </c>
    </row>
    <row r="16">
      <c r="A16">
        <f>IF(AND('CF_I'!A16&lt;&gt;"",COUNTIF(CL_TIPO_OPERACION_CF_I,'CF_I'!A16)=0),1,0)</f>
        <v/>
      </c>
      <c r="B16">
        <f>IF(AND('CF_I'!B16&lt;&gt;"",COUNTIF(CL_TIPO_FONDEO_CF_I,'CF_I'!B16)=0),1,0)</f>
        <v/>
      </c>
      <c r="C16">
        <f>IF(AND('CF_I'!C16&lt;&gt;"",NOT(ISNUMBER('CF_I'!C16))),1,0)</f>
        <v/>
      </c>
      <c r="D16">
        <f>IF(AND('CF_I'!D16&lt;&gt;"",NOT(ISNUMBER('CF_I'!D16))),1,0)</f>
        <v/>
      </c>
      <c r="E16">
        <f>IF(AND('CF_I'!E16&lt;&gt;"",IF(ISNUMBER('CF_I'!E16),OR('CF_I'!E16&lt;&gt;INT('CF_I'!E16),LEN(TEXT(ABS('CF_I'!E16),"0"))&gt;12),TRUE)),1,0)</f>
        <v/>
      </c>
      <c r="F16">
        <f>IF(AND('CF_I'!F16&lt;&gt;"",OR(LEN('CF_I'!F16)&gt;3,COUNTIF(CL_MONEDA_ISO,'CF_I'!F16)=0)),1,0)</f>
        <v/>
      </c>
      <c r="G16">
        <f>IF(AND('CF_I'!G16&lt;&gt;"",LEN('CF_I'!G16)&gt;6),1,0)</f>
        <v/>
      </c>
      <c r="H16">
        <f>IF(AND('CF_I'!H16&lt;&gt;"",LEN('CF_I'!H16)&gt;34),1,0)</f>
        <v/>
      </c>
      <c r="I16">
        <f>IF(AND('CF_I'!I16&lt;&gt;"",COUNTIF(CL_TIPO_RELACION_ACREDITADO,'CF_I'!I16)=0),1,0)</f>
        <v/>
      </c>
    </row>
    <row r="17">
      <c r="A17">
        <f>IF(AND('CF_I'!A17&lt;&gt;"",COUNTIF(CL_TIPO_OPERACION_CF_I,'CF_I'!A17)=0),1,0)</f>
        <v/>
      </c>
      <c r="B17">
        <f>IF(AND('CF_I'!B17&lt;&gt;"",COUNTIF(CL_TIPO_FONDEO_CF_I,'CF_I'!B17)=0),1,0)</f>
        <v/>
      </c>
      <c r="C17">
        <f>IF(AND('CF_I'!C17&lt;&gt;"",NOT(ISNUMBER('CF_I'!C17))),1,0)</f>
        <v/>
      </c>
      <c r="D17">
        <f>IF(AND('CF_I'!D17&lt;&gt;"",NOT(ISNUMBER('CF_I'!D17))),1,0)</f>
        <v/>
      </c>
      <c r="E17">
        <f>IF(AND('CF_I'!E17&lt;&gt;"",IF(ISNUMBER('CF_I'!E17),OR('CF_I'!E17&lt;&gt;INT('CF_I'!E17),LEN(TEXT(ABS('CF_I'!E17),"0"))&gt;12),TRUE)),1,0)</f>
        <v/>
      </c>
      <c r="F17">
        <f>IF(AND('CF_I'!F17&lt;&gt;"",OR(LEN('CF_I'!F17)&gt;3,COUNTIF(CL_MONEDA_ISO,'CF_I'!F17)=0)),1,0)</f>
        <v/>
      </c>
      <c r="G17">
        <f>IF(AND('CF_I'!G17&lt;&gt;"",LEN('CF_I'!G17)&gt;6),1,0)</f>
        <v/>
      </c>
      <c r="H17">
        <f>IF(AND('CF_I'!H17&lt;&gt;"",LEN('CF_I'!H17)&gt;34),1,0)</f>
        <v/>
      </c>
      <c r="I17">
        <f>IF(AND('CF_I'!I17&lt;&gt;"",COUNTIF(CL_TIPO_RELACION_ACREDITADO,'CF_I'!I17)=0),1,0)</f>
        <v/>
      </c>
    </row>
    <row r="18">
      <c r="A18">
        <f>IF(AND('CF_I'!A18&lt;&gt;"",COUNTIF(CL_TIPO_OPERACION_CF_I,'CF_I'!A18)=0),1,0)</f>
        <v/>
      </c>
      <c r="B18">
        <f>IF(AND('CF_I'!B18&lt;&gt;"",COUNTIF(CL_TIPO_FONDEO_CF_I,'CF_I'!B18)=0),1,0)</f>
        <v/>
      </c>
      <c r="C18">
        <f>IF(AND('CF_I'!C18&lt;&gt;"",NOT(ISNUMBER('CF_I'!C18))),1,0)</f>
        <v/>
      </c>
      <c r="D18">
        <f>IF(AND('CF_I'!D18&lt;&gt;"",NOT(ISNUMBER('CF_I'!D18))),1,0)</f>
        <v/>
      </c>
      <c r="E18">
        <f>IF(AND('CF_I'!E18&lt;&gt;"",IF(ISNUMBER('CF_I'!E18),OR('CF_I'!E18&lt;&gt;INT('CF_I'!E18),LEN(TEXT(ABS('CF_I'!E18),"0"))&gt;12),TRUE)),1,0)</f>
        <v/>
      </c>
      <c r="F18">
        <f>IF(AND('CF_I'!F18&lt;&gt;"",OR(LEN('CF_I'!F18)&gt;3,COUNTIF(CL_MONEDA_ISO,'CF_I'!F18)=0)),1,0)</f>
        <v/>
      </c>
      <c r="G18">
        <f>IF(AND('CF_I'!G18&lt;&gt;"",LEN('CF_I'!G18)&gt;6),1,0)</f>
        <v/>
      </c>
      <c r="H18">
        <f>IF(AND('CF_I'!H18&lt;&gt;"",LEN('CF_I'!H18)&gt;34),1,0)</f>
        <v/>
      </c>
      <c r="I18">
        <f>IF(AND('CF_I'!I18&lt;&gt;"",COUNTIF(CL_TIPO_RELACION_ACREDITADO,'CF_I'!I18)=0),1,0)</f>
        <v/>
      </c>
    </row>
    <row r="19">
      <c r="A19">
        <f>IF(AND('CF_I'!A19&lt;&gt;"",COUNTIF(CL_TIPO_OPERACION_CF_I,'CF_I'!A19)=0),1,0)</f>
        <v/>
      </c>
      <c r="B19">
        <f>IF(AND('CF_I'!B19&lt;&gt;"",COUNTIF(CL_TIPO_FONDEO_CF_I,'CF_I'!B19)=0),1,0)</f>
        <v/>
      </c>
      <c r="C19">
        <f>IF(AND('CF_I'!C19&lt;&gt;"",NOT(ISNUMBER('CF_I'!C19))),1,0)</f>
        <v/>
      </c>
      <c r="D19">
        <f>IF(AND('CF_I'!D19&lt;&gt;"",NOT(ISNUMBER('CF_I'!D19))),1,0)</f>
        <v/>
      </c>
      <c r="E19">
        <f>IF(AND('CF_I'!E19&lt;&gt;"",IF(ISNUMBER('CF_I'!E19),OR('CF_I'!E19&lt;&gt;INT('CF_I'!E19),LEN(TEXT(ABS('CF_I'!E19),"0"))&gt;12),TRUE)),1,0)</f>
        <v/>
      </c>
      <c r="F19">
        <f>IF(AND('CF_I'!F19&lt;&gt;"",OR(LEN('CF_I'!F19)&gt;3,COUNTIF(CL_MONEDA_ISO,'CF_I'!F19)=0)),1,0)</f>
        <v/>
      </c>
      <c r="G19">
        <f>IF(AND('CF_I'!G19&lt;&gt;"",LEN('CF_I'!G19)&gt;6),1,0)</f>
        <v/>
      </c>
      <c r="H19">
        <f>IF(AND('CF_I'!H19&lt;&gt;"",LEN('CF_I'!H19)&gt;34),1,0)</f>
        <v/>
      </c>
      <c r="I19">
        <f>IF(AND('CF_I'!I19&lt;&gt;"",COUNTIF(CL_TIPO_RELACION_ACREDITADO,'CF_I'!I19)=0),1,0)</f>
        <v/>
      </c>
    </row>
    <row r="20">
      <c r="A20">
        <f>IF(AND('CF_I'!A20&lt;&gt;"",COUNTIF(CL_TIPO_OPERACION_CF_I,'CF_I'!A20)=0),1,0)</f>
        <v/>
      </c>
      <c r="B20">
        <f>IF(AND('CF_I'!B20&lt;&gt;"",COUNTIF(CL_TIPO_FONDEO_CF_I,'CF_I'!B20)=0),1,0)</f>
        <v/>
      </c>
      <c r="C20">
        <f>IF(AND('CF_I'!C20&lt;&gt;"",NOT(ISNUMBER('CF_I'!C20))),1,0)</f>
        <v/>
      </c>
      <c r="D20">
        <f>IF(AND('CF_I'!D20&lt;&gt;"",NOT(ISNUMBER('CF_I'!D20))),1,0)</f>
        <v/>
      </c>
      <c r="E20">
        <f>IF(AND('CF_I'!E20&lt;&gt;"",IF(ISNUMBER('CF_I'!E20),OR('CF_I'!E20&lt;&gt;INT('CF_I'!E20),LEN(TEXT(ABS('CF_I'!E20),"0"))&gt;12),TRUE)),1,0)</f>
        <v/>
      </c>
      <c r="F20">
        <f>IF(AND('CF_I'!F20&lt;&gt;"",OR(LEN('CF_I'!F20)&gt;3,COUNTIF(CL_MONEDA_ISO,'CF_I'!F20)=0)),1,0)</f>
        <v/>
      </c>
      <c r="G20">
        <f>IF(AND('CF_I'!G20&lt;&gt;"",LEN('CF_I'!G20)&gt;6),1,0)</f>
        <v/>
      </c>
      <c r="H20">
        <f>IF(AND('CF_I'!H20&lt;&gt;"",LEN('CF_I'!H20)&gt;34),1,0)</f>
        <v/>
      </c>
      <c r="I20">
        <f>IF(AND('CF_I'!I20&lt;&gt;"",COUNTIF(CL_TIPO_RELACION_ACREDITADO,'CF_I'!I20)=0),1,0)</f>
        <v/>
      </c>
    </row>
    <row r="21">
      <c r="A21">
        <f>IF(AND('CF_I'!A21&lt;&gt;"",COUNTIF(CL_TIPO_OPERACION_CF_I,'CF_I'!A21)=0),1,0)</f>
        <v/>
      </c>
      <c r="B21">
        <f>IF(AND('CF_I'!B21&lt;&gt;"",COUNTIF(CL_TIPO_FONDEO_CF_I,'CF_I'!B21)=0),1,0)</f>
        <v/>
      </c>
      <c r="C21">
        <f>IF(AND('CF_I'!C21&lt;&gt;"",NOT(ISNUMBER('CF_I'!C21))),1,0)</f>
        <v/>
      </c>
      <c r="D21">
        <f>IF(AND('CF_I'!D21&lt;&gt;"",NOT(ISNUMBER('CF_I'!D21))),1,0)</f>
        <v/>
      </c>
      <c r="E21">
        <f>IF(AND('CF_I'!E21&lt;&gt;"",IF(ISNUMBER('CF_I'!E21),OR('CF_I'!E21&lt;&gt;INT('CF_I'!E21),LEN(TEXT(ABS('CF_I'!E21),"0"))&gt;12),TRUE)),1,0)</f>
        <v/>
      </c>
      <c r="F21">
        <f>IF(AND('CF_I'!F21&lt;&gt;"",OR(LEN('CF_I'!F21)&gt;3,COUNTIF(CL_MONEDA_ISO,'CF_I'!F21)=0)),1,0)</f>
        <v/>
      </c>
      <c r="G21">
        <f>IF(AND('CF_I'!G21&lt;&gt;"",LEN('CF_I'!G21)&gt;6),1,0)</f>
        <v/>
      </c>
      <c r="H21">
        <f>IF(AND('CF_I'!H21&lt;&gt;"",LEN('CF_I'!H21)&gt;34),1,0)</f>
        <v/>
      </c>
      <c r="I21">
        <f>IF(AND('CF_I'!I21&lt;&gt;"",COUNTIF(CL_TIPO_RELACION_ACREDITADO,'CF_I'!I21)=0),1,0)</f>
        <v/>
      </c>
    </row>
    <row r="22">
      <c r="A22">
        <f>IF(AND('CF_I'!A22&lt;&gt;"",COUNTIF(CL_TIPO_OPERACION_CF_I,'CF_I'!A22)=0),1,0)</f>
        <v/>
      </c>
      <c r="B22">
        <f>IF(AND('CF_I'!B22&lt;&gt;"",COUNTIF(CL_TIPO_FONDEO_CF_I,'CF_I'!B22)=0),1,0)</f>
        <v/>
      </c>
      <c r="C22">
        <f>IF(AND('CF_I'!C22&lt;&gt;"",NOT(ISNUMBER('CF_I'!C22))),1,0)</f>
        <v/>
      </c>
      <c r="D22">
        <f>IF(AND('CF_I'!D22&lt;&gt;"",NOT(ISNUMBER('CF_I'!D22))),1,0)</f>
        <v/>
      </c>
      <c r="E22">
        <f>IF(AND('CF_I'!E22&lt;&gt;"",IF(ISNUMBER('CF_I'!E22),OR('CF_I'!E22&lt;&gt;INT('CF_I'!E22),LEN(TEXT(ABS('CF_I'!E22),"0"))&gt;12),TRUE)),1,0)</f>
        <v/>
      </c>
      <c r="F22">
        <f>IF(AND('CF_I'!F22&lt;&gt;"",OR(LEN('CF_I'!F22)&gt;3,COUNTIF(CL_MONEDA_ISO,'CF_I'!F22)=0)),1,0)</f>
        <v/>
      </c>
      <c r="G22">
        <f>IF(AND('CF_I'!G22&lt;&gt;"",LEN('CF_I'!G22)&gt;6),1,0)</f>
        <v/>
      </c>
      <c r="H22">
        <f>IF(AND('CF_I'!H22&lt;&gt;"",LEN('CF_I'!H22)&gt;34),1,0)</f>
        <v/>
      </c>
      <c r="I22">
        <f>IF(AND('CF_I'!I22&lt;&gt;"",COUNTIF(CL_TIPO_RELACION_ACREDITADO,'CF_I'!I22)=0),1,0)</f>
        <v/>
      </c>
    </row>
    <row r="23">
      <c r="A23">
        <f>IF(AND('CF_I'!A23&lt;&gt;"",COUNTIF(CL_TIPO_OPERACION_CF_I,'CF_I'!A23)=0),1,0)</f>
        <v/>
      </c>
      <c r="B23">
        <f>IF(AND('CF_I'!B23&lt;&gt;"",COUNTIF(CL_TIPO_FONDEO_CF_I,'CF_I'!B23)=0),1,0)</f>
        <v/>
      </c>
      <c r="C23">
        <f>IF(AND('CF_I'!C23&lt;&gt;"",NOT(ISNUMBER('CF_I'!C23))),1,0)</f>
        <v/>
      </c>
      <c r="D23">
        <f>IF(AND('CF_I'!D23&lt;&gt;"",NOT(ISNUMBER('CF_I'!D23))),1,0)</f>
        <v/>
      </c>
      <c r="E23">
        <f>IF(AND('CF_I'!E23&lt;&gt;"",IF(ISNUMBER('CF_I'!E23),OR('CF_I'!E23&lt;&gt;INT('CF_I'!E23),LEN(TEXT(ABS('CF_I'!E23),"0"))&gt;12),TRUE)),1,0)</f>
        <v/>
      </c>
      <c r="F23">
        <f>IF(AND('CF_I'!F23&lt;&gt;"",OR(LEN('CF_I'!F23)&gt;3,COUNTIF(CL_MONEDA_ISO,'CF_I'!F23)=0)),1,0)</f>
        <v/>
      </c>
      <c r="G23">
        <f>IF(AND('CF_I'!G23&lt;&gt;"",LEN('CF_I'!G23)&gt;6),1,0)</f>
        <v/>
      </c>
      <c r="H23">
        <f>IF(AND('CF_I'!H23&lt;&gt;"",LEN('CF_I'!H23)&gt;34),1,0)</f>
        <v/>
      </c>
      <c r="I23">
        <f>IF(AND('CF_I'!I23&lt;&gt;"",COUNTIF(CL_TIPO_RELACION_ACREDITADO,'CF_I'!I23)=0),1,0)</f>
        <v/>
      </c>
    </row>
    <row r="24">
      <c r="A24">
        <f>IF(AND('CF_I'!A24&lt;&gt;"",COUNTIF(CL_TIPO_OPERACION_CF_I,'CF_I'!A24)=0),1,0)</f>
        <v/>
      </c>
      <c r="B24">
        <f>IF(AND('CF_I'!B24&lt;&gt;"",COUNTIF(CL_TIPO_FONDEO_CF_I,'CF_I'!B24)=0),1,0)</f>
        <v/>
      </c>
      <c r="C24">
        <f>IF(AND('CF_I'!C24&lt;&gt;"",NOT(ISNUMBER('CF_I'!C24))),1,0)</f>
        <v/>
      </c>
      <c r="D24">
        <f>IF(AND('CF_I'!D24&lt;&gt;"",NOT(ISNUMBER('CF_I'!D24))),1,0)</f>
        <v/>
      </c>
      <c r="E24">
        <f>IF(AND('CF_I'!E24&lt;&gt;"",IF(ISNUMBER('CF_I'!E24),OR('CF_I'!E24&lt;&gt;INT('CF_I'!E24),LEN(TEXT(ABS('CF_I'!E24),"0"))&gt;12),TRUE)),1,0)</f>
        <v/>
      </c>
      <c r="F24">
        <f>IF(AND('CF_I'!F24&lt;&gt;"",OR(LEN('CF_I'!F24)&gt;3,COUNTIF(CL_MONEDA_ISO,'CF_I'!F24)=0)),1,0)</f>
        <v/>
      </c>
      <c r="G24">
        <f>IF(AND('CF_I'!G24&lt;&gt;"",LEN('CF_I'!G24)&gt;6),1,0)</f>
        <v/>
      </c>
      <c r="H24">
        <f>IF(AND('CF_I'!H24&lt;&gt;"",LEN('CF_I'!H24)&gt;34),1,0)</f>
        <v/>
      </c>
      <c r="I24">
        <f>IF(AND('CF_I'!I24&lt;&gt;"",COUNTIF(CL_TIPO_RELACION_ACREDITADO,'CF_I'!I24)=0),1,0)</f>
        <v/>
      </c>
    </row>
    <row r="25">
      <c r="A25">
        <f>IF(AND('CF_I'!A25&lt;&gt;"",COUNTIF(CL_TIPO_OPERACION_CF_I,'CF_I'!A25)=0),1,0)</f>
        <v/>
      </c>
      <c r="B25">
        <f>IF(AND('CF_I'!B25&lt;&gt;"",COUNTIF(CL_TIPO_FONDEO_CF_I,'CF_I'!B25)=0),1,0)</f>
        <v/>
      </c>
      <c r="C25">
        <f>IF(AND('CF_I'!C25&lt;&gt;"",NOT(ISNUMBER('CF_I'!C25))),1,0)</f>
        <v/>
      </c>
      <c r="D25">
        <f>IF(AND('CF_I'!D25&lt;&gt;"",NOT(ISNUMBER('CF_I'!D25))),1,0)</f>
        <v/>
      </c>
      <c r="E25">
        <f>IF(AND('CF_I'!E25&lt;&gt;"",IF(ISNUMBER('CF_I'!E25),OR('CF_I'!E25&lt;&gt;INT('CF_I'!E25),LEN(TEXT(ABS('CF_I'!E25),"0"))&gt;12),TRUE)),1,0)</f>
        <v/>
      </c>
      <c r="F25">
        <f>IF(AND('CF_I'!F25&lt;&gt;"",OR(LEN('CF_I'!F25)&gt;3,COUNTIF(CL_MONEDA_ISO,'CF_I'!F25)=0)),1,0)</f>
        <v/>
      </c>
      <c r="G25">
        <f>IF(AND('CF_I'!G25&lt;&gt;"",LEN('CF_I'!G25)&gt;6),1,0)</f>
        <v/>
      </c>
      <c r="H25">
        <f>IF(AND('CF_I'!H25&lt;&gt;"",LEN('CF_I'!H25)&gt;34),1,0)</f>
        <v/>
      </c>
      <c r="I25">
        <f>IF(AND('CF_I'!I25&lt;&gt;"",COUNTIF(CL_TIPO_RELACION_ACREDITADO,'CF_I'!I25)=0),1,0)</f>
        <v/>
      </c>
    </row>
    <row r="26">
      <c r="A26">
        <f>IF(AND('CF_I'!A26&lt;&gt;"",COUNTIF(CL_TIPO_OPERACION_CF_I,'CF_I'!A26)=0),1,0)</f>
        <v/>
      </c>
      <c r="B26">
        <f>IF(AND('CF_I'!B26&lt;&gt;"",COUNTIF(CL_TIPO_FONDEO_CF_I,'CF_I'!B26)=0),1,0)</f>
        <v/>
      </c>
      <c r="C26">
        <f>IF(AND('CF_I'!C26&lt;&gt;"",NOT(ISNUMBER('CF_I'!C26))),1,0)</f>
        <v/>
      </c>
      <c r="D26">
        <f>IF(AND('CF_I'!D26&lt;&gt;"",NOT(ISNUMBER('CF_I'!D26))),1,0)</f>
        <v/>
      </c>
      <c r="E26">
        <f>IF(AND('CF_I'!E26&lt;&gt;"",IF(ISNUMBER('CF_I'!E26),OR('CF_I'!E26&lt;&gt;INT('CF_I'!E26),LEN(TEXT(ABS('CF_I'!E26),"0"))&gt;12),TRUE)),1,0)</f>
        <v/>
      </c>
      <c r="F26">
        <f>IF(AND('CF_I'!F26&lt;&gt;"",OR(LEN('CF_I'!F26)&gt;3,COUNTIF(CL_MONEDA_ISO,'CF_I'!F26)=0)),1,0)</f>
        <v/>
      </c>
      <c r="G26">
        <f>IF(AND('CF_I'!G26&lt;&gt;"",LEN('CF_I'!G26)&gt;6),1,0)</f>
        <v/>
      </c>
      <c r="H26">
        <f>IF(AND('CF_I'!H26&lt;&gt;"",LEN('CF_I'!H26)&gt;34),1,0)</f>
        <v/>
      </c>
      <c r="I26">
        <f>IF(AND('CF_I'!I26&lt;&gt;"",COUNTIF(CL_TIPO_RELACION_ACREDITADO,'CF_I'!I26)=0),1,0)</f>
        <v/>
      </c>
    </row>
    <row r="27">
      <c r="A27">
        <f>IF(AND('CF_I'!A27&lt;&gt;"",COUNTIF(CL_TIPO_OPERACION_CF_I,'CF_I'!A27)=0),1,0)</f>
        <v/>
      </c>
      <c r="B27">
        <f>IF(AND('CF_I'!B27&lt;&gt;"",COUNTIF(CL_TIPO_FONDEO_CF_I,'CF_I'!B27)=0),1,0)</f>
        <v/>
      </c>
      <c r="C27">
        <f>IF(AND('CF_I'!C27&lt;&gt;"",NOT(ISNUMBER('CF_I'!C27))),1,0)</f>
        <v/>
      </c>
      <c r="D27">
        <f>IF(AND('CF_I'!D27&lt;&gt;"",NOT(ISNUMBER('CF_I'!D27))),1,0)</f>
        <v/>
      </c>
      <c r="E27">
        <f>IF(AND('CF_I'!E27&lt;&gt;"",IF(ISNUMBER('CF_I'!E27),OR('CF_I'!E27&lt;&gt;INT('CF_I'!E27),LEN(TEXT(ABS('CF_I'!E27),"0"))&gt;12),TRUE)),1,0)</f>
        <v/>
      </c>
      <c r="F27">
        <f>IF(AND('CF_I'!F27&lt;&gt;"",OR(LEN('CF_I'!F27)&gt;3,COUNTIF(CL_MONEDA_ISO,'CF_I'!F27)=0)),1,0)</f>
        <v/>
      </c>
      <c r="G27">
        <f>IF(AND('CF_I'!G27&lt;&gt;"",LEN('CF_I'!G27)&gt;6),1,0)</f>
        <v/>
      </c>
      <c r="H27">
        <f>IF(AND('CF_I'!H27&lt;&gt;"",LEN('CF_I'!H27)&gt;34),1,0)</f>
        <v/>
      </c>
      <c r="I27">
        <f>IF(AND('CF_I'!I27&lt;&gt;"",COUNTIF(CL_TIPO_RELACION_ACREDITADO,'CF_I'!I27)=0),1,0)</f>
        <v/>
      </c>
    </row>
    <row r="28">
      <c r="A28">
        <f>IF(AND('CF_I'!A28&lt;&gt;"",COUNTIF(CL_TIPO_OPERACION_CF_I,'CF_I'!A28)=0),1,0)</f>
        <v/>
      </c>
      <c r="B28">
        <f>IF(AND('CF_I'!B28&lt;&gt;"",COUNTIF(CL_TIPO_FONDEO_CF_I,'CF_I'!B28)=0),1,0)</f>
        <v/>
      </c>
      <c r="C28">
        <f>IF(AND('CF_I'!C28&lt;&gt;"",NOT(ISNUMBER('CF_I'!C28))),1,0)</f>
        <v/>
      </c>
      <c r="D28">
        <f>IF(AND('CF_I'!D28&lt;&gt;"",NOT(ISNUMBER('CF_I'!D28))),1,0)</f>
        <v/>
      </c>
      <c r="E28">
        <f>IF(AND('CF_I'!E28&lt;&gt;"",IF(ISNUMBER('CF_I'!E28),OR('CF_I'!E28&lt;&gt;INT('CF_I'!E28),LEN(TEXT(ABS('CF_I'!E28),"0"))&gt;12),TRUE)),1,0)</f>
        <v/>
      </c>
      <c r="F28">
        <f>IF(AND('CF_I'!F28&lt;&gt;"",OR(LEN('CF_I'!F28)&gt;3,COUNTIF(CL_MONEDA_ISO,'CF_I'!F28)=0)),1,0)</f>
        <v/>
      </c>
      <c r="G28">
        <f>IF(AND('CF_I'!G28&lt;&gt;"",LEN('CF_I'!G28)&gt;6),1,0)</f>
        <v/>
      </c>
      <c r="H28">
        <f>IF(AND('CF_I'!H28&lt;&gt;"",LEN('CF_I'!H28)&gt;34),1,0)</f>
        <v/>
      </c>
      <c r="I28">
        <f>IF(AND('CF_I'!I28&lt;&gt;"",COUNTIF(CL_TIPO_RELACION_ACREDITADO,'CF_I'!I28)=0),1,0)</f>
        <v/>
      </c>
    </row>
    <row r="29">
      <c r="A29">
        <f>IF(AND('CF_I'!A29&lt;&gt;"",COUNTIF(CL_TIPO_OPERACION_CF_I,'CF_I'!A29)=0),1,0)</f>
        <v/>
      </c>
      <c r="B29">
        <f>IF(AND('CF_I'!B29&lt;&gt;"",COUNTIF(CL_TIPO_FONDEO_CF_I,'CF_I'!B29)=0),1,0)</f>
        <v/>
      </c>
      <c r="C29">
        <f>IF(AND('CF_I'!C29&lt;&gt;"",NOT(ISNUMBER('CF_I'!C29))),1,0)</f>
        <v/>
      </c>
      <c r="D29">
        <f>IF(AND('CF_I'!D29&lt;&gt;"",NOT(ISNUMBER('CF_I'!D29))),1,0)</f>
        <v/>
      </c>
      <c r="E29">
        <f>IF(AND('CF_I'!E29&lt;&gt;"",IF(ISNUMBER('CF_I'!E29),OR('CF_I'!E29&lt;&gt;INT('CF_I'!E29),LEN(TEXT(ABS('CF_I'!E29),"0"))&gt;12),TRUE)),1,0)</f>
        <v/>
      </c>
      <c r="F29">
        <f>IF(AND('CF_I'!F29&lt;&gt;"",OR(LEN('CF_I'!F29)&gt;3,COUNTIF(CL_MONEDA_ISO,'CF_I'!F29)=0)),1,0)</f>
        <v/>
      </c>
      <c r="G29">
        <f>IF(AND('CF_I'!G29&lt;&gt;"",LEN('CF_I'!G29)&gt;6),1,0)</f>
        <v/>
      </c>
      <c r="H29">
        <f>IF(AND('CF_I'!H29&lt;&gt;"",LEN('CF_I'!H29)&gt;34),1,0)</f>
        <v/>
      </c>
      <c r="I29">
        <f>IF(AND('CF_I'!I29&lt;&gt;"",COUNTIF(CL_TIPO_RELACION_ACREDITADO,'CF_I'!I29)=0),1,0)</f>
        <v/>
      </c>
    </row>
    <row r="30">
      <c r="A30">
        <f>IF(AND('CF_I'!A30&lt;&gt;"",COUNTIF(CL_TIPO_OPERACION_CF_I,'CF_I'!A30)=0),1,0)</f>
        <v/>
      </c>
      <c r="B30">
        <f>IF(AND('CF_I'!B30&lt;&gt;"",COUNTIF(CL_TIPO_FONDEO_CF_I,'CF_I'!B30)=0),1,0)</f>
        <v/>
      </c>
      <c r="C30">
        <f>IF(AND('CF_I'!C30&lt;&gt;"",NOT(ISNUMBER('CF_I'!C30))),1,0)</f>
        <v/>
      </c>
      <c r="D30">
        <f>IF(AND('CF_I'!D30&lt;&gt;"",NOT(ISNUMBER('CF_I'!D30))),1,0)</f>
        <v/>
      </c>
      <c r="E30">
        <f>IF(AND('CF_I'!E30&lt;&gt;"",IF(ISNUMBER('CF_I'!E30),OR('CF_I'!E30&lt;&gt;INT('CF_I'!E30),LEN(TEXT(ABS('CF_I'!E30),"0"))&gt;12),TRUE)),1,0)</f>
        <v/>
      </c>
      <c r="F30">
        <f>IF(AND('CF_I'!F30&lt;&gt;"",OR(LEN('CF_I'!F30)&gt;3,COUNTIF(CL_MONEDA_ISO,'CF_I'!F30)=0)),1,0)</f>
        <v/>
      </c>
      <c r="G30">
        <f>IF(AND('CF_I'!G30&lt;&gt;"",LEN('CF_I'!G30)&gt;6),1,0)</f>
        <v/>
      </c>
      <c r="H30">
        <f>IF(AND('CF_I'!H30&lt;&gt;"",LEN('CF_I'!H30)&gt;34),1,0)</f>
        <v/>
      </c>
      <c r="I30">
        <f>IF(AND('CF_I'!I30&lt;&gt;"",COUNTIF(CL_TIPO_RELACION_ACREDITADO,'CF_I'!I30)=0),1,0)</f>
        <v/>
      </c>
    </row>
    <row r="31">
      <c r="A31">
        <f>IF(AND('CF_I'!A31&lt;&gt;"",COUNTIF(CL_TIPO_OPERACION_CF_I,'CF_I'!A31)=0),1,0)</f>
        <v/>
      </c>
      <c r="B31">
        <f>IF(AND('CF_I'!B31&lt;&gt;"",COUNTIF(CL_TIPO_FONDEO_CF_I,'CF_I'!B31)=0),1,0)</f>
        <v/>
      </c>
      <c r="C31">
        <f>IF(AND('CF_I'!C31&lt;&gt;"",NOT(ISNUMBER('CF_I'!C31))),1,0)</f>
        <v/>
      </c>
      <c r="D31">
        <f>IF(AND('CF_I'!D31&lt;&gt;"",NOT(ISNUMBER('CF_I'!D31))),1,0)</f>
        <v/>
      </c>
      <c r="E31">
        <f>IF(AND('CF_I'!E31&lt;&gt;"",IF(ISNUMBER('CF_I'!E31),OR('CF_I'!E31&lt;&gt;INT('CF_I'!E31),LEN(TEXT(ABS('CF_I'!E31),"0"))&gt;12),TRUE)),1,0)</f>
        <v/>
      </c>
      <c r="F31">
        <f>IF(AND('CF_I'!F31&lt;&gt;"",OR(LEN('CF_I'!F31)&gt;3,COUNTIF(CL_MONEDA_ISO,'CF_I'!F31)=0)),1,0)</f>
        <v/>
      </c>
      <c r="G31">
        <f>IF(AND('CF_I'!G31&lt;&gt;"",LEN('CF_I'!G31)&gt;6),1,0)</f>
        <v/>
      </c>
      <c r="H31">
        <f>IF(AND('CF_I'!H31&lt;&gt;"",LEN('CF_I'!H31)&gt;34),1,0)</f>
        <v/>
      </c>
      <c r="I31">
        <f>IF(AND('CF_I'!I31&lt;&gt;"",COUNTIF(CL_TIPO_RELACION_ACREDITADO,'CF_I'!I31)=0),1,0)</f>
        <v/>
      </c>
    </row>
    <row r="32">
      <c r="A32">
        <f>IF(AND('CF_I'!A32&lt;&gt;"",COUNTIF(CL_TIPO_OPERACION_CF_I,'CF_I'!A32)=0),1,0)</f>
        <v/>
      </c>
      <c r="B32">
        <f>IF(AND('CF_I'!B32&lt;&gt;"",COUNTIF(CL_TIPO_FONDEO_CF_I,'CF_I'!B32)=0),1,0)</f>
        <v/>
      </c>
      <c r="C32">
        <f>IF(AND('CF_I'!C32&lt;&gt;"",NOT(ISNUMBER('CF_I'!C32))),1,0)</f>
        <v/>
      </c>
      <c r="D32">
        <f>IF(AND('CF_I'!D32&lt;&gt;"",NOT(ISNUMBER('CF_I'!D32))),1,0)</f>
        <v/>
      </c>
      <c r="E32">
        <f>IF(AND('CF_I'!E32&lt;&gt;"",IF(ISNUMBER('CF_I'!E32),OR('CF_I'!E32&lt;&gt;INT('CF_I'!E32),LEN(TEXT(ABS('CF_I'!E32),"0"))&gt;12),TRUE)),1,0)</f>
        <v/>
      </c>
      <c r="F32">
        <f>IF(AND('CF_I'!F32&lt;&gt;"",OR(LEN('CF_I'!F32)&gt;3,COUNTIF(CL_MONEDA_ISO,'CF_I'!F32)=0)),1,0)</f>
        <v/>
      </c>
      <c r="G32">
        <f>IF(AND('CF_I'!G32&lt;&gt;"",LEN('CF_I'!G32)&gt;6),1,0)</f>
        <v/>
      </c>
      <c r="H32">
        <f>IF(AND('CF_I'!H32&lt;&gt;"",LEN('CF_I'!H32)&gt;34),1,0)</f>
        <v/>
      </c>
      <c r="I32">
        <f>IF(AND('CF_I'!I32&lt;&gt;"",COUNTIF(CL_TIPO_RELACION_ACREDITADO,'CF_I'!I32)=0),1,0)</f>
        <v/>
      </c>
    </row>
    <row r="33">
      <c r="A33">
        <f>IF(AND('CF_I'!A33&lt;&gt;"",COUNTIF(CL_TIPO_OPERACION_CF_I,'CF_I'!A33)=0),1,0)</f>
        <v/>
      </c>
      <c r="B33">
        <f>IF(AND('CF_I'!B33&lt;&gt;"",COUNTIF(CL_TIPO_FONDEO_CF_I,'CF_I'!B33)=0),1,0)</f>
        <v/>
      </c>
      <c r="C33">
        <f>IF(AND('CF_I'!C33&lt;&gt;"",NOT(ISNUMBER('CF_I'!C33))),1,0)</f>
        <v/>
      </c>
      <c r="D33">
        <f>IF(AND('CF_I'!D33&lt;&gt;"",NOT(ISNUMBER('CF_I'!D33))),1,0)</f>
        <v/>
      </c>
      <c r="E33">
        <f>IF(AND('CF_I'!E33&lt;&gt;"",IF(ISNUMBER('CF_I'!E33),OR('CF_I'!E33&lt;&gt;INT('CF_I'!E33),LEN(TEXT(ABS('CF_I'!E33),"0"))&gt;12),TRUE)),1,0)</f>
        <v/>
      </c>
      <c r="F33">
        <f>IF(AND('CF_I'!F33&lt;&gt;"",OR(LEN('CF_I'!F33)&gt;3,COUNTIF(CL_MONEDA_ISO,'CF_I'!F33)=0)),1,0)</f>
        <v/>
      </c>
      <c r="G33">
        <f>IF(AND('CF_I'!G33&lt;&gt;"",LEN('CF_I'!G33)&gt;6),1,0)</f>
        <v/>
      </c>
      <c r="H33">
        <f>IF(AND('CF_I'!H33&lt;&gt;"",LEN('CF_I'!H33)&gt;34),1,0)</f>
        <v/>
      </c>
      <c r="I33">
        <f>IF(AND('CF_I'!I33&lt;&gt;"",COUNTIF(CL_TIPO_RELACION_ACREDITADO,'CF_I'!I33)=0),1,0)</f>
        <v/>
      </c>
    </row>
    <row r="34">
      <c r="A34">
        <f>IF(AND('CF_I'!A34&lt;&gt;"",COUNTIF(CL_TIPO_OPERACION_CF_I,'CF_I'!A34)=0),1,0)</f>
        <v/>
      </c>
      <c r="B34">
        <f>IF(AND('CF_I'!B34&lt;&gt;"",COUNTIF(CL_TIPO_FONDEO_CF_I,'CF_I'!B34)=0),1,0)</f>
        <v/>
      </c>
      <c r="C34">
        <f>IF(AND('CF_I'!C34&lt;&gt;"",NOT(ISNUMBER('CF_I'!C34))),1,0)</f>
        <v/>
      </c>
      <c r="D34">
        <f>IF(AND('CF_I'!D34&lt;&gt;"",NOT(ISNUMBER('CF_I'!D34))),1,0)</f>
        <v/>
      </c>
      <c r="E34">
        <f>IF(AND('CF_I'!E34&lt;&gt;"",IF(ISNUMBER('CF_I'!E34),OR('CF_I'!E34&lt;&gt;INT('CF_I'!E34),LEN(TEXT(ABS('CF_I'!E34),"0"))&gt;12),TRUE)),1,0)</f>
        <v/>
      </c>
      <c r="F34">
        <f>IF(AND('CF_I'!F34&lt;&gt;"",OR(LEN('CF_I'!F34)&gt;3,COUNTIF(CL_MONEDA_ISO,'CF_I'!F34)=0)),1,0)</f>
        <v/>
      </c>
      <c r="G34">
        <f>IF(AND('CF_I'!G34&lt;&gt;"",LEN('CF_I'!G34)&gt;6),1,0)</f>
        <v/>
      </c>
      <c r="H34">
        <f>IF(AND('CF_I'!H34&lt;&gt;"",LEN('CF_I'!H34)&gt;34),1,0)</f>
        <v/>
      </c>
      <c r="I34">
        <f>IF(AND('CF_I'!I34&lt;&gt;"",COUNTIF(CL_TIPO_RELACION_ACREDITADO,'CF_I'!I34)=0),1,0)</f>
        <v/>
      </c>
    </row>
    <row r="35">
      <c r="A35">
        <f>IF(AND('CF_I'!A35&lt;&gt;"",COUNTIF(CL_TIPO_OPERACION_CF_I,'CF_I'!A35)=0),1,0)</f>
        <v/>
      </c>
      <c r="B35">
        <f>IF(AND('CF_I'!B35&lt;&gt;"",COUNTIF(CL_TIPO_FONDEO_CF_I,'CF_I'!B35)=0),1,0)</f>
        <v/>
      </c>
      <c r="C35">
        <f>IF(AND('CF_I'!C35&lt;&gt;"",NOT(ISNUMBER('CF_I'!C35))),1,0)</f>
        <v/>
      </c>
      <c r="D35">
        <f>IF(AND('CF_I'!D35&lt;&gt;"",NOT(ISNUMBER('CF_I'!D35))),1,0)</f>
        <v/>
      </c>
      <c r="E35">
        <f>IF(AND('CF_I'!E35&lt;&gt;"",IF(ISNUMBER('CF_I'!E35),OR('CF_I'!E35&lt;&gt;INT('CF_I'!E35),LEN(TEXT(ABS('CF_I'!E35),"0"))&gt;12),TRUE)),1,0)</f>
        <v/>
      </c>
      <c r="F35">
        <f>IF(AND('CF_I'!F35&lt;&gt;"",OR(LEN('CF_I'!F35)&gt;3,COUNTIF(CL_MONEDA_ISO,'CF_I'!F35)=0)),1,0)</f>
        <v/>
      </c>
      <c r="G35">
        <f>IF(AND('CF_I'!G35&lt;&gt;"",LEN('CF_I'!G35)&gt;6),1,0)</f>
        <v/>
      </c>
      <c r="H35">
        <f>IF(AND('CF_I'!H35&lt;&gt;"",LEN('CF_I'!H35)&gt;34),1,0)</f>
        <v/>
      </c>
      <c r="I35">
        <f>IF(AND('CF_I'!I35&lt;&gt;"",COUNTIF(CL_TIPO_RELACION_ACREDITADO,'CF_I'!I35)=0),1,0)</f>
        <v/>
      </c>
    </row>
    <row r="36">
      <c r="A36">
        <f>IF(AND('CF_I'!A36&lt;&gt;"",COUNTIF(CL_TIPO_OPERACION_CF_I,'CF_I'!A36)=0),1,0)</f>
        <v/>
      </c>
      <c r="B36">
        <f>IF(AND('CF_I'!B36&lt;&gt;"",COUNTIF(CL_TIPO_FONDEO_CF_I,'CF_I'!B36)=0),1,0)</f>
        <v/>
      </c>
      <c r="C36">
        <f>IF(AND('CF_I'!C36&lt;&gt;"",NOT(ISNUMBER('CF_I'!C36))),1,0)</f>
        <v/>
      </c>
      <c r="D36">
        <f>IF(AND('CF_I'!D36&lt;&gt;"",NOT(ISNUMBER('CF_I'!D36))),1,0)</f>
        <v/>
      </c>
      <c r="E36">
        <f>IF(AND('CF_I'!E36&lt;&gt;"",IF(ISNUMBER('CF_I'!E36),OR('CF_I'!E36&lt;&gt;INT('CF_I'!E36),LEN(TEXT(ABS('CF_I'!E36),"0"))&gt;12),TRUE)),1,0)</f>
        <v/>
      </c>
      <c r="F36">
        <f>IF(AND('CF_I'!F36&lt;&gt;"",OR(LEN('CF_I'!F36)&gt;3,COUNTIF(CL_MONEDA_ISO,'CF_I'!F36)=0)),1,0)</f>
        <v/>
      </c>
      <c r="G36">
        <f>IF(AND('CF_I'!G36&lt;&gt;"",LEN('CF_I'!G36)&gt;6),1,0)</f>
        <v/>
      </c>
      <c r="H36">
        <f>IF(AND('CF_I'!H36&lt;&gt;"",LEN('CF_I'!H36)&gt;34),1,0)</f>
        <v/>
      </c>
      <c r="I36">
        <f>IF(AND('CF_I'!I36&lt;&gt;"",COUNTIF(CL_TIPO_RELACION_ACREDITADO,'CF_I'!I36)=0),1,0)</f>
        <v/>
      </c>
    </row>
    <row r="37">
      <c r="A37">
        <f>IF(AND('CF_I'!A37&lt;&gt;"",COUNTIF(CL_TIPO_OPERACION_CF_I,'CF_I'!A37)=0),1,0)</f>
        <v/>
      </c>
      <c r="B37">
        <f>IF(AND('CF_I'!B37&lt;&gt;"",COUNTIF(CL_TIPO_FONDEO_CF_I,'CF_I'!B37)=0),1,0)</f>
        <v/>
      </c>
      <c r="C37">
        <f>IF(AND('CF_I'!C37&lt;&gt;"",NOT(ISNUMBER('CF_I'!C37))),1,0)</f>
        <v/>
      </c>
      <c r="D37">
        <f>IF(AND('CF_I'!D37&lt;&gt;"",NOT(ISNUMBER('CF_I'!D37))),1,0)</f>
        <v/>
      </c>
      <c r="E37">
        <f>IF(AND('CF_I'!E37&lt;&gt;"",IF(ISNUMBER('CF_I'!E37),OR('CF_I'!E37&lt;&gt;INT('CF_I'!E37),LEN(TEXT(ABS('CF_I'!E37),"0"))&gt;12),TRUE)),1,0)</f>
        <v/>
      </c>
      <c r="F37">
        <f>IF(AND('CF_I'!F37&lt;&gt;"",OR(LEN('CF_I'!F37)&gt;3,COUNTIF(CL_MONEDA_ISO,'CF_I'!F37)=0)),1,0)</f>
        <v/>
      </c>
      <c r="G37">
        <f>IF(AND('CF_I'!G37&lt;&gt;"",LEN('CF_I'!G37)&gt;6),1,0)</f>
        <v/>
      </c>
      <c r="H37">
        <f>IF(AND('CF_I'!H37&lt;&gt;"",LEN('CF_I'!H37)&gt;34),1,0)</f>
        <v/>
      </c>
      <c r="I37">
        <f>IF(AND('CF_I'!I37&lt;&gt;"",COUNTIF(CL_TIPO_RELACION_ACREDITADO,'CF_I'!I37)=0),1,0)</f>
        <v/>
      </c>
    </row>
    <row r="38">
      <c r="A38">
        <f>IF(AND('CF_I'!A38&lt;&gt;"",COUNTIF(CL_TIPO_OPERACION_CF_I,'CF_I'!A38)=0),1,0)</f>
        <v/>
      </c>
      <c r="B38">
        <f>IF(AND('CF_I'!B38&lt;&gt;"",COUNTIF(CL_TIPO_FONDEO_CF_I,'CF_I'!B38)=0),1,0)</f>
        <v/>
      </c>
      <c r="C38">
        <f>IF(AND('CF_I'!C38&lt;&gt;"",NOT(ISNUMBER('CF_I'!C38))),1,0)</f>
        <v/>
      </c>
      <c r="D38">
        <f>IF(AND('CF_I'!D38&lt;&gt;"",NOT(ISNUMBER('CF_I'!D38))),1,0)</f>
        <v/>
      </c>
      <c r="E38">
        <f>IF(AND('CF_I'!E38&lt;&gt;"",IF(ISNUMBER('CF_I'!E38),OR('CF_I'!E38&lt;&gt;INT('CF_I'!E38),LEN(TEXT(ABS('CF_I'!E38),"0"))&gt;12),TRUE)),1,0)</f>
        <v/>
      </c>
      <c r="F38">
        <f>IF(AND('CF_I'!F38&lt;&gt;"",OR(LEN('CF_I'!F38)&gt;3,COUNTIF(CL_MONEDA_ISO,'CF_I'!F38)=0)),1,0)</f>
        <v/>
      </c>
      <c r="G38">
        <f>IF(AND('CF_I'!G38&lt;&gt;"",LEN('CF_I'!G38)&gt;6),1,0)</f>
        <v/>
      </c>
      <c r="H38">
        <f>IF(AND('CF_I'!H38&lt;&gt;"",LEN('CF_I'!H38)&gt;34),1,0)</f>
        <v/>
      </c>
      <c r="I38">
        <f>IF(AND('CF_I'!I38&lt;&gt;"",COUNTIF(CL_TIPO_RELACION_ACREDITADO,'CF_I'!I38)=0),1,0)</f>
        <v/>
      </c>
    </row>
    <row r="39">
      <c r="A39">
        <f>IF(AND('CF_I'!A39&lt;&gt;"",COUNTIF(CL_TIPO_OPERACION_CF_I,'CF_I'!A39)=0),1,0)</f>
        <v/>
      </c>
      <c r="B39">
        <f>IF(AND('CF_I'!B39&lt;&gt;"",COUNTIF(CL_TIPO_FONDEO_CF_I,'CF_I'!B39)=0),1,0)</f>
        <v/>
      </c>
      <c r="C39">
        <f>IF(AND('CF_I'!C39&lt;&gt;"",NOT(ISNUMBER('CF_I'!C39))),1,0)</f>
        <v/>
      </c>
      <c r="D39">
        <f>IF(AND('CF_I'!D39&lt;&gt;"",NOT(ISNUMBER('CF_I'!D39))),1,0)</f>
        <v/>
      </c>
      <c r="E39">
        <f>IF(AND('CF_I'!E39&lt;&gt;"",IF(ISNUMBER('CF_I'!E39),OR('CF_I'!E39&lt;&gt;INT('CF_I'!E39),LEN(TEXT(ABS('CF_I'!E39),"0"))&gt;12),TRUE)),1,0)</f>
        <v/>
      </c>
      <c r="F39">
        <f>IF(AND('CF_I'!F39&lt;&gt;"",OR(LEN('CF_I'!F39)&gt;3,COUNTIF(CL_MONEDA_ISO,'CF_I'!F39)=0)),1,0)</f>
        <v/>
      </c>
      <c r="G39">
        <f>IF(AND('CF_I'!G39&lt;&gt;"",LEN('CF_I'!G39)&gt;6),1,0)</f>
        <v/>
      </c>
      <c r="H39">
        <f>IF(AND('CF_I'!H39&lt;&gt;"",LEN('CF_I'!H39)&gt;34),1,0)</f>
        <v/>
      </c>
      <c r="I39">
        <f>IF(AND('CF_I'!I39&lt;&gt;"",COUNTIF(CL_TIPO_RELACION_ACREDITADO,'CF_I'!I39)=0),1,0)</f>
        <v/>
      </c>
    </row>
    <row r="40">
      <c r="A40">
        <f>IF(AND('CF_I'!A40&lt;&gt;"",COUNTIF(CL_TIPO_OPERACION_CF_I,'CF_I'!A40)=0),1,0)</f>
        <v/>
      </c>
      <c r="B40">
        <f>IF(AND('CF_I'!B40&lt;&gt;"",COUNTIF(CL_TIPO_FONDEO_CF_I,'CF_I'!B40)=0),1,0)</f>
        <v/>
      </c>
      <c r="C40">
        <f>IF(AND('CF_I'!C40&lt;&gt;"",NOT(ISNUMBER('CF_I'!C40))),1,0)</f>
        <v/>
      </c>
      <c r="D40">
        <f>IF(AND('CF_I'!D40&lt;&gt;"",NOT(ISNUMBER('CF_I'!D40))),1,0)</f>
        <v/>
      </c>
      <c r="E40">
        <f>IF(AND('CF_I'!E40&lt;&gt;"",IF(ISNUMBER('CF_I'!E40),OR('CF_I'!E40&lt;&gt;INT('CF_I'!E40),LEN(TEXT(ABS('CF_I'!E40),"0"))&gt;12),TRUE)),1,0)</f>
        <v/>
      </c>
      <c r="F40">
        <f>IF(AND('CF_I'!F40&lt;&gt;"",OR(LEN('CF_I'!F40)&gt;3,COUNTIF(CL_MONEDA_ISO,'CF_I'!F40)=0)),1,0)</f>
        <v/>
      </c>
      <c r="G40">
        <f>IF(AND('CF_I'!G40&lt;&gt;"",LEN('CF_I'!G40)&gt;6),1,0)</f>
        <v/>
      </c>
      <c r="H40">
        <f>IF(AND('CF_I'!H40&lt;&gt;"",LEN('CF_I'!H40)&gt;34),1,0)</f>
        <v/>
      </c>
      <c r="I40">
        <f>IF(AND('CF_I'!I40&lt;&gt;"",COUNTIF(CL_TIPO_RELACION_ACREDITADO,'CF_I'!I40)=0),1,0)</f>
        <v/>
      </c>
    </row>
    <row r="41">
      <c r="A41">
        <f>IF(AND('CF_I'!A41&lt;&gt;"",COUNTIF(CL_TIPO_OPERACION_CF_I,'CF_I'!A41)=0),1,0)</f>
        <v/>
      </c>
      <c r="B41">
        <f>IF(AND('CF_I'!B41&lt;&gt;"",COUNTIF(CL_TIPO_FONDEO_CF_I,'CF_I'!B41)=0),1,0)</f>
        <v/>
      </c>
      <c r="C41">
        <f>IF(AND('CF_I'!C41&lt;&gt;"",NOT(ISNUMBER('CF_I'!C41))),1,0)</f>
        <v/>
      </c>
      <c r="D41">
        <f>IF(AND('CF_I'!D41&lt;&gt;"",NOT(ISNUMBER('CF_I'!D41))),1,0)</f>
        <v/>
      </c>
      <c r="E41">
        <f>IF(AND('CF_I'!E41&lt;&gt;"",IF(ISNUMBER('CF_I'!E41),OR('CF_I'!E41&lt;&gt;INT('CF_I'!E41),LEN(TEXT(ABS('CF_I'!E41),"0"))&gt;12),TRUE)),1,0)</f>
        <v/>
      </c>
      <c r="F41">
        <f>IF(AND('CF_I'!F41&lt;&gt;"",OR(LEN('CF_I'!F41)&gt;3,COUNTIF(CL_MONEDA_ISO,'CF_I'!F41)=0)),1,0)</f>
        <v/>
      </c>
      <c r="G41">
        <f>IF(AND('CF_I'!G41&lt;&gt;"",LEN('CF_I'!G41)&gt;6),1,0)</f>
        <v/>
      </c>
      <c r="H41">
        <f>IF(AND('CF_I'!H41&lt;&gt;"",LEN('CF_I'!H41)&gt;34),1,0)</f>
        <v/>
      </c>
      <c r="I41">
        <f>IF(AND('CF_I'!I41&lt;&gt;"",COUNTIF(CL_TIPO_RELACION_ACREDITADO,'CF_I'!I41)=0),1,0)</f>
        <v/>
      </c>
    </row>
    <row r="42">
      <c r="A42">
        <f>IF(AND('CF_I'!A42&lt;&gt;"",COUNTIF(CL_TIPO_OPERACION_CF_I,'CF_I'!A42)=0),1,0)</f>
        <v/>
      </c>
      <c r="B42">
        <f>IF(AND('CF_I'!B42&lt;&gt;"",COUNTIF(CL_TIPO_FONDEO_CF_I,'CF_I'!B42)=0),1,0)</f>
        <v/>
      </c>
      <c r="C42">
        <f>IF(AND('CF_I'!C42&lt;&gt;"",NOT(ISNUMBER('CF_I'!C42))),1,0)</f>
        <v/>
      </c>
      <c r="D42">
        <f>IF(AND('CF_I'!D42&lt;&gt;"",NOT(ISNUMBER('CF_I'!D42))),1,0)</f>
        <v/>
      </c>
      <c r="E42">
        <f>IF(AND('CF_I'!E42&lt;&gt;"",IF(ISNUMBER('CF_I'!E42),OR('CF_I'!E42&lt;&gt;INT('CF_I'!E42),LEN(TEXT(ABS('CF_I'!E42),"0"))&gt;12),TRUE)),1,0)</f>
        <v/>
      </c>
      <c r="F42">
        <f>IF(AND('CF_I'!F42&lt;&gt;"",OR(LEN('CF_I'!F42)&gt;3,COUNTIF(CL_MONEDA_ISO,'CF_I'!F42)=0)),1,0)</f>
        <v/>
      </c>
      <c r="G42">
        <f>IF(AND('CF_I'!G42&lt;&gt;"",LEN('CF_I'!G42)&gt;6),1,0)</f>
        <v/>
      </c>
      <c r="H42">
        <f>IF(AND('CF_I'!H42&lt;&gt;"",LEN('CF_I'!H42)&gt;34),1,0)</f>
        <v/>
      </c>
      <c r="I42">
        <f>IF(AND('CF_I'!I42&lt;&gt;"",COUNTIF(CL_TIPO_RELACION_ACREDITADO,'CF_I'!I42)=0),1,0)</f>
        <v/>
      </c>
    </row>
    <row r="43">
      <c r="A43">
        <f>IF(AND('CF_I'!A43&lt;&gt;"",COUNTIF(CL_TIPO_OPERACION_CF_I,'CF_I'!A43)=0),1,0)</f>
        <v/>
      </c>
      <c r="B43">
        <f>IF(AND('CF_I'!B43&lt;&gt;"",COUNTIF(CL_TIPO_FONDEO_CF_I,'CF_I'!B43)=0),1,0)</f>
        <v/>
      </c>
      <c r="C43">
        <f>IF(AND('CF_I'!C43&lt;&gt;"",NOT(ISNUMBER('CF_I'!C43))),1,0)</f>
        <v/>
      </c>
      <c r="D43">
        <f>IF(AND('CF_I'!D43&lt;&gt;"",NOT(ISNUMBER('CF_I'!D43))),1,0)</f>
        <v/>
      </c>
      <c r="E43">
        <f>IF(AND('CF_I'!E43&lt;&gt;"",IF(ISNUMBER('CF_I'!E43),OR('CF_I'!E43&lt;&gt;INT('CF_I'!E43),LEN(TEXT(ABS('CF_I'!E43),"0"))&gt;12),TRUE)),1,0)</f>
        <v/>
      </c>
      <c r="F43">
        <f>IF(AND('CF_I'!F43&lt;&gt;"",OR(LEN('CF_I'!F43)&gt;3,COUNTIF(CL_MONEDA_ISO,'CF_I'!F43)=0)),1,0)</f>
        <v/>
      </c>
      <c r="G43">
        <f>IF(AND('CF_I'!G43&lt;&gt;"",LEN('CF_I'!G43)&gt;6),1,0)</f>
        <v/>
      </c>
      <c r="H43">
        <f>IF(AND('CF_I'!H43&lt;&gt;"",LEN('CF_I'!H43)&gt;34),1,0)</f>
        <v/>
      </c>
      <c r="I43">
        <f>IF(AND('CF_I'!I43&lt;&gt;"",COUNTIF(CL_TIPO_RELACION_ACREDITADO,'CF_I'!I43)=0),1,0)</f>
        <v/>
      </c>
    </row>
    <row r="44">
      <c r="A44">
        <f>IF(AND('CF_I'!A44&lt;&gt;"",COUNTIF(CL_TIPO_OPERACION_CF_I,'CF_I'!A44)=0),1,0)</f>
        <v/>
      </c>
      <c r="B44">
        <f>IF(AND('CF_I'!B44&lt;&gt;"",COUNTIF(CL_TIPO_FONDEO_CF_I,'CF_I'!B44)=0),1,0)</f>
        <v/>
      </c>
      <c r="C44">
        <f>IF(AND('CF_I'!C44&lt;&gt;"",NOT(ISNUMBER('CF_I'!C44))),1,0)</f>
        <v/>
      </c>
      <c r="D44">
        <f>IF(AND('CF_I'!D44&lt;&gt;"",NOT(ISNUMBER('CF_I'!D44))),1,0)</f>
        <v/>
      </c>
      <c r="E44">
        <f>IF(AND('CF_I'!E44&lt;&gt;"",IF(ISNUMBER('CF_I'!E44),OR('CF_I'!E44&lt;&gt;INT('CF_I'!E44),LEN(TEXT(ABS('CF_I'!E44),"0"))&gt;12),TRUE)),1,0)</f>
        <v/>
      </c>
      <c r="F44">
        <f>IF(AND('CF_I'!F44&lt;&gt;"",OR(LEN('CF_I'!F44)&gt;3,COUNTIF(CL_MONEDA_ISO,'CF_I'!F44)=0)),1,0)</f>
        <v/>
      </c>
      <c r="G44">
        <f>IF(AND('CF_I'!G44&lt;&gt;"",LEN('CF_I'!G44)&gt;6),1,0)</f>
        <v/>
      </c>
      <c r="H44">
        <f>IF(AND('CF_I'!H44&lt;&gt;"",LEN('CF_I'!H44)&gt;34),1,0)</f>
        <v/>
      </c>
      <c r="I44">
        <f>IF(AND('CF_I'!I44&lt;&gt;"",COUNTIF(CL_TIPO_RELACION_ACREDITADO,'CF_I'!I44)=0),1,0)</f>
        <v/>
      </c>
    </row>
    <row r="45">
      <c r="A45">
        <f>IF(AND('CF_I'!A45&lt;&gt;"",COUNTIF(CL_TIPO_OPERACION_CF_I,'CF_I'!A45)=0),1,0)</f>
        <v/>
      </c>
      <c r="B45">
        <f>IF(AND('CF_I'!B45&lt;&gt;"",COUNTIF(CL_TIPO_FONDEO_CF_I,'CF_I'!B45)=0),1,0)</f>
        <v/>
      </c>
      <c r="C45">
        <f>IF(AND('CF_I'!C45&lt;&gt;"",NOT(ISNUMBER('CF_I'!C45))),1,0)</f>
        <v/>
      </c>
      <c r="D45">
        <f>IF(AND('CF_I'!D45&lt;&gt;"",NOT(ISNUMBER('CF_I'!D45))),1,0)</f>
        <v/>
      </c>
      <c r="E45">
        <f>IF(AND('CF_I'!E45&lt;&gt;"",IF(ISNUMBER('CF_I'!E45),OR('CF_I'!E45&lt;&gt;INT('CF_I'!E45),LEN(TEXT(ABS('CF_I'!E45),"0"))&gt;12),TRUE)),1,0)</f>
        <v/>
      </c>
      <c r="F45">
        <f>IF(AND('CF_I'!F45&lt;&gt;"",OR(LEN('CF_I'!F45)&gt;3,COUNTIF(CL_MONEDA_ISO,'CF_I'!F45)=0)),1,0)</f>
        <v/>
      </c>
      <c r="G45">
        <f>IF(AND('CF_I'!G45&lt;&gt;"",LEN('CF_I'!G45)&gt;6),1,0)</f>
        <v/>
      </c>
      <c r="H45">
        <f>IF(AND('CF_I'!H45&lt;&gt;"",LEN('CF_I'!H45)&gt;34),1,0)</f>
        <v/>
      </c>
      <c r="I45">
        <f>IF(AND('CF_I'!I45&lt;&gt;"",COUNTIF(CL_TIPO_RELACION_ACREDITADO,'CF_I'!I45)=0),1,0)</f>
        <v/>
      </c>
    </row>
    <row r="46">
      <c r="A46">
        <f>IF(AND('CF_I'!A46&lt;&gt;"",COUNTIF(CL_TIPO_OPERACION_CF_I,'CF_I'!A46)=0),1,0)</f>
        <v/>
      </c>
      <c r="B46">
        <f>IF(AND('CF_I'!B46&lt;&gt;"",COUNTIF(CL_TIPO_FONDEO_CF_I,'CF_I'!B46)=0),1,0)</f>
        <v/>
      </c>
      <c r="C46">
        <f>IF(AND('CF_I'!C46&lt;&gt;"",NOT(ISNUMBER('CF_I'!C46))),1,0)</f>
        <v/>
      </c>
      <c r="D46">
        <f>IF(AND('CF_I'!D46&lt;&gt;"",NOT(ISNUMBER('CF_I'!D46))),1,0)</f>
        <v/>
      </c>
      <c r="E46">
        <f>IF(AND('CF_I'!E46&lt;&gt;"",IF(ISNUMBER('CF_I'!E46),OR('CF_I'!E46&lt;&gt;INT('CF_I'!E46),LEN(TEXT(ABS('CF_I'!E46),"0"))&gt;12),TRUE)),1,0)</f>
        <v/>
      </c>
      <c r="F46">
        <f>IF(AND('CF_I'!F46&lt;&gt;"",OR(LEN('CF_I'!F46)&gt;3,COUNTIF(CL_MONEDA_ISO,'CF_I'!F46)=0)),1,0)</f>
        <v/>
      </c>
      <c r="G46">
        <f>IF(AND('CF_I'!G46&lt;&gt;"",LEN('CF_I'!G46)&gt;6),1,0)</f>
        <v/>
      </c>
      <c r="H46">
        <f>IF(AND('CF_I'!H46&lt;&gt;"",LEN('CF_I'!H46)&gt;34),1,0)</f>
        <v/>
      </c>
      <c r="I46">
        <f>IF(AND('CF_I'!I46&lt;&gt;"",COUNTIF(CL_TIPO_RELACION_ACREDITADO,'CF_I'!I46)=0),1,0)</f>
        <v/>
      </c>
    </row>
    <row r="47">
      <c r="A47">
        <f>IF(AND('CF_I'!A47&lt;&gt;"",COUNTIF(CL_TIPO_OPERACION_CF_I,'CF_I'!A47)=0),1,0)</f>
        <v/>
      </c>
      <c r="B47">
        <f>IF(AND('CF_I'!B47&lt;&gt;"",COUNTIF(CL_TIPO_FONDEO_CF_I,'CF_I'!B47)=0),1,0)</f>
        <v/>
      </c>
      <c r="C47">
        <f>IF(AND('CF_I'!C47&lt;&gt;"",NOT(ISNUMBER('CF_I'!C47))),1,0)</f>
        <v/>
      </c>
      <c r="D47">
        <f>IF(AND('CF_I'!D47&lt;&gt;"",NOT(ISNUMBER('CF_I'!D47))),1,0)</f>
        <v/>
      </c>
      <c r="E47">
        <f>IF(AND('CF_I'!E47&lt;&gt;"",IF(ISNUMBER('CF_I'!E47),OR('CF_I'!E47&lt;&gt;INT('CF_I'!E47),LEN(TEXT(ABS('CF_I'!E47),"0"))&gt;12),TRUE)),1,0)</f>
        <v/>
      </c>
      <c r="F47">
        <f>IF(AND('CF_I'!F47&lt;&gt;"",OR(LEN('CF_I'!F47)&gt;3,COUNTIF(CL_MONEDA_ISO,'CF_I'!F47)=0)),1,0)</f>
        <v/>
      </c>
      <c r="G47">
        <f>IF(AND('CF_I'!G47&lt;&gt;"",LEN('CF_I'!G47)&gt;6),1,0)</f>
        <v/>
      </c>
      <c r="H47">
        <f>IF(AND('CF_I'!H47&lt;&gt;"",LEN('CF_I'!H47)&gt;34),1,0)</f>
        <v/>
      </c>
      <c r="I47">
        <f>IF(AND('CF_I'!I47&lt;&gt;"",COUNTIF(CL_TIPO_RELACION_ACREDITADO,'CF_I'!I47)=0),1,0)</f>
        <v/>
      </c>
    </row>
    <row r="48">
      <c r="A48">
        <f>IF(AND('CF_I'!A48&lt;&gt;"",COUNTIF(CL_TIPO_OPERACION_CF_I,'CF_I'!A48)=0),1,0)</f>
        <v/>
      </c>
      <c r="B48">
        <f>IF(AND('CF_I'!B48&lt;&gt;"",COUNTIF(CL_TIPO_FONDEO_CF_I,'CF_I'!B48)=0),1,0)</f>
        <v/>
      </c>
      <c r="C48">
        <f>IF(AND('CF_I'!C48&lt;&gt;"",NOT(ISNUMBER('CF_I'!C48))),1,0)</f>
        <v/>
      </c>
      <c r="D48">
        <f>IF(AND('CF_I'!D48&lt;&gt;"",NOT(ISNUMBER('CF_I'!D48))),1,0)</f>
        <v/>
      </c>
      <c r="E48">
        <f>IF(AND('CF_I'!E48&lt;&gt;"",IF(ISNUMBER('CF_I'!E48),OR('CF_I'!E48&lt;&gt;INT('CF_I'!E48),LEN(TEXT(ABS('CF_I'!E48),"0"))&gt;12),TRUE)),1,0)</f>
        <v/>
      </c>
      <c r="F48">
        <f>IF(AND('CF_I'!F48&lt;&gt;"",OR(LEN('CF_I'!F48)&gt;3,COUNTIF(CL_MONEDA_ISO,'CF_I'!F48)=0)),1,0)</f>
        <v/>
      </c>
      <c r="G48">
        <f>IF(AND('CF_I'!G48&lt;&gt;"",LEN('CF_I'!G48)&gt;6),1,0)</f>
        <v/>
      </c>
      <c r="H48">
        <f>IF(AND('CF_I'!H48&lt;&gt;"",LEN('CF_I'!H48)&gt;34),1,0)</f>
        <v/>
      </c>
      <c r="I48">
        <f>IF(AND('CF_I'!I48&lt;&gt;"",COUNTIF(CL_TIPO_RELACION_ACREDITADO,'CF_I'!I48)=0),1,0)</f>
        <v/>
      </c>
    </row>
    <row r="49">
      <c r="A49">
        <f>IF(AND('CF_I'!A49&lt;&gt;"",COUNTIF(CL_TIPO_OPERACION_CF_I,'CF_I'!A49)=0),1,0)</f>
        <v/>
      </c>
      <c r="B49">
        <f>IF(AND('CF_I'!B49&lt;&gt;"",COUNTIF(CL_TIPO_FONDEO_CF_I,'CF_I'!B49)=0),1,0)</f>
        <v/>
      </c>
      <c r="C49">
        <f>IF(AND('CF_I'!C49&lt;&gt;"",NOT(ISNUMBER('CF_I'!C49))),1,0)</f>
        <v/>
      </c>
      <c r="D49">
        <f>IF(AND('CF_I'!D49&lt;&gt;"",NOT(ISNUMBER('CF_I'!D49))),1,0)</f>
        <v/>
      </c>
      <c r="E49">
        <f>IF(AND('CF_I'!E49&lt;&gt;"",IF(ISNUMBER('CF_I'!E49),OR('CF_I'!E49&lt;&gt;INT('CF_I'!E49),LEN(TEXT(ABS('CF_I'!E49),"0"))&gt;12),TRUE)),1,0)</f>
        <v/>
      </c>
      <c r="F49">
        <f>IF(AND('CF_I'!F49&lt;&gt;"",OR(LEN('CF_I'!F49)&gt;3,COUNTIF(CL_MONEDA_ISO,'CF_I'!F49)=0)),1,0)</f>
        <v/>
      </c>
      <c r="G49">
        <f>IF(AND('CF_I'!G49&lt;&gt;"",LEN('CF_I'!G49)&gt;6),1,0)</f>
        <v/>
      </c>
      <c r="H49">
        <f>IF(AND('CF_I'!H49&lt;&gt;"",LEN('CF_I'!H49)&gt;34),1,0)</f>
        <v/>
      </c>
      <c r="I49">
        <f>IF(AND('CF_I'!I49&lt;&gt;"",COUNTIF(CL_TIPO_RELACION_ACREDITADO,'CF_I'!I49)=0),1,0)</f>
        <v/>
      </c>
    </row>
    <row r="50">
      <c r="A50">
        <f>IF(AND('CF_I'!A50&lt;&gt;"",COUNTIF(CL_TIPO_OPERACION_CF_I,'CF_I'!A50)=0),1,0)</f>
        <v/>
      </c>
      <c r="B50">
        <f>IF(AND('CF_I'!B50&lt;&gt;"",COUNTIF(CL_TIPO_FONDEO_CF_I,'CF_I'!B50)=0),1,0)</f>
        <v/>
      </c>
      <c r="C50">
        <f>IF(AND('CF_I'!C50&lt;&gt;"",NOT(ISNUMBER('CF_I'!C50))),1,0)</f>
        <v/>
      </c>
      <c r="D50">
        <f>IF(AND('CF_I'!D50&lt;&gt;"",NOT(ISNUMBER('CF_I'!D50))),1,0)</f>
        <v/>
      </c>
      <c r="E50">
        <f>IF(AND('CF_I'!E50&lt;&gt;"",IF(ISNUMBER('CF_I'!E50),OR('CF_I'!E50&lt;&gt;INT('CF_I'!E50),LEN(TEXT(ABS('CF_I'!E50),"0"))&gt;12),TRUE)),1,0)</f>
        <v/>
      </c>
      <c r="F50">
        <f>IF(AND('CF_I'!F50&lt;&gt;"",OR(LEN('CF_I'!F50)&gt;3,COUNTIF(CL_MONEDA_ISO,'CF_I'!F50)=0)),1,0)</f>
        <v/>
      </c>
      <c r="G50">
        <f>IF(AND('CF_I'!G50&lt;&gt;"",LEN('CF_I'!G50)&gt;6),1,0)</f>
        <v/>
      </c>
      <c r="H50">
        <f>IF(AND('CF_I'!H50&lt;&gt;"",LEN('CF_I'!H50)&gt;34),1,0)</f>
        <v/>
      </c>
      <c r="I50">
        <f>IF(AND('CF_I'!I50&lt;&gt;"",COUNTIF(CL_TIPO_RELACION_ACREDITADO,'CF_I'!I50)=0),1,0)</f>
        <v/>
      </c>
    </row>
    <row r="51">
      <c r="A51">
        <f>IF(AND('CF_I'!A51&lt;&gt;"",COUNTIF(CL_TIPO_OPERACION_CF_I,'CF_I'!A51)=0),1,0)</f>
        <v/>
      </c>
      <c r="B51">
        <f>IF(AND('CF_I'!B51&lt;&gt;"",COUNTIF(CL_TIPO_FONDEO_CF_I,'CF_I'!B51)=0),1,0)</f>
        <v/>
      </c>
      <c r="C51">
        <f>IF(AND('CF_I'!C51&lt;&gt;"",NOT(ISNUMBER('CF_I'!C51))),1,0)</f>
        <v/>
      </c>
      <c r="D51">
        <f>IF(AND('CF_I'!D51&lt;&gt;"",NOT(ISNUMBER('CF_I'!D51))),1,0)</f>
        <v/>
      </c>
      <c r="E51">
        <f>IF(AND('CF_I'!E51&lt;&gt;"",IF(ISNUMBER('CF_I'!E51),OR('CF_I'!E51&lt;&gt;INT('CF_I'!E51),LEN(TEXT(ABS('CF_I'!E51),"0"))&gt;12),TRUE)),1,0)</f>
        <v/>
      </c>
      <c r="F51">
        <f>IF(AND('CF_I'!F51&lt;&gt;"",OR(LEN('CF_I'!F51)&gt;3,COUNTIF(CL_MONEDA_ISO,'CF_I'!F51)=0)),1,0)</f>
        <v/>
      </c>
      <c r="G51">
        <f>IF(AND('CF_I'!G51&lt;&gt;"",LEN('CF_I'!G51)&gt;6),1,0)</f>
        <v/>
      </c>
      <c r="H51">
        <f>IF(AND('CF_I'!H51&lt;&gt;"",LEN('CF_I'!H51)&gt;34),1,0)</f>
        <v/>
      </c>
      <c r="I51">
        <f>IF(AND('CF_I'!I51&lt;&gt;"",COUNTIF(CL_TIPO_RELACION_ACREDITADO,'CF_I'!I51)=0),1,0)</f>
        <v/>
      </c>
    </row>
    <row r="52">
      <c r="A52">
        <f>IF(AND('CF_I'!A52&lt;&gt;"",COUNTIF(CL_TIPO_OPERACION_CF_I,'CF_I'!A52)=0),1,0)</f>
        <v/>
      </c>
      <c r="B52">
        <f>IF(AND('CF_I'!B52&lt;&gt;"",COUNTIF(CL_TIPO_FONDEO_CF_I,'CF_I'!B52)=0),1,0)</f>
        <v/>
      </c>
      <c r="C52">
        <f>IF(AND('CF_I'!C52&lt;&gt;"",NOT(ISNUMBER('CF_I'!C52))),1,0)</f>
        <v/>
      </c>
      <c r="D52">
        <f>IF(AND('CF_I'!D52&lt;&gt;"",NOT(ISNUMBER('CF_I'!D52))),1,0)</f>
        <v/>
      </c>
      <c r="E52">
        <f>IF(AND('CF_I'!E52&lt;&gt;"",IF(ISNUMBER('CF_I'!E52),OR('CF_I'!E52&lt;&gt;INT('CF_I'!E52),LEN(TEXT(ABS('CF_I'!E52),"0"))&gt;12),TRUE)),1,0)</f>
        <v/>
      </c>
      <c r="F52">
        <f>IF(AND('CF_I'!F52&lt;&gt;"",OR(LEN('CF_I'!F52)&gt;3,COUNTIF(CL_MONEDA_ISO,'CF_I'!F52)=0)),1,0)</f>
        <v/>
      </c>
      <c r="G52">
        <f>IF(AND('CF_I'!G52&lt;&gt;"",LEN('CF_I'!G52)&gt;6),1,0)</f>
        <v/>
      </c>
      <c r="H52">
        <f>IF(AND('CF_I'!H52&lt;&gt;"",LEN('CF_I'!H52)&gt;34),1,0)</f>
        <v/>
      </c>
      <c r="I52">
        <f>IF(AND('CF_I'!I52&lt;&gt;"",COUNTIF(CL_TIPO_RELACION_ACREDITADO,'CF_I'!I52)=0),1,0)</f>
        <v/>
      </c>
    </row>
    <row r="53">
      <c r="A53">
        <f>IF(AND('CF_I'!A53&lt;&gt;"",COUNTIF(CL_TIPO_OPERACION_CF_I,'CF_I'!A53)=0),1,0)</f>
        <v/>
      </c>
      <c r="B53">
        <f>IF(AND('CF_I'!B53&lt;&gt;"",COUNTIF(CL_TIPO_FONDEO_CF_I,'CF_I'!B53)=0),1,0)</f>
        <v/>
      </c>
      <c r="C53">
        <f>IF(AND('CF_I'!C53&lt;&gt;"",NOT(ISNUMBER('CF_I'!C53))),1,0)</f>
        <v/>
      </c>
      <c r="D53">
        <f>IF(AND('CF_I'!D53&lt;&gt;"",NOT(ISNUMBER('CF_I'!D53))),1,0)</f>
        <v/>
      </c>
      <c r="E53">
        <f>IF(AND('CF_I'!E53&lt;&gt;"",IF(ISNUMBER('CF_I'!E53),OR('CF_I'!E53&lt;&gt;INT('CF_I'!E53),LEN(TEXT(ABS('CF_I'!E53),"0"))&gt;12),TRUE)),1,0)</f>
        <v/>
      </c>
      <c r="F53">
        <f>IF(AND('CF_I'!F53&lt;&gt;"",OR(LEN('CF_I'!F53)&gt;3,COUNTIF(CL_MONEDA_ISO,'CF_I'!F53)=0)),1,0)</f>
        <v/>
      </c>
      <c r="G53">
        <f>IF(AND('CF_I'!G53&lt;&gt;"",LEN('CF_I'!G53)&gt;6),1,0)</f>
        <v/>
      </c>
      <c r="H53">
        <f>IF(AND('CF_I'!H53&lt;&gt;"",LEN('CF_I'!H53)&gt;34),1,0)</f>
        <v/>
      </c>
      <c r="I53">
        <f>IF(AND('CF_I'!I53&lt;&gt;"",COUNTIF(CL_TIPO_RELACION_ACREDITADO,'CF_I'!I53)=0),1,0)</f>
        <v/>
      </c>
    </row>
    <row r="54">
      <c r="A54">
        <f>IF(AND('CF_I'!A54&lt;&gt;"",COUNTIF(CL_TIPO_OPERACION_CF_I,'CF_I'!A54)=0),1,0)</f>
        <v/>
      </c>
      <c r="B54">
        <f>IF(AND('CF_I'!B54&lt;&gt;"",COUNTIF(CL_TIPO_FONDEO_CF_I,'CF_I'!B54)=0),1,0)</f>
        <v/>
      </c>
      <c r="C54">
        <f>IF(AND('CF_I'!C54&lt;&gt;"",NOT(ISNUMBER('CF_I'!C54))),1,0)</f>
        <v/>
      </c>
      <c r="D54">
        <f>IF(AND('CF_I'!D54&lt;&gt;"",NOT(ISNUMBER('CF_I'!D54))),1,0)</f>
        <v/>
      </c>
      <c r="E54">
        <f>IF(AND('CF_I'!E54&lt;&gt;"",IF(ISNUMBER('CF_I'!E54),OR('CF_I'!E54&lt;&gt;INT('CF_I'!E54),LEN(TEXT(ABS('CF_I'!E54),"0"))&gt;12),TRUE)),1,0)</f>
        <v/>
      </c>
      <c r="F54">
        <f>IF(AND('CF_I'!F54&lt;&gt;"",OR(LEN('CF_I'!F54)&gt;3,COUNTIF(CL_MONEDA_ISO,'CF_I'!F54)=0)),1,0)</f>
        <v/>
      </c>
      <c r="G54">
        <f>IF(AND('CF_I'!G54&lt;&gt;"",LEN('CF_I'!G54)&gt;6),1,0)</f>
        <v/>
      </c>
      <c r="H54">
        <f>IF(AND('CF_I'!H54&lt;&gt;"",LEN('CF_I'!H54)&gt;34),1,0)</f>
        <v/>
      </c>
      <c r="I54">
        <f>IF(AND('CF_I'!I54&lt;&gt;"",COUNTIF(CL_TIPO_RELACION_ACREDITADO,'CF_I'!I54)=0),1,0)</f>
        <v/>
      </c>
    </row>
    <row r="55">
      <c r="A55">
        <f>IF(AND('CF_I'!A55&lt;&gt;"",COUNTIF(CL_TIPO_OPERACION_CF_I,'CF_I'!A55)=0),1,0)</f>
        <v/>
      </c>
      <c r="B55">
        <f>IF(AND('CF_I'!B55&lt;&gt;"",COUNTIF(CL_TIPO_FONDEO_CF_I,'CF_I'!B55)=0),1,0)</f>
        <v/>
      </c>
      <c r="C55">
        <f>IF(AND('CF_I'!C55&lt;&gt;"",NOT(ISNUMBER('CF_I'!C55))),1,0)</f>
        <v/>
      </c>
      <c r="D55">
        <f>IF(AND('CF_I'!D55&lt;&gt;"",NOT(ISNUMBER('CF_I'!D55))),1,0)</f>
        <v/>
      </c>
      <c r="E55">
        <f>IF(AND('CF_I'!E55&lt;&gt;"",IF(ISNUMBER('CF_I'!E55),OR('CF_I'!E55&lt;&gt;INT('CF_I'!E55),LEN(TEXT(ABS('CF_I'!E55),"0"))&gt;12),TRUE)),1,0)</f>
        <v/>
      </c>
      <c r="F55">
        <f>IF(AND('CF_I'!F55&lt;&gt;"",OR(LEN('CF_I'!F55)&gt;3,COUNTIF(CL_MONEDA_ISO,'CF_I'!F55)=0)),1,0)</f>
        <v/>
      </c>
      <c r="G55">
        <f>IF(AND('CF_I'!G55&lt;&gt;"",LEN('CF_I'!G55)&gt;6),1,0)</f>
        <v/>
      </c>
      <c r="H55">
        <f>IF(AND('CF_I'!H55&lt;&gt;"",LEN('CF_I'!H55)&gt;34),1,0)</f>
        <v/>
      </c>
      <c r="I55">
        <f>IF(AND('CF_I'!I55&lt;&gt;"",COUNTIF(CL_TIPO_RELACION_ACREDITADO,'CF_I'!I55)=0),1,0)</f>
        <v/>
      </c>
    </row>
    <row r="56">
      <c r="A56">
        <f>IF(AND('CF_I'!A56&lt;&gt;"",COUNTIF(CL_TIPO_OPERACION_CF_I,'CF_I'!A56)=0),1,0)</f>
        <v/>
      </c>
      <c r="B56">
        <f>IF(AND('CF_I'!B56&lt;&gt;"",COUNTIF(CL_TIPO_FONDEO_CF_I,'CF_I'!B56)=0),1,0)</f>
        <v/>
      </c>
      <c r="C56">
        <f>IF(AND('CF_I'!C56&lt;&gt;"",NOT(ISNUMBER('CF_I'!C56))),1,0)</f>
        <v/>
      </c>
      <c r="D56">
        <f>IF(AND('CF_I'!D56&lt;&gt;"",NOT(ISNUMBER('CF_I'!D56))),1,0)</f>
        <v/>
      </c>
      <c r="E56">
        <f>IF(AND('CF_I'!E56&lt;&gt;"",IF(ISNUMBER('CF_I'!E56),OR('CF_I'!E56&lt;&gt;INT('CF_I'!E56),LEN(TEXT(ABS('CF_I'!E56),"0"))&gt;12),TRUE)),1,0)</f>
        <v/>
      </c>
      <c r="F56">
        <f>IF(AND('CF_I'!F56&lt;&gt;"",OR(LEN('CF_I'!F56)&gt;3,COUNTIF(CL_MONEDA_ISO,'CF_I'!F56)=0)),1,0)</f>
        <v/>
      </c>
      <c r="G56">
        <f>IF(AND('CF_I'!G56&lt;&gt;"",LEN('CF_I'!G56)&gt;6),1,0)</f>
        <v/>
      </c>
      <c r="H56">
        <f>IF(AND('CF_I'!H56&lt;&gt;"",LEN('CF_I'!H56)&gt;34),1,0)</f>
        <v/>
      </c>
      <c r="I56">
        <f>IF(AND('CF_I'!I56&lt;&gt;"",COUNTIF(CL_TIPO_RELACION_ACREDITADO,'CF_I'!I56)=0),1,0)</f>
        <v/>
      </c>
    </row>
    <row r="57">
      <c r="A57">
        <f>IF(AND('CF_I'!A57&lt;&gt;"",COUNTIF(CL_TIPO_OPERACION_CF_I,'CF_I'!A57)=0),1,0)</f>
        <v/>
      </c>
      <c r="B57">
        <f>IF(AND('CF_I'!B57&lt;&gt;"",COUNTIF(CL_TIPO_FONDEO_CF_I,'CF_I'!B57)=0),1,0)</f>
        <v/>
      </c>
      <c r="C57">
        <f>IF(AND('CF_I'!C57&lt;&gt;"",NOT(ISNUMBER('CF_I'!C57))),1,0)</f>
        <v/>
      </c>
      <c r="D57">
        <f>IF(AND('CF_I'!D57&lt;&gt;"",NOT(ISNUMBER('CF_I'!D57))),1,0)</f>
        <v/>
      </c>
      <c r="E57">
        <f>IF(AND('CF_I'!E57&lt;&gt;"",IF(ISNUMBER('CF_I'!E57),OR('CF_I'!E57&lt;&gt;INT('CF_I'!E57),LEN(TEXT(ABS('CF_I'!E57),"0"))&gt;12),TRUE)),1,0)</f>
        <v/>
      </c>
      <c r="F57">
        <f>IF(AND('CF_I'!F57&lt;&gt;"",OR(LEN('CF_I'!F57)&gt;3,COUNTIF(CL_MONEDA_ISO,'CF_I'!F57)=0)),1,0)</f>
        <v/>
      </c>
      <c r="G57">
        <f>IF(AND('CF_I'!G57&lt;&gt;"",LEN('CF_I'!G57)&gt;6),1,0)</f>
        <v/>
      </c>
      <c r="H57">
        <f>IF(AND('CF_I'!H57&lt;&gt;"",LEN('CF_I'!H57)&gt;34),1,0)</f>
        <v/>
      </c>
      <c r="I57">
        <f>IF(AND('CF_I'!I57&lt;&gt;"",COUNTIF(CL_TIPO_RELACION_ACREDITADO,'CF_I'!I57)=0),1,0)</f>
        <v/>
      </c>
    </row>
    <row r="58">
      <c r="A58">
        <f>IF(AND('CF_I'!A58&lt;&gt;"",COUNTIF(CL_TIPO_OPERACION_CF_I,'CF_I'!A58)=0),1,0)</f>
        <v/>
      </c>
      <c r="B58">
        <f>IF(AND('CF_I'!B58&lt;&gt;"",COUNTIF(CL_TIPO_FONDEO_CF_I,'CF_I'!B58)=0),1,0)</f>
        <v/>
      </c>
      <c r="C58">
        <f>IF(AND('CF_I'!C58&lt;&gt;"",NOT(ISNUMBER('CF_I'!C58))),1,0)</f>
        <v/>
      </c>
      <c r="D58">
        <f>IF(AND('CF_I'!D58&lt;&gt;"",NOT(ISNUMBER('CF_I'!D58))),1,0)</f>
        <v/>
      </c>
      <c r="E58">
        <f>IF(AND('CF_I'!E58&lt;&gt;"",IF(ISNUMBER('CF_I'!E58),OR('CF_I'!E58&lt;&gt;INT('CF_I'!E58),LEN(TEXT(ABS('CF_I'!E58),"0"))&gt;12),TRUE)),1,0)</f>
        <v/>
      </c>
      <c r="F58">
        <f>IF(AND('CF_I'!F58&lt;&gt;"",OR(LEN('CF_I'!F58)&gt;3,COUNTIF(CL_MONEDA_ISO,'CF_I'!F58)=0)),1,0)</f>
        <v/>
      </c>
      <c r="G58">
        <f>IF(AND('CF_I'!G58&lt;&gt;"",LEN('CF_I'!G58)&gt;6),1,0)</f>
        <v/>
      </c>
      <c r="H58">
        <f>IF(AND('CF_I'!H58&lt;&gt;"",LEN('CF_I'!H58)&gt;34),1,0)</f>
        <v/>
      </c>
      <c r="I58">
        <f>IF(AND('CF_I'!I58&lt;&gt;"",COUNTIF(CL_TIPO_RELACION_ACREDITADO,'CF_I'!I58)=0),1,0)</f>
        <v/>
      </c>
    </row>
    <row r="59">
      <c r="A59">
        <f>IF(AND('CF_I'!A59&lt;&gt;"",COUNTIF(CL_TIPO_OPERACION_CF_I,'CF_I'!A59)=0),1,0)</f>
        <v/>
      </c>
      <c r="B59">
        <f>IF(AND('CF_I'!B59&lt;&gt;"",COUNTIF(CL_TIPO_FONDEO_CF_I,'CF_I'!B59)=0),1,0)</f>
        <v/>
      </c>
      <c r="C59">
        <f>IF(AND('CF_I'!C59&lt;&gt;"",NOT(ISNUMBER('CF_I'!C59))),1,0)</f>
        <v/>
      </c>
      <c r="D59">
        <f>IF(AND('CF_I'!D59&lt;&gt;"",NOT(ISNUMBER('CF_I'!D59))),1,0)</f>
        <v/>
      </c>
      <c r="E59">
        <f>IF(AND('CF_I'!E59&lt;&gt;"",IF(ISNUMBER('CF_I'!E59),OR('CF_I'!E59&lt;&gt;INT('CF_I'!E59),LEN(TEXT(ABS('CF_I'!E59),"0"))&gt;12),TRUE)),1,0)</f>
        <v/>
      </c>
      <c r="F59">
        <f>IF(AND('CF_I'!F59&lt;&gt;"",OR(LEN('CF_I'!F59)&gt;3,COUNTIF(CL_MONEDA_ISO,'CF_I'!F59)=0)),1,0)</f>
        <v/>
      </c>
      <c r="G59">
        <f>IF(AND('CF_I'!G59&lt;&gt;"",LEN('CF_I'!G59)&gt;6),1,0)</f>
        <v/>
      </c>
      <c r="H59">
        <f>IF(AND('CF_I'!H59&lt;&gt;"",LEN('CF_I'!H59)&gt;34),1,0)</f>
        <v/>
      </c>
      <c r="I59">
        <f>IF(AND('CF_I'!I59&lt;&gt;"",COUNTIF(CL_TIPO_RELACION_ACREDITADO,'CF_I'!I59)=0),1,0)</f>
        <v/>
      </c>
    </row>
    <row r="60">
      <c r="A60">
        <f>IF(AND('CF_I'!A60&lt;&gt;"",COUNTIF(CL_TIPO_OPERACION_CF_I,'CF_I'!A60)=0),1,0)</f>
        <v/>
      </c>
      <c r="B60">
        <f>IF(AND('CF_I'!B60&lt;&gt;"",COUNTIF(CL_TIPO_FONDEO_CF_I,'CF_I'!B60)=0),1,0)</f>
        <v/>
      </c>
      <c r="C60">
        <f>IF(AND('CF_I'!C60&lt;&gt;"",NOT(ISNUMBER('CF_I'!C60))),1,0)</f>
        <v/>
      </c>
      <c r="D60">
        <f>IF(AND('CF_I'!D60&lt;&gt;"",NOT(ISNUMBER('CF_I'!D60))),1,0)</f>
        <v/>
      </c>
      <c r="E60">
        <f>IF(AND('CF_I'!E60&lt;&gt;"",IF(ISNUMBER('CF_I'!E60),OR('CF_I'!E60&lt;&gt;INT('CF_I'!E60),LEN(TEXT(ABS('CF_I'!E60),"0"))&gt;12),TRUE)),1,0)</f>
        <v/>
      </c>
      <c r="F60">
        <f>IF(AND('CF_I'!F60&lt;&gt;"",OR(LEN('CF_I'!F60)&gt;3,COUNTIF(CL_MONEDA_ISO,'CF_I'!F60)=0)),1,0)</f>
        <v/>
      </c>
      <c r="G60">
        <f>IF(AND('CF_I'!G60&lt;&gt;"",LEN('CF_I'!G60)&gt;6),1,0)</f>
        <v/>
      </c>
      <c r="H60">
        <f>IF(AND('CF_I'!H60&lt;&gt;"",LEN('CF_I'!H60)&gt;34),1,0)</f>
        <v/>
      </c>
      <c r="I60">
        <f>IF(AND('CF_I'!I60&lt;&gt;"",COUNTIF(CL_TIPO_RELACION_ACREDITADO,'CF_I'!I60)=0),1,0)</f>
        <v/>
      </c>
    </row>
    <row r="61">
      <c r="A61">
        <f>IF(AND('CF_I'!A61&lt;&gt;"",COUNTIF(CL_TIPO_OPERACION_CF_I,'CF_I'!A61)=0),1,0)</f>
        <v/>
      </c>
      <c r="B61">
        <f>IF(AND('CF_I'!B61&lt;&gt;"",COUNTIF(CL_TIPO_FONDEO_CF_I,'CF_I'!B61)=0),1,0)</f>
        <v/>
      </c>
      <c r="C61">
        <f>IF(AND('CF_I'!C61&lt;&gt;"",NOT(ISNUMBER('CF_I'!C61))),1,0)</f>
        <v/>
      </c>
      <c r="D61">
        <f>IF(AND('CF_I'!D61&lt;&gt;"",NOT(ISNUMBER('CF_I'!D61))),1,0)</f>
        <v/>
      </c>
      <c r="E61">
        <f>IF(AND('CF_I'!E61&lt;&gt;"",IF(ISNUMBER('CF_I'!E61),OR('CF_I'!E61&lt;&gt;INT('CF_I'!E61),LEN(TEXT(ABS('CF_I'!E61),"0"))&gt;12),TRUE)),1,0)</f>
        <v/>
      </c>
      <c r="F61">
        <f>IF(AND('CF_I'!F61&lt;&gt;"",OR(LEN('CF_I'!F61)&gt;3,COUNTIF(CL_MONEDA_ISO,'CF_I'!F61)=0)),1,0)</f>
        <v/>
      </c>
      <c r="G61">
        <f>IF(AND('CF_I'!G61&lt;&gt;"",LEN('CF_I'!G61)&gt;6),1,0)</f>
        <v/>
      </c>
      <c r="H61">
        <f>IF(AND('CF_I'!H61&lt;&gt;"",LEN('CF_I'!H61)&gt;34),1,0)</f>
        <v/>
      </c>
      <c r="I61">
        <f>IF(AND('CF_I'!I61&lt;&gt;"",COUNTIF(CL_TIPO_RELACION_ACREDITADO,'CF_I'!I61)=0),1,0)</f>
        <v/>
      </c>
    </row>
    <row r="62">
      <c r="A62">
        <f>IF(AND('CF_I'!A62&lt;&gt;"",COUNTIF(CL_TIPO_OPERACION_CF_I,'CF_I'!A62)=0),1,0)</f>
        <v/>
      </c>
      <c r="B62">
        <f>IF(AND('CF_I'!B62&lt;&gt;"",COUNTIF(CL_TIPO_FONDEO_CF_I,'CF_I'!B62)=0),1,0)</f>
        <v/>
      </c>
      <c r="C62">
        <f>IF(AND('CF_I'!C62&lt;&gt;"",NOT(ISNUMBER('CF_I'!C62))),1,0)</f>
        <v/>
      </c>
      <c r="D62">
        <f>IF(AND('CF_I'!D62&lt;&gt;"",NOT(ISNUMBER('CF_I'!D62))),1,0)</f>
        <v/>
      </c>
      <c r="E62">
        <f>IF(AND('CF_I'!E62&lt;&gt;"",IF(ISNUMBER('CF_I'!E62),OR('CF_I'!E62&lt;&gt;INT('CF_I'!E62),LEN(TEXT(ABS('CF_I'!E62),"0"))&gt;12),TRUE)),1,0)</f>
        <v/>
      </c>
      <c r="F62">
        <f>IF(AND('CF_I'!F62&lt;&gt;"",OR(LEN('CF_I'!F62)&gt;3,COUNTIF(CL_MONEDA_ISO,'CF_I'!F62)=0)),1,0)</f>
        <v/>
      </c>
      <c r="G62">
        <f>IF(AND('CF_I'!G62&lt;&gt;"",LEN('CF_I'!G62)&gt;6),1,0)</f>
        <v/>
      </c>
      <c r="H62">
        <f>IF(AND('CF_I'!H62&lt;&gt;"",LEN('CF_I'!H62)&gt;34),1,0)</f>
        <v/>
      </c>
      <c r="I62">
        <f>IF(AND('CF_I'!I62&lt;&gt;"",COUNTIF(CL_TIPO_RELACION_ACREDITADO,'CF_I'!I62)=0),1,0)</f>
        <v/>
      </c>
    </row>
    <row r="63">
      <c r="A63">
        <f>IF(AND('CF_I'!A63&lt;&gt;"",COUNTIF(CL_TIPO_OPERACION_CF_I,'CF_I'!A63)=0),1,0)</f>
        <v/>
      </c>
      <c r="B63">
        <f>IF(AND('CF_I'!B63&lt;&gt;"",COUNTIF(CL_TIPO_FONDEO_CF_I,'CF_I'!B63)=0),1,0)</f>
        <v/>
      </c>
      <c r="C63">
        <f>IF(AND('CF_I'!C63&lt;&gt;"",NOT(ISNUMBER('CF_I'!C63))),1,0)</f>
        <v/>
      </c>
      <c r="D63">
        <f>IF(AND('CF_I'!D63&lt;&gt;"",NOT(ISNUMBER('CF_I'!D63))),1,0)</f>
        <v/>
      </c>
      <c r="E63">
        <f>IF(AND('CF_I'!E63&lt;&gt;"",IF(ISNUMBER('CF_I'!E63),OR('CF_I'!E63&lt;&gt;INT('CF_I'!E63),LEN(TEXT(ABS('CF_I'!E63),"0"))&gt;12),TRUE)),1,0)</f>
        <v/>
      </c>
      <c r="F63">
        <f>IF(AND('CF_I'!F63&lt;&gt;"",OR(LEN('CF_I'!F63)&gt;3,COUNTIF(CL_MONEDA_ISO,'CF_I'!F63)=0)),1,0)</f>
        <v/>
      </c>
      <c r="G63">
        <f>IF(AND('CF_I'!G63&lt;&gt;"",LEN('CF_I'!G63)&gt;6),1,0)</f>
        <v/>
      </c>
      <c r="H63">
        <f>IF(AND('CF_I'!H63&lt;&gt;"",LEN('CF_I'!H63)&gt;34),1,0)</f>
        <v/>
      </c>
      <c r="I63">
        <f>IF(AND('CF_I'!I63&lt;&gt;"",COUNTIF(CL_TIPO_RELACION_ACREDITADO,'CF_I'!I63)=0),1,0)</f>
        <v/>
      </c>
    </row>
    <row r="64">
      <c r="A64">
        <f>IF(AND('CF_I'!A64&lt;&gt;"",COUNTIF(CL_TIPO_OPERACION_CF_I,'CF_I'!A64)=0),1,0)</f>
        <v/>
      </c>
      <c r="B64">
        <f>IF(AND('CF_I'!B64&lt;&gt;"",COUNTIF(CL_TIPO_FONDEO_CF_I,'CF_I'!B64)=0),1,0)</f>
        <v/>
      </c>
      <c r="C64">
        <f>IF(AND('CF_I'!C64&lt;&gt;"",NOT(ISNUMBER('CF_I'!C64))),1,0)</f>
        <v/>
      </c>
      <c r="D64">
        <f>IF(AND('CF_I'!D64&lt;&gt;"",NOT(ISNUMBER('CF_I'!D64))),1,0)</f>
        <v/>
      </c>
      <c r="E64">
        <f>IF(AND('CF_I'!E64&lt;&gt;"",IF(ISNUMBER('CF_I'!E64),OR('CF_I'!E64&lt;&gt;INT('CF_I'!E64),LEN(TEXT(ABS('CF_I'!E64),"0"))&gt;12),TRUE)),1,0)</f>
        <v/>
      </c>
      <c r="F64">
        <f>IF(AND('CF_I'!F64&lt;&gt;"",OR(LEN('CF_I'!F64)&gt;3,COUNTIF(CL_MONEDA_ISO,'CF_I'!F64)=0)),1,0)</f>
        <v/>
      </c>
      <c r="G64">
        <f>IF(AND('CF_I'!G64&lt;&gt;"",LEN('CF_I'!G64)&gt;6),1,0)</f>
        <v/>
      </c>
      <c r="H64">
        <f>IF(AND('CF_I'!H64&lt;&gt;"",LEN('CF_I'!H64)&gt;34),1,0)</f>
        <v/>
      </c>
      <c r="I64">
        <f>IF(AND('CF_I'!I64&lt;&gt;"",COUNTIF(CL_TIPO_RELACION_ACREDITADO,'CF_I'!I64)=0),1,0)</f>
        <v/>
      </c>
    </row>
    <row r="65">
      <c r="A65">
        <f>IF(AND('CF_I'!A65&lt;&gt;"",COUNTIF(CL_TIPO_OPERACION_CF_I,'CF_I'!A65)=0),1,0)</f>
        <v/>
      </c>
      <c r="B65">
        <f>IF(AND('CF_I'!B65&lt;&gt;"",COUNTIF(CL_TIPO_FONDEO_CF_I,'CF_I'!B65)=0),1,0)</f>
        <v/>
      </c>
      <c r="C65">
        <f>IF(AND('CF_I'!C65&lt;&gt;"",NOT(ISNUMBER('CF_I'!C65))),1,0)</f>
        <v/>
      </c>
      <c r="D65">
        <f>IF(AND('CF_I'!D65&lt;&gt;"",NOT(ISNUMBER('CF_I'!D65))),1,0)</f>
        <v/>
      </c>
      <c r="E65">
        <f>IF(AND('CF_I'!E65&lt;&gt;"",IF(ISNUMBER('CF_I'!E65),OR('CF_I'!E65&lt;&gt;INT('CF_I'!E65),LEN(TEXT(ABS('CF_I'!E65),"0"))&gt;12),TRUE)),1,0)</f>
        <v/>
      </c>
      <c r="F65">
        <f>IF(AND('CF_I'!F65&lt;&gt;"",OR(LEN('CF_I'!F65)&gt;3,COUNTIF(CL_MONEDA_ISO,'CF_I'!F65)=0)),1,0)</f>
        <v/>
      </c>
      <c r="G65">
        <f>IF(AND('CF_I'!G65&lt;&gt;"",LEN('CF_I'!G65)&gt;6),1,0)</f>
        <v/>
      </c>
      <c r="H65">
        <f>IF(AND('CF_I'!H65&lt;&gt;"",LEN('CF_I'!H65)&gt;34),1,0)</f>
        <v/>
      </c>
      <c r="I65">
        <f>IF(AND('CF_I'!I65&lt;&gt;"",COUNTIF(CL_TIPO_RELACION_ACREDITADO,'CF_I'!I65)=0),1,0)</f>
        <v/>
      </c>
    </row>
    <row r="66">
      <c r="A66">
        <f>IF(AND('CF_I'!A66&lt;&gt;"",COUNTIF(CL_TIPO_OPERACION_CF_I,'CF_I'!A66)=0),1,0)</f>
        <v/>
      </c>
      <c r="B66">
        <f>IF(AND('CF_I'!B66&lt;&gt;"",COUNTIF(CL_TIPO_FONDEO_CF_I,'CF_I'!B66)=0),1,0)</f>
        <v/>
      </c>
      <c r="C66">
        <f>IF(AND('CF_I'!C66&lt;&gt;"",NOT(ISNUMBER('CF_I'!C66))),1,0)</f>
        <v/>
      </c>
      <c r="D66">
        <f>IF(AND('CF_I'!D66&lt;&gt;"",NOT(ISNUMBER('CF_I'!D66))),1,0)</f>
        <v/>
      </c>
      <c r="E66">
        <f>IF(AND('CF_I'!E66&lt;&gt;"",IF(ISNUMBER('CF_I'!E66),OR('CF_I'!E66&lt;&gt;INT('CF_I'!E66),LEN(TEXT(ABS('CF_I'!E66),"0"))&gt;12),TRUE)),1,0)</f>
        <v/>
      </c>
      <c r="F66">
        <f>IF(AND('CF_I'!F66&lt;&gt;"",OR(LEN('CF_I'!F66)&gt;3,COUNTIF(CL_MONEDA_ISO,'CF_I'!F66)=0)),1,0)</f>
        <v/>
      </c>
      <c r="G66">
        <f>IF(AND('CF_I'!G66&lt;&gt;"",LEN('CF_I'!G66)&gt;6),1,0)</f>
        <v/>
      </c>
      <c r="H66">
        <f>IF(AND('CF_I'!H66&lt;&gt;"",LEN('CF_I'!H66)&gt;34),1,0)</f>
        <v/>
      </c>
      <c r="I66">
        <f>IF(AND('CF_I'!I66&lt;&gt;"",COUNTIF(CL_TIPO_RELACION_ACREDITADO,'CF_I'!I66)=0),1,0)</f>
        <v/>
      </c>
    </row>
    <row r="67">
      <c r="A67">
        <f>IF(AND('CF_I'!A67&lt;&gt;"",COUNTIF(CL_TIPO_OPERACION_CF_I,'CF_I'!A67)=0),1,0)</f>
        <v/>
      </c>
      <c r="B67">
        <f>IF(AND('CF_I'!B67&lt;&gt;"",COUNTIF(CL_TIPO_FONDEO_CF_I,'CF_I'!B67)=0),1,0)</f>
        <v/>
      </c>
      <c r="C67">
        <f>IF(AND('CF_I'!C67&lt;&gt;"",NOT(ISNUMBER('CF_I'!C67))),1,0)</f>
        <v/>
      </c>
      <c r="D67">
        <f>IF(AND('CF_I'!D67&lt;&gt;"",NOT(ISNUMBER('CF_I'!D67))),1,0)</f>
        <v/>
      </c>
      <c r="E67">
        <f>IF(AND('CF_I'!E67&lt;&gt;"",IF(ISNUMBER('CF_I'!E67),OR('CF_I'!E67&lt;&gt;INT('CF_I'!E67),LEN(TEXT(ABS('CF_I'!E67),"0"))&gt;12),TRUE)),1,0)</f>
        <v/>
      </c>
      <c r="F67">
        <f>IF(AND('CF_I'!F67&lt;&gt;"",OR(LEN('CF_I'!F67)&gt;3,COUNTIF(CL_MONEDA_ISO,'CF_I'!F67)=0)),1,0)</f>
        <v/>
      </c>
      <c r="G67">
        <f>IF(AND('CF_I'!G67&lt;&gt;"",LEN('CF_I'!G67)&gt;6),1,0)</f>
        <v/>
      </c>
      <c r="H67">
        <f>IF(AND('CF_I'!H67&lt;&gt;"",LEN('CF_I'!H67)&gt;34),1,0)</f>
        <v/>
      </c>
      <c r="I67">
        <f>IF(AND('CF_I'!I67&lt;&gt;"",COUNTIF(CL_TIPO_RELACION_ACREDITADO,'CF_I'!I67)=0),1,0)</f>
        <v/>
      </c>
    </row>
    <row r="68">
      <c r="A68">
        <f>IF(AND('CF_I'!A68&lt;&gt;"",COUNTIF(CL_TIPO_OPERACION_CF_I,'CF_I'!A68)=0),1,0)</f>
        <v/>
      </c>
      <c r="B68">
        <f>IF(AND('CF_I'!B68&lt;&gt;"",COUNTIF(CL_TIPO_FONDEO_CF_I,'CF_I'!B68)=0),1,0)</f>
        <v/>
      </c>
      <c r="C68">
        <f>IF(AND('CF_I'!C68&lt;&gt;"",NOT(ISNUMBER('CF_I'!C68))),1,0)</f>
        <v/>
      </c>
      <c r="D68">
        <f>IF(AND('CF_I'!D68&lt;&gt;"",NOT(ISNUMBER('CF_I'!D68))),1,0)</f>
        <v/>
      </c>
      <c r="E68">
        <f>IF(AND('CF_I'!E68&lt;&gt;"",IF(ISNUMBER('CF_I'!E68),OR('CF_I'!E68&lt;&gt;INT('CF_I'!E68),LEN(TEXT(ABS('CF_I'!E68),"0"))&gt;12),TRUE)),1,0)</f>
        <v/>
      </c>
      <c r="F68">
        <f>IF(AND('CF_I'!F68&lt;&gt;"",OR(LEN('CF_I'!F68)&gt;3,COUNTIF(CL_MONEDA_ISO,'CF_I'!F68)=0)),1,0)</f>
        <v/>
      </c>
      <c r="G68">
        <f>IF(AND('CF_I'!G68&lt;&gt;"",LEN('CF_I'!G68)&gt;6),1,0)</f>
        <v/>
      </c>
      <c r="H68">
        <f>IF(AND('CF_I'!H68&lt;&gt;"",LEN('CF_I'!H68)&gt;34),1,0)</f>
        <v/>
      </c>
      <c r="I68">
        <f>IF(AND('CF_I'!I68&lt;&gt;"",COUNTIF(CL_TIPO_RELACION_ACREDITADO,'CF_I'!I68)=0),1,0)</f>
        <v/>
      </c>
    </row>
    <row r="69">
      <c r="A69">
        <f>IF(AND('CF_I'!A69&lt;&gt;"",COUNTIF(CL_TIPO_OPERACION_CF_I,'CF_I'!A69)=0),1,0)</f>
        <v/>
      </c>
      <c r="B69">
        <f>IF(AND('CF_I'!B69&lt;&gt;"",COUNTIF(CL_TIPO_FONDEO_CF_I,'CF_I'!B69)=0),1,0)</f>
        <v/>
      </c>
      <c r="C69">
        <f>IF(AND('CF_I'!C69&lt;&gt;"",NOT(ISNUMBER('CF_I'!C69))),1,0)</f>
        <v/>
      </c>
      <c r="D69">
        <f>IF(AND('CF_I'!D69&lt;&gt;"",NOT(ISNUMBER('CF_I'!D69))),1,0)</f>
        <v/>
      </c>
      <c r="E69">
        <f>IF(AND('CF_I'!E69&lt;&gt;"",IF(ISNUMBER('CF_I'!E69),OR('CF_I'!E69&lt;&gt;INT('CF_I'!E69),LEN(TEXT(ABS('CF_I'!E69),"0"))&gt;12),TRUE)),1,0)</f>
        <v/>
      </c>
      <c r="F69">
        <f>IF(AND('CF_I'!F69&lt;&gt;"",OR(LEN('CF_I'!F69)&gt;3,COUNTIF(CL_MONEDA_ISO,'CF_I'!F69)=0)),1,0)</f>
        <v/>
      </c>
      <c r="G69">
        <f>IF(AND('CF_I'!G69&lt;&gt;"",LEN('CF_I'!G69)&gt;6),1,0)</f>
        <v/>
      </c>
      <c r="H69">
        <f>IF(AND('CF_I'!H69&lt;&gt;"",LEN('CF_I'!H69)&gt;34),1,0)</f>
        <v/>
      </c>
      <c r="I69">
        <f>IF(AND('CF_I'!I69&lt;&gt;"",COUNTIF(CL_TIPO_RELACION_ACREDITADO,'CF_I'!I69)=0),1,0)</f>
        <v/>
      </c>
    </row>
    <row r="70">
      <c r="A70">
        <f>IF(AND('CF_I'!A70&lt;&gt;"",COUNTIF(CL_TIPO_OPERACION_CF_I,'CF_I'!A70)=0),1,0)</f>
        <v/>
      </c>
      <c r="B70">
        <f>IF(AND('CF_I'!B70&lt;&gt;"",COUNTIF(CL_TIPO_FONDEO_CF_I,'CF_I'!B70)=0),1,0)</f>
        <v/>
      </c>
      <c r="C70">
        <f>IF(AND('CF_I'!C70&lt;&gt;"",NOT(ISNUMBER('CF_I'!C70))),1,0)</f>
        <v/>
      </c>
      <c r="D70">
        <f>IF(AND('CF_I'!D70&lt;&gt;"",NOT(ISNUMBER('CF_I'!D70))),1,0)</f>
        <v/>
      </c>
      <c r="E70">
        <f>IF(AND('CF_I'!E70&lt;&gt;"",IF(ISNUMBER('CF_I'!E70),OR('CF_I'!E70&lt;&gt;INT('CF_I'!E70),LEN(TEXT(ABS('CF_I'!E70),"0"))&gt;12),TRUE)),1,0)</f>
        <v/>
      </c>
      <c r="F70">
        <f>IF(AND('CF_I'!F70&lt;&gt;"",OR(LEN('CF_I'!F70)&gt;3,COUNTIF(CL_MONEDA_ISO,'CF_I'!F70)=0)),1,0)</f>
        <v/>
      </c>
      <c r="G70">
        <f>IF(AND('CF_I'!G70&lt;&gt;"",LEN('CF_I'!G70)&gt;6),1,0)</f>
        <v/>
      </c>
      <c r="H70">
        <f>IF(AND('CF_I'!H70&lt;&gt;"",LEN('CF_I'!H70)&gt;34),1,0)</f>
        <v/>
      </c>
      <c r="I70">
        <f>IF(AND('CF_I'!I70&lt;&gt;"",COUNTIF(CL_TIPO_RELACION_ACREDITADO,'CF_I'!I70)=0),1,0)</f>
        <v/>
      </c>
    </row>
    <row r="71">
      <c r="A71">
        <f>IF(AND('CF_I'!A71&lt;&gt;"",COUNTIF(CL_TIPO_OPERACION_CF_I,'CF_I'!A71)=0),1,0)</f>
        <v/>
      </c>
      <c r="B71">
        <f>IF(AND('CF_I'!B71&lt;&gt;"",COUNTIF(CL_TIPO_FONDEO_CF_I,'CF_I'!B71)=0),1,0)</f>
        <v/>
      </c>
      <c r="C71">
        <f>IF(AND('CF_I'!C71&lt;&gt;"",NOT(ISNUMBER('CF_I'!C71))),1,0)</f>
        <v/>
      </c>
      <c r="D71">
        <f>IF(AND('CF_I'!D71&lt;&gt;"",NOT(ISNUMBER('CF_I'!D71))),1,0)</f>
        <v/>
      </c>
      <c r="E71">
        <f>IF(AND('CF_I'!E71&lt;&gt;"",IF(ISNUMBER('CF_I'!E71),OR('CF_I'!E71&lt;&gt;INT('CF_I'!E71),LEN(TEXT(ABS('CF_I'!E71),"0"))&gt;12),TRUE)),1,0)</f>
        <v/>
      </c>
      <c r="F71">
        <f>IF(AND('CF_I'!F71&lt;&gt;"",OR(LEN('CF_I'!F71)&gt;3,COUNTIF(CL_MONEDA_ISO,'CF_I'!F71)=0)),1,0)</f>
        <v/>
      </c>
      <c r="G71">
        <f>IF(AND('CF_I'!G71&lt;&gt;"",LEN('CF_I'!G71)&gt;6),1,0)</f>
        <v/>
      </c>
      <c r="H71">
        <f>IF(AND('CF_I'!H71&lt;&gt;"",LEN('CF_I'!H71)&gt;34),1,0)</f>
        <v/>
      </c>
      <c r="I71">
        <f>IF(AND('CF_I'!I71&lt;&gt;"",COUNTIF(CL_TIPO_RELACION_ACREDITADO,'CF_I'!I71)=0),1,0)</f>
        <v/>
      </c>
    </row>
    <row r="72">
      <c r="A72">
        <f>IF(AND('CF_I'!A72&lt;&gt;"",COUNTIF(CL_TIPO_OPERACION_CF_I,'CF_I'!A72)=0),1,0)</f>
        <v/>
      </c>
      <c r="B72">
        <f>IF(AND('CF_I'!B72&lt;&gt;"",COUNTIF(CL_TIPO_FONDEO_CF_I,'CF_I'!B72)=0),1,0)</f>
        <v/>
      </c>
      <c r="C72">
        <f>IF(AND('CF_I'!C72&lt;&gt;"",NOT(ISNUMBER('CF_I'!C72))),1,0)</f>
        <v/>
      </c>
      <c r="D72">
        <f>IF(AND('CF_I'!D72&lt;&gt;"",NOT(ISNUMBER('CF_I'!D72))),1,0)</f>
        <v/>
      </c>
      <c r="E72">
        <f>IF(AND('CF_I'!E72&lt;&gt;"",IF(ISNUMBER('CF_I'!E72),OR('CF_I'!E72&lt;&gt;INT('CF_I'!E72),LEN(TEXT(ABS('CF_I'!E72),"0"))&gt;12),TRUE)),1,0)</f>
        <v/>
      </c>
      <c r="F72">
        <f>IF(AND('CF_I'!F72&lt;&gt;"",OR(LEN('CF_I'!F72)&gt;3,COUNTIF(CL_MONEDA_ISO,'CF_I'!F72)=0)),1,0)</f>
        <v/>
      </c>
      <c r="G72">
        <f>IF(AND('CF_I'!G72&lt;&gt;"",LEN('CF_I'!G72)&gt;6),1,0)</f>
        <v/>
      </c>
      <c r="H72">
        <f>IF(AND('CF_I'!H72&lt;&gt;"",LEN('CF_I'!H72)&gt;34),1,0)</f>
        <v/>
      </c>
      <c r="I72">
        <f>IF(AND('CF_I'!I72&lt;&gt;"",COUNTIF(CL_TIPO_RELACION_ACREDITADO,'CF_I'!I72)=0),1,0)</f>
        <v/>
      </c>
    </row>
    <row r="73">
      <c r="A73">
        <f>IF(AND('CF_I'!A73&lt;&gt;"",COUNTIF(CL_TIPO_OPERACION_CF_I,'CF_I'!A73)=0),1,0)</f>
        <v/>
      </c>
      <c r="B73">
        <f>IF(AND('CF_I'!B73&lt;&gt;"",COUNTIF(CL_TIPO_FONDEO_CF_I,'CF_I'!B73)=0),1,0)</f>
        <v/>
      </c>
      <c r="C73">
        <f>IF(AND('CF_I'!C73&lt;&gt;"",NOT(ISNUMBER('CF_I'!C73))),1,0)</f>
        <v/>
      </c>
      <c r="D73">
        <f>IF(AND('CF_I'!D73&lt;&gt;"",NOT(ISNUMBER('CF_I'!D73))),1,0)</f>
        <v/>
      </c>
      <c r="E73">
        <f>IF(AND('CF_I'!E73&lt;&gt;"",IF(ISNUMBER('CF_I'!E73),OR('CF_I'!E73&lt;&gt;INT('CF_I'!E73),LEN(TEXT(ABS('CF_I'!E73),"0"))&gt;12),TRUE)),1,0)</f>
        <v/>
      </c>
      <c r="F73">
        <f>IF(AND('CF_I'!F73&lt;&gt;"",OR(LEN('CF_I'!F73)&gt;3,COUNTIF(CL_MONEDA_ISO,'CF_I'!F73)=0)),1,0)</f>
        <v/>
      </c>
      <c r="G73">
        <f>IF(AND('CF_I'!G73&lt;&gt;"",LEN('CF_I'!G73)&gt;6),1,0)</f>
        <v/>
      </c>
      <c r="H73">
        <f>IF(AND('CF_I'!H73&lt;&gt;"",LEN('CF_I'!H73)&gt;34),1,0)</f>
        <v/>
      </c>
      <c r="I73">
        <f>IF(AND('CF_I'!I73&lt;&gt;"",COUNTIF(CL_TIPO_RELACION_ACREDITADO,'CF_I'!I73)=0),1,0)</f>
        <v/>
      </c>
    </row>
    <row r="74">
      <c r="A74">
        <f>IF(AND('CF_I'!A74&lt;&gt;"",COUNTIF(CL_TIPO_OPERACION_CF_I,'CF_I'!A74)=0),1,0)</f>
        <v/>
      </c>
      <c r="B74">
        <f>IF(AND('CF_I'!B74&lt;&gt;"",COUNTIF(CL_TIPO_FONDEO_CF_I,'CF_I'!B74)=0),1,0)</f>
        <v/>
      </c>
      <c r="C74">
        <f>IF(AND('CF_I'!C74&lt;&gt;"",NOT(ISNUMBER('CF_I'!C74))),1,0)</f>
        <v/>
      </c>
      <c r="D74">
        <f>IF(AND('CF_I'!D74&lt;&gt;"",NOT(ISNUMBER('CF_I'!D74))),1,0)</f>
        <v/>
      </c>
      <c r="E74">
        <f>IF(AND('CF_I'!E74&lt;&gt;"",IF(ISNUMBER('CF_I'!E74),OR('CF_I'!E74&lt;&gt;INT('CF_I'!E74),LEN(TEXT(ABS('CF_I'!E74),"0"))&gt;12),TRUE)),1,0)</f>
        <v/>
      </c>
      <c r="F74">
        <f>IF(AND('CF_I'!F74&lt;&gt;"",OR(LEN('CF_I'!F74)&gt;3,COUNTIF(CL_MONEDA_ISO,'CF_I'!F74)=0)),1,0)</f>
        <v/>
      </c>
      <c r="G74">
        <f>IF(AND('CF_I'!G74&lt;&gt;"",LEN('CF_I'!G74)&gt;6),1,0)</f>
        <v/>
      </c>
      <c r="H74">
        <f>IF(AND('CF_I'!H74&lt;&gt;"",LEN('CF_I'!H74)&gt;34),1,0)</f>
        <v/>
      </c>
      <c r="I74">
        <f>IF(AND('CF_I'!I74&lt;&gt;"",COUNTIF(CL_TIPO_RELACION_ACREDITADO,'CF_I'!I74)=0),1,0)</f>
        <v/>
      </c>
    </row>
    <row r="75">
      <c r="A75">
        <f>IF(AND('CF_I'!A75&lt;&gt;"",COUNTIF(CL_TIPO_OPERACION_CF_I,'CF_I'!A75)=0),1,0)</f>
        <v/>
      </c>
      <c r="B75">
        <f>IF(AND('CF_I'!B75&lt;&gt;"",COUNTIF(CL_TIPO_FONDEO_CF_I,'CF_I'!B75)=0),1,0)</f>
        <v/>
      </c>
      <c r="C75">
        <f>IF(AND('CF_I'!C75&lt;&gt;"",NOT(ISNUMBER('CF_I'!C75))),1,0)</f>
        <v/>
      </c>
      <c r="D75">
        <f>IF(AND('CF_I'!D75&lt;&gt;"",NOT(ISNUMBER('CF_I'!D75))),1,0)</f>
        <v/>
      </c>
      <c r="E75">
        <f>IF(AND('CF_I'!E75&lt;&gt;"",IF(ISNUMBER('CF_I'!E75),OR('CF_I'!E75&lt;&gt;INT('CF_I'!E75),LEN(TEXT(ABS('CF_I'!E75),"0"))&gt;12),TRUE)),1,0)</f>
        <v/>
      </c>
      <c r="F75">
        <f>IF(AND('CF_I'!F75&lt;&gt;"",OR(LEN('CF_I'!F75)&gt;3,COUNTIF(CL_MONEDA_ISO,'CF_I'!F75)=0)),1,0)</f>
        <v/>
      </c>
      <c r="G75">
        <f>IF(AND('CF_I'!G75&lt;&gt;"",LEN('CF_I'!G75)&gt;6),1,0)</f>
        <v/>
      </c>
      <c r="H75">
        <f>IF(AND('CF_I'!H75&lt;&gt;"",LEN('CF_I'!H75)&gt;34),1,0)</f>
        <v/>
      </c>
      <c r="I75">
        <f>IF(AND('CF_I'!I75&lt;&gt;"",COUNTIF(CL_TIPO_RELACION_ACREDITADO,'CF_I'!I75)=0),1,0)</f>
        <v/>
      </c>
    </row>
    <row r="76">
      <c r="A76">
        <f>IF(AND('CF_I'!A76&lt;&gt;"",COUNTIF(CL_TIPO_OPERACION_CF_I,'CF_I'!A76)=0),1,0)</f>
        <v/>
      </c>
      <c r="B76">
        <f>IF(AND('CF_I'!B76&lt;&gt;"",COUNTIF(CL_TIPO_FONDEO_CF_I,'CF_I'!B76)=0),1,0)</f>
        <v/>
      </c>
      <c r="C76">
        <f>IF(AND('CF_I'!C76&lt;&gt;"",NOT(ISNUMBER('CF_I'!C76))),1,0)</f>
        <v/>
      </c>
      <c r="D76">
        <f>IF(AND('CF_I'!D76&lt;&gt;"",NOT(ISNUMBER('CF_I'!D76))),1,0)</f>
        <v/>
      </c>
      <c r="E76">
        <f>IF(AND('CF_I'!E76&lt;&gt;"",IF(ISNUMBER('CF_I'!E76),OR('CF_I'!E76&lt;&gt;INT('CF_I'!E76),LEN(TEXT(ABS('CF_I'!E76),"0"))&gt;12),TRUE)),1,0)</f>
        <v/>
      </c>
      <c r="F76">
        <f>IF(AND('CF_I'!F76&lt;&gt;"",OR(LEN('CF_I'!F76)&gt;3,COUNTIF(CL_MONEDA_ISO,'CF_I'!F76)=0)),1,0)</f>
        <v/>
      </c>
      <c r="G76">
        <f>IF(AND('CF_I'!G76&lt;&gt;"",LEN('CF_I'!G76)&gt;6),1,0)</f>
        <v/>
      </c>
      <c r="H76">
        <f>IF(AND('CF_I'!H76&lt;&gt;"",LEN('CF_I'!H76)&gt;34),1,0)</f>
        <v/>
      </c>
      <c r="I76">
        <f>IF(AND('CF_I'!I76&lt;&gt;"",COUNTIF(CL_TIPO_RELACION_ACREDITADO,'CF_I'!I76)=0),1,0)</f>
        <v/>
      </c>
    </row>
    <row r="77">
      <c r="A77">
        <f>IF(AND('CF_I'!A77&lt;&gt;"",COUNTIF(CL_TIPO_OPERACION_CF_I,'CF_I'!A77)=0),1,0)</f>
        <v/>
      </c>
      <c r="B77">
        <f>IF(AND('CF_I'!B77&lt;&gt;"",COUNTIF(CL_TIPO_FONDEO_CF_I,'CF_I'!B77)=0),1,0)</f>
        <v/>
      </c>
      <c r="C77">
        <f>IF(AND('CF_I'!C77&lt;&gt;"",NOT(ISNUMBER('CF_I'!C77))),1,0)</f>
        <v/>
      </c>
      <c r="D77">
        <f>IF(AND('CF_I'!D77&lt;&gt;"",NOT(ISNUMBER('CF_I'!D77))),1,0)</f>
        <v/>
      </c>
      <c r="E77">
        <f>IF(AND('CF_I'!E77&lt;&gt;"",IF(ISNUMBER('CF_I'!E77),OR('CF_I'!E77&lt;&gt;INT('CF_I'!E77),LEN(TEXT(ABS('CF_I'!E77),"0"))&gt;12),TRUE)),1,0)</f>
        <v/>
      </c>
      <c r="F77">
        <f>IF(AND('CF_I'!F77&lt;&gt;"",OR(LEN('CF_I'!F77)&gt;3,COUNTIF(CL_MONEDA_ISO,'CF_I'!F77)=0)),1,0)</f>
        <v/>
      </c>
      <c r="G77">
        <f>IF(AND('CF_I'!G77&lt;&gt;"",LEN('CF_I'!G77)&gt;6),1,0)</f>
        <v/>
      </c>
      <c r="H77">
        <f>IF(AND('CF_I'!H77&lt;&gt;"",LEN('CF_I'!H77)&gt;34),1,0)</f>
        <v/>
      </c>
      <c r="I77">
        <f>IF(AND('CF_I'!I77&lt;&gt;"",COUNTIF(CL_TIPO_RELACION_ACREDITADO,'CF_I'!I77)=0),1,0)</f>
        <v/>
      </c>
    </row>
    <row r="78">
      <c r="A78">
        <f>IF(AND('CF_I'!A78&lt;&gt;"",COUNTIF(CL_TIPO_OPERACION_CF_I,'CF_I'!A78)=0),1,0)</f>
        <v/>
      </c>
      <c r="B78">
        <f>IF(AND('CF_I'!B78&lt;&gt;"",COUNTIF(CL_TIPO_FONDEO_CF_I,'CF_I'!B78)=0),1,0)</f>
        <v/>
      </c>
      <c r="C78">
        <f>IF(AND('CF_I'!C78&lt;&gt;"",NOT(ISNUMBER('CF_I'!C78))),1,0)</f>
        <v/>
      </c>
      <c r="D78">
        <f>IF(AND('CF_I'!D78&lt;&gt;"",NOT(ISNUMBER('CF_I'!D78))),1,0)</f>
        <v/>
      </c>
      <c r="E78">
        <f>IF(AND('CF_I'!E78&lt;&gt;"",IF(ISNUMBER('CF_I'!E78),OR('CF_I'!E78&lt;&gt;INT('CF_I'!E78),LEN(TEXT(ABS('CF_I'!E78),"0"))&gt;12),TRUE)),1,0)</f>
        <v/>
      </c>
      <c r="F78">
        <f>IF(AND('CF_I'!F78&lt;&gt;"",OR(LEN('CF_I'!F78)&gt;3,COUNTIF(CL_MONEDA_ISO,'CF_I'!F78)=0)),1,0)</f>
        <v/>
      </c>
      <c r="G78">
        <f>IF(AND('CF_I'!G78&lt;&gt;"",LEN('CF_I'!G78)&gt;6),1,0)</f>
        <v/>
      </c>
      <c r="H78">
        <f>IF(AND('CF_I'!H78&lt;&gt;"",LEN('CF_I'!H78)&gt;34),1,0)</f>
        <v/>
      </c>
      <c r="I78">
        <f>IF(AND('CF_I'!I78&lt;&gt;"",COUNTIF(CL_TIPO_RELACION_ACREDITADO,'CF_I'!I78)=0),1,0)</f>
        <v/>
      </c>
    </row>
    <row r="79">
      <c r="A79">
        <f>IF(AND('CF_I'!A79&lt;&gt;"",COUNTIF(CL_TIPO_OPERACION_CF_I,'CF_I'!A79)=0),1,0)</f>
        <v/>
      </c>
      <c r="B79">
        <f>IF(AND('CF_I'!B79&lt;&gt;"",COUNTIF(CL_TIPO_FONDEO_CF_I,'CF_I'!B79)=0),1,0)</f>
        <v/>
      </c>
      <c r="C79">
        <f>IF(AND('CF_I'!C79&lt;&gt;"",NOT(ISNUMBER('CF_I'!C79))),1,0)</f>
        <v/>
      </c>
      <c r="D79">
        <f>IF(AND('CF_I'!D79&lt;&gt;"",NOT(ISNUMBER('CF_I'!D79))),1,0)</f>
        <v/>
      </c>
      <c r="E79">
        <f>IF(AND('CF_I'!E79&lt;&gt;"",IF(ISNUMBER('CF_I'!E79),OR('CF_I'!E79&lt;&gt;INT('CF_I'!E79),LEN(TEXT(ABS('CF_I'!E79),"0"))&gt;12),TRUE)),1,0)</f>
        <v/>
      </c>
      <c r="F79">
        <f>IF(AND('CF_I'!F79&lt;&gt;"",OR(LEN('CF_I'!F79)&gt;3,COUNTIF(CL_MONEDA_ISO,'CF_I'!F79)=0)),1,0)</f>
        <v/>
      </c>
      <c r="G79">
        <f>IF(AND('CF_I'!G79&lt;&gt;"",LEN('CF_I'!G79)&gt;6),1,0)</f>
        <v/>
      </c>
      <c r="H79">
        <f>IF(AND('CF_I'!H79&lt;&gt;"",LEN('CF_I'!H79)&gt;34),1,0)</f>
        <v/>
      </c>
      <c r="I79">
        <f>IF(AND('CF_I'!I79&lt;&gt;"",COUNTIF(CL_TIPO_RELACION_ACREDITADO,'CF_I'!I79)=0),1,0)</f>
        <v/>
      </c>
    </row>
    <row r="80">
      <c r="A80">
        <f>IF(AND('CF_I'!A80&lt;&gt;"",COUNTIF(CL_TIPO_OPERACION_CF_I,'CF_I'!A80)=0),1,0)</f>
        <v/>
      </c>
      <c r="B80">
        <f>IF(AND('CF_I'!B80&lt;&gt;"",COUNTIF(CL_TIPO_FONDEO_CF_I,'CF_I'!B80)=0),1,0)</f>
        <v/>
      </c>
      <c r="C80">
        <f>IF(AND('CF_I'!C80&lt;&gt;"",NOT(ISNUMBER('CF_I'!C80))),1,0)</f>
        <v/>
      </c>
      <c r="D80">
        <f>IF(AND('CF_I'!D80&lt;&gt;"",NOT(ISNUMBER('CF_I'!D80))),1,0)</f>
        <v/>
      </c>
      <c r="E80">
        <f>IF(AND('CF_I'!E80&lt;&gt;"",IF(ISNUMBER('CF_I'!E80),OR('CF_I'!E80&lt;&gt;INT('CF_I'!E80),LEN(TEXT(ABS('CF_I'!E80),"0"))&gt;12),TRUE)),1,0)</f>
        <v/>
      </c>
      <c r="F80">
        <f>IF(AND('CF_I'!F80&lt;&gt;"",OR(LEN('CF_I'!F80)&gt;3,COUNTIF(CL_MONEDA_ISO,'CF_I'!F80)=0)),1,0)</f>
        <v/>
      </c>
      <c r="G80">
        <f>IF(AND('CF_I'!G80&lt;&gt;"",LEN('CF_I'!G80)&gt;6),1,0)</f>
        <v/>
      </c>
      <c r="H80">
        <f>IF(AND('CF_I'!H80&lt;&gt;"",LEN('CF_I'!H80)&gt;34),1,0)</f>
        <v/>
      </c>
      <c r="I80">
        <f>IF(AND('CF_I'!I80&lt;&gt;"",COUNTIF(CL_TIPO_RELACION_ACREDITADO,'CF_I'!I80)=0),1,0)</f>
        <v/>
      </c>
    </row>
    <row r="81">
      <c r="A81">
        <f>IF(AND('CF_I'!A81&lt;&gt;"",COUNTIF(CL_TIPO_OPERACION_CF_I,'CF_I'!A81)=0),1,0)</f>
        <v/>
      </c>
      <c r="B81">
        <f>IF(AND('CF_I'!B81&lt;&gt;"",COUNTIF(CL_TIPO_FONDEO_CF_I,'CF_I'!B81)=0),1,0)</f>
        <v/>
      </c>
      <c r="C81">
        <f>IF(AND('CF_I'!C81&lt;&gt;"",NOT(ISNUMBER('CF_I'!C81))),1,0)</f>
        <v/>
      </c>
      <c r="D81">
        <f>IF(AND('CF_I'!D81&lt;&gt;"",NOT(ISNUMBER('CF_I'!D81))),1,0)</f>
        <v/>
      </c>
      <c r="E81">
        <f>IF(AND('CF_I'!E81&lt;&gt;"",IF(ISNUMBER('CF_I'!E81),OR('CF_I'!E81&lt;&gt;INT('CF_I'!E81),LEN(TEXT(ABS('CF_I'!E81),"0"))&gt;12),TRUE)),1,0)</f>
        <v/>
      </c>
      <c r="F81">
        <f>IF(AND('CF_I'!F81&lt;&gt;"",OR(LEN('CF_I'!F81)&gt;3,COUNTIF(CL_MONEDA_ISO,'CF_I'!F81)=0)),1,0)</f>
        <v/>
      </c>
      <c r="G81">
        <f>IF(AND('CF_I'!G81&lt;&gt;"",LEN('CF_I'!G81)&gt;6),1,0)</f>
        <v/>
      </c>
      <c r="H81">
        <f>IF(AND('CF_I'!H81&lt;&gt;"",LEN('CF_I'!H81)&gt;34),1,0)</f>
        <v/>
      </c>
      <c r="I81">
        <f>IF(AND('CF_I'!I81&lt;&gt;"",COUNTIF(CL_TIPO_RELACION_ACREDITADO,'CF_I'!I81)=0),1,0)</f>
        <v/>
      </c>
    </row>
    <row r="82">
      <c r="A82">
        <f>IF(AND('CF_I'!A82&lt;&gt;"",COUNTIF(CL_TIPO_OPERACION_CF_I,'CF_I'!A82)=0),1,0)</f>
        <v/>
      </c>
      <c r="B82">
        <f>IF(AND('CF_I'!B82&lt;&gt;"",COUNTIF(CL_TIPO_FONDEO_CF_I,'CF_I'!B82)=0),1,0)</f>
        <v/>
      </c>
      <c r="C82">
        <f>IF(AND('CF_I'!C82&lt;&gt;"",NOT(ISNUMBER('CF_I'!C82))),1,0)</f>
        <v/>
      </c>
      <c r="D82">
        <f>IF(AND('CF_I'!D82&lt;&gt;"",NOT(ISNUMBER('CF_I'!D82))),1,0)</f>
        <v/>
      </c>
      <c r="E82">
        <f>IF(AND('CF_I'!E82&lt;&gt;"",IF(ISNUMBER('CF_I'!E82),OR('CF_I'!E82&lt;&gt;INT('CF_I'!E82),LEN(TEXT(ABS('CF_I'!E82),"0"))&gt;12),TRUE)),1,0)</f>
        <v/>
      </c>
      <c r="F82">
        <f>IF(AND('CF_I'!F82&lt;&gt;"",OR(LEN('CF_I'!F82)&gt;3,COUNTIF(CL_MONEDA_ISO,'CF_I'!F82)=0)),1,0)</f>
        <v/>
      </c>
      <c r="G82">
        <f>IF(AND('CF_I'!G82&lt;&gt;"",LEN('CF_I'!G82)&gt;6),1,0)</f>
        <v/>
      </c>
      <c r="H82">
        <f>IF(AND('CF_I'!H82&lt;&gt;"",LEN('CF_I'!H82)&gt;34),1,0)</f>
        <v/>
      </c>
      <c r="I82">
        <f>IF(AND('CF_I'!I82&lt;&gt;"",COUNTIF(CL_TIPO_RELACION_ACREDITADO,'CF_I'!I82)=0),1,0)</f>
        <v/>
      </c>
    </row>
    <row r="83">
      <c r="A83">
        <f>IF(AND('CF_I'!A83&lt;&gt;"",COUNTIF(CL_TIPO_OPERACION_CF_I,'CF_I'!A83)=0),1,0)</f>
        <v/>
      </c>
      <c r="B83">
        <f>IF(AND('CF_I'!B83&lt;&gt;"",COUNTIF(CL_TIPO_FONDEO_CF_I,'CF_I'!B83)=0),1,0)</f>
        <v/>
      </c>
      <c r="C83">
        <f>IF(AND('CF_I'!C83&lt;&gt;"",NOT(ISNUMBER('CF_I'!C83))),1,0)</f>
        <v/>
      </c>
      <c r="D83">
        <f>IF(AND('CF_I'!D83&lt;&gt;"",NOT(ISNUMBER('CF_I'!D83))),1,0)</f>
        <v/>
      </c>
      <c r="E83">
        <f>IF(AND('CF_I'!E83&lt;&gt;"",IF(ISNUMBER('CF_I'!E83),OR('CF_I'!E83&lt;&gt;INT('CF_I'!E83),LEN(TEXT(ABS('CF_I'!E83),"0"))&gt;12),TRUE)),1,0)</f>
        <v/>
      </c>
      <c r="F83">
        <f>IF(AND('CF_I'!F83&lt;&gt;"",OR(LEN('CF_I'!F83)&gt;3,COUNTIF(CL_MONEDA_ISO,'CF_I'!F83)=0)),1,0)</f>
        <v/>
      </c>
      <c r="G83">
        <f>IF(AND('CF_I'!G83&lt;&gt;"",LEN('CF_I'!G83)&gt;6),1,0)</f>
        <v/>
      </c>
      <c r="H83">
        <f>IF(AND('CF_I'!H83&lt;&gt;"",LEN('CF_I'!H83)&gt;34),1,0)</f>
        <v/>
      </c>
      <c r="I83">
        <f>IF(AND('CF_I'!I83&lt;&gt;"",COUNTIF(CL_TIPO_RELACION_ACREDITADO,'CF_I'!I83)=0),1,0)</f>
        <v/>
      </c>
    </row>
    <row r="84">
      <c r="A84">
        <f>IF(AND('CF_I'!A84&lt;&gt;"",COUNTIF(CL_TIPO_OPERACION_CF_I,'CF_I'!A84)=0),1,0)</f>
        <v/>
      </c>
      <c r="B84">
        <f>IF(AND('CF_I'!B84&lt;&gt;"",COUNTIF(CL_TIPO_FONDEO_CF_I,'CF_I'!B84)=0),1,0)</f>
        <v/>
      </c>
      <c r="C84">
        <f>IF(AND('CF_I'!C84&lt;&gt;"",NOT(ISNUMBER('CF_I'!C84))),1,0)</f>
        <v/>
      </c>
      <c r="D84">
        <f>IF(AND('CF_I'!D84&lt;&gt;"",NOT(ISNUMBER('CF_I'!D84))),1,0)</f>
        <v/>
      </c>
      <c r="E84">
        <f>IF(AND('CF_I'!E84&lt;&gt;"",IF(ISNUMBER('CF_I'!E84),OR('CF_I'!E84&lt;&gt;INT('CF_I'!E84),LEN(TEXT(ABS('CF_I'!E84),"0"))&gt;12),TRUE)),1,0)</f>
        <v/>
      </c>
      <c r="F84">
        <f>IF(AND('CF_I'!F84&lt;&gt;"",OR(LEN('CF_I'!F84)&gt;3,COUNTIF(CL_MONEDA_ISO,'CF_I'!F84)=0)),1,0)</f>
        <v/>
      </c>
      <c r="G84">
        <f>IF(AND('CF_I'!G84&lt;&gt;"",LEN('CF_I'!G84)&gt;6),1,0)</f>
        <v/>
      </c>
      <c r="H84">
        <f>IF(AND('CF_I'!H84&lt;&gt;"",LEN('CF_I'!H84)&gt;34),1,0)</f>
        <v/>
      </c>
      <c r="I84">
        <f>IF(AND('CF_I'!I84&lt;&gt;"",COUNTIF(CL_TIPO_RELACION_ACREDITADO,'CF_I'!I84)=0),1,0)</f>
        <v/>
      </c>
    </row>
    <row r="85">
      <c r="A85">
        <f>IF(AND('CF_I'!A85&lt;&gt;"",COUNTIF(CL_TIPO_OPERACION_CF_I,'CF_I'!A85)=0),1,0)</f>
        <v/>
      </c>
      <c r="B85">
        <f>IF(AND('CF_I'!B85&lt;&gt;"",COUNTIF(CL_TIPO_FONDEO_CF_I,'CF_I'!B85)=0),1,0)</f>
        <v/>
      </c>
      <c r="C85">
        <f>IF(AND('CF_I'!C85&lt;&gt;"",NOT(ISNUMBER('CF_I'!C85))),1,0)</f>
        <v/>
      </c>
      <c r="D85">
        <f>IF(AND('CF_I'!D85&lt;&gt;"",NOT(ISNUMBER('CF_I'!D85))),1,0)</f>
        <v/>
      </c>
      <c r="E85">
        <f>IF(AND('CF_I'!E85&lt;&gt;"",IF(ISNUMBER('CF_I'!E85),OR('CF_I'!E85&lt;&gt;INT('CF_I'!E85),LEN(TEXT(ABS('CF_I'!E85),"0"))&gt;12),TRUE)),1,0)</f>
        <v/>
      </c>
      <c r="F85">
        <f>IF(AND('CF_I'!F85&lt;&gt;"",OR(LEN('CF_I'!F85)&gt;3,COUNTIF(CL_MONEDA_ISO,'CF_I'!F85)=0)),1,0)</f>
        <v/>
      </c>
      <c r="G85">
        <f>IF(AND('CF_I'!G85&lt;&gt;"",LEN('CF_I'!G85)&gt;6),1,0)</f>
        <v/>
      </c>
      <c r="H85">
        <f>IF(AND('CF_I'!H85&lt;&gt;"",LEN('CF_I'!H85)&gt;34),1,0)</f>
        <v/>
      </c>
      <c r="I85">
        <f>IF(AND('CF_I'!I85&lt;&gt;"",COUNTIF(CL_TIPO_RELACION_ACREDITADO,'CF_I'!I85)=0),1,0)</f>
        <v/>
      </c>
    </row>
    <row r="86">
      <c r="A86">
        <f>IF(AND('CF_I'!A86&lt;&gt;"",COUNTIF(CL_TIPO_OPERACION_CF_I,'CF_I'!A86)=0),1,0)</f>
        <v/>
      </c>
      <c r="B86">
        <f>IF(AND('CF_I'!B86&lt;&gt;"",COUNTIF(CL_TIPO_FONDEO_CF_I,'CF_I'!B86)=0),1,0)</f>
        <v/>
      </c>
      <c r="C86">
        <f>IF(AND('CF_I'!C86&lt;&gt;"",NOT(ISNUMBER('CF_I'!C86))),1,0)</f>
        <v/>
      </c>
      <c r="D86">
        <f>IF(AND('CF_I'!D86&lt;&gt;"",NOT(ISNUMBER('CF_I'!D86))),1,0)</f>
        <v/>
      </c>
      <c r="E86">
        <f>IF(AND('CF_I'!E86&lt;&gt;"",IF(ISNUMBER('CF_I'!E86),OR('CF_I'!E86&lt;&gt;INT('CF_I'!E86),LEN(TEXT(ABS('CF_I'!E86),"0"))&gt;12),TRUE)),1,0)</f>
        <v/>
      </c>
      <c r="F86">
        <f>IF(AND('CF_I'!F86&lt;&gt;"",OR(LEN('CF_I'!F86)&gt;3,COUNTIF(CL_MONEDA_ISO,'CF_I'!F86)=0)),1,0)</f>
        <v/>
      </c>
      <c r="G86">
        <f>IF(AND('CF_I'!G86&lt;&gt;"",LEN('CF_I'!G86)&gt;6),1,0)</f>
        <v/>
      </c>
      <c r="H86">
        <f>IF(AND('CF_I'!H86&lt;&gt;"",LEN('CF_I'!H86)&gt;34),1,0)</f>
        <v/>
      </c>
      <c r="I86">
        <f>IF(AND('CF_I'!I86&lt;&gt;"",COUNTIF(CL_TIPO_RELACION_ACREDITADO,'CF_I'!I86)=0),1,0)</f>
        <v/>
      </c>
    </row>
    <row r="87">
      <c r="A87">
        <f>IF(AND('CF_I'!A87&lt;&gt;"",COUNTIF(CL_TIPO_OPERACION_CF_I,'CF_I'!A87)=0),1,0)</f>
        <v/>
      </c>
      <c r="B87">
        <f>IF(AND('CF_I'!B87&lt;&gt;"",COUNTIF(CL_TIPO_FONDEO_CF_I,'CF_I'!B87)=0),1,0)</f>
        <v/>
      </c>
      <c r="C87">
        <f>IF(AND('CF_I'!C87&lt;&gt;"",NOT(ISNUMBER('CF_I'!C87))),1,0)</f>
        <v/>
      </c>
      <c r="D87">
        <f>IF(AND('CF_I'!D87&lt;&gt;"",NOT(ISNUMBER('CF_I'!D87))),1,0)</f>
        <v/>
      </c>
      <c r="E87">
        <f>IF(AND('CF_I'!E87&lt;&gt;"",IF(ISNUMBER('CF_I'!E87),OR('CF_I'!E87&lt;&gt;INT('CF_I'!E87),LEN(TEXT(ABS('CF_I'!E87),"0"))&gt;12),TRUE)),1,0)</f>
        <v/>
      </c>
      <c r="F87">
        <f>IF(AND('CF_I'!F87&lt;&gt;"",OR(LEN('CF_I'!F87)&gt;3,COUNTIF(CL_MONEDA_ISO,'CF_I'!F87)=0)),1,0)</f>
        <v/>
      </c>
      <c r="G87">
        <f>IF(AND('CF_I'!G87&lt;&gt;"",LEN('CF_I'!G87)&gt;6),1,0)</f>
        <v/>
      </c>
      <c r="H87">
        <f>IF(AND('CF_I'!H87&lt;&gt;"",LEN('CF_I'!H87)&gt;34),1,0)</f>
        <v/>
      </c>
      <c r="I87">
        <f>IF(AND('CF_I'!I87&lt;&gt;"",COUNTIF(CL_TIPO_RELACION_ACREDITADO,'CF_I'!I87)=0),1,0)</f>
        <v/>
      </c>
    </row>
    <row r="88">
      <c r="A88">
        <f>IF(AND('CF_I'!A88&lt;&gt;"",COUNTIF(CL_TIPO_OPERACION_CF_I,'CF_I'!A88)=0),1,0)</f>
        <v/>
      </c>
      <c r="B88">
        <f>IF(AND('CF_I'!B88&lt;&gt;"",COUNTIF(CL_TIPO_FONDEO_CF_I,'CF_I'!B88)=0),1,0)</f>
        <v/>
      </c>
      <c r="C88">
        <f>IF(AND('CF_I'!C88&lt;&gt;"",NOT(ISNUMBER('CF_I'!C88))),1,0)</f>
        <v/>
      </c>
      <c r="D88">
        <f>IF(AND('CF_I'!D88&lt;&gt;"",NOT(ISNUMBER('CF_I'!D88))),1,0)</f>
        <v/>
      </c>
      <c r="E88">
        <f>IF(AND('CF_I'!E88&lt;&gt;"",IF(ISNUMBER('CF_I'!E88),OR('CF_I'!E88&lt;&gt;INT('CF_I'!E88),LEN(TEXT(ABS('CF_I'!E88),"0"))&gt;12),TRUE)),1,0)</f>
        <v/>
      </c>
      <c r="F88">
        <f>IF(AND('CF_I'!F88&lt;&gt;"",OR(LEN('CF_I'!F88)&gt;3,COUNTIF(CL_MONEDA_ISO,'CF_I'!F88)=0)),1,0)</f>
        <v/>
      </c>
      <c r="G88">
        <f>IF(AND('CF_I'!G88&lt;&gt;"",LEN('CF_I'!G88)&gt;6),1,0)</f>
        <v/>
      </c>
      <c r="H88">
        <f>IF(AND('CF_I'!H88&lt;&gt;"",LEN('CF_I'!H88)&gt;34),1,0)</f>
        <v/>
      </c>
      <c r="I88">
        <f>IF(AND('CF_I'!I88&lt;&gt;"",COUNTIF(CL_TIPO_RELACION_ACREDITADO,'CF_I'!I88)=0),1,0)</f>
        <v/>
      </c>
    </row>
    <row r="89">
      <c r="A89">
        <f>IF(AND('CF_I'!A89&lt;&gt;"",COUNTIF(CL_TIPO_OPERACION_CF_I,'CF_I'!A89)=0),1,0)</f>
        <v/>
      </c>
      <c r="B89">
        <f>IF(AND('CF_I'!B89&lt;&gt;"",COUNTIF(CL_TIPO_FONDEO_CF_I,'CF_I'!B89)=0),1,0)</f>
        <v/>
      </c>
      <c r="C89">
        <f>IF(AND('CF_I'!C89&lt;&gt;"",NOT(ISNUMBER('CF_I'!C89))),1,0)</f>
        <v/>
      </c>
      <c r="D89">
        <f>IF(AND('CF_I'!D89&lt;&gt;"",NOT(ISNUMBER('CF_I'!D89))),1,0)</f>
        <v/>
      </c>
      <c r="E89">
        <f>IF(AND('CF_I'!E89&lt;&gt;"",IF(ISNUMBER('CF_I'!E89),OR('CF_I'!E89&lt;&gt;INT('CF_I'!E89),LEN(TEXT(ABS('CF_I'!E89),"0"))&gt;12),TRUE)),1,0)</f>
        <v/>
      </c>
      <c r="F89">
        <f>IF(AND('CF_I'!F89&lt;&gt;"",OR(LEN('CF_I'!F89)&gt;3,COUNTIF(CL_MONEDA_ISO,'CF_I'!F89)=0)),1,0)</f>
        <v/>
      </c>
      <c r="G89">
        <f>IF(AND('CF_I'!G89&lt;&gt;"",LEN('CF_I'!G89)&gt;6),1,0)</f>
        <v/>
      </c>
      <c r="H89">
        <f>IF(AND('CF_I'!H89&lt;&gt;"",LEN('CF_I'!H89)&gt;34),1,0)</f>
        <v/>
      </c>
      <c r="I89">
        <f>IF(AND('CF_I'!I89&lt;&gt;"",COUNTIF(CL_TIPO_RELACION_ACREDITADO,'CF_I'!I89)=0),1,0)</f>
        <v/>
      </c>
    </row>
    <row r="90">
      <c r="A90">
        <f>IF(AND('CF_I'!A90&lt;&gt;"",COUNTIF(CL_TIPO_OPERACION_CF_I,'CF_I'!A90)=0),1,0)</f>
        <v/>
      </c>
      <c r="B90">
        <f>IF(AND('CF_I'!B90&lt;&gt;"",COUNTIF(CL_TIPO_FONDEO_CF_I,'CF_I'!B90)=0),1,0)</f>
        <v/>
      </c>
      <c r="C90">
        <f>IF(AND('CF_I'!C90&lt;&gt;"",NOT(ISNUMBER('CF_I'!C90))),1,0)</f>
        <v/>
      </c>
      <c r="D90">
        <f>IF(AND('CF_I'!D90&lt;&gt;"",NOT(ISNUMBER('CF_I'!D90))),1,0)</f>
        <v/>
      </c>
      <c r="E90">
        <f>IF(AND('CF_I'!E90&lt;&gt;"",IF(ISNUMBER('CF_I'!E90),OR('CF_I'!E90&lt;&gt;INT('CF_I'!E90),LEN(TEXT(ABS('CF_I'!E90),"0"))&gt;12),TRUE)),1,0)</f>
        <v/>
      </c>
      <c r="F90">
        <f>IF(AND('CF_I'!F90&lt;&gt;"",OR(LEN('CF_I'!F90)&gt;3,COUNTIF(CL_MONEDA_ISO,'CF_I'!F90)=0)),1,0)</f>
        <v/>
      </c>
      <c r="G90">
        <f>IF(AND('CF_I'!G90&lt;&gt;"",LEN('CF_I'!G90)&gt;6),1,0)</f>
        <v/>
      </c>
      <c r="H90">
        <f>IF(AND('CF_I'!H90&lt;&gt;"",LEN('CF_I'!H90)&gt;34),1,0)</f>
        <v/>
      </c>
      <c r="I90">
        <f>IF(AND('CF_I'!I90&lt;&gt;"",COUNTIF(CL_TIPO_RELACION_ACREDITADO,'CF_I'!I90)=0),1,0)</f>
        <v/>
      </c>
    </row>
    <row r="91">
      <c r="A91">
        <f>IF(AND('CF_I'!A91&lt;&gt;"",COUNTIF(CL_TIPO_OPERACION_CF_I,'CF_I'!A91)=0),1,0)</f>
        <v/>
      </c>
      <c r="B91">
        <f>IF(AND('CF_I'!B91&lt;&gt;"",COUNTIF(CL_TIPO_FONDEO_CF_I,'CF_I'!B91)=0),1,0)</f>
        <v/>
      </c>
      <c r="C91">
        <f>IF(AND('CF_I'!C91&lt;&gt;"",NOT(ISNUMBER('CF_I'!C91))),1,0)</f>
        <v/>
      </c>
      <c r="D91">
        <f>IF(AND('CF_I'!D91&lt;&gt;"",NOT(ISNUMBER('CF_I'!D91))),1,0)</f>
        <v/>
      </c>
      <c r="E91">
        <f>IF(AND('CF_I'!E91&lt;&gt;"",IF(ISNUMBER('CF_I'!E91),OR('CF_I'!E91&lt;&gt;INT('CF_I'!E91),LEN(TEXT(ABS('CF_I'!E91),"0"))&gt;12),TRUE)),1,0)</f>
        <v/>
      </c>
      <c r="F91">
        <f>IF(AND('CF_I'!F91&lt;&gt;"",OR(LEN('CF_I'!F91)&gt;3,COUNTIF(CL_MONEDA_ISO,'CF_I'!F91)=0)),1,0)</f>
        <v/>
      </c>
      <c r="G91">
        <f>IF(AND('CF_I'!G91&lt;&gt;"",LEN('CF_I'!G91)&gt;6),1,0)</f>
        <v/>
      </c>
      <c r="H91">
        <f>IF(AND('CF_I'!H91&lt;&gt;"",LEN('CF_I'!H91)&gt;34),1,0)</f>
        <v/>
      </c>
      <c r="I91">
        <f>IF(AND('CF_I'!I91&lt;&gt;"",COUNTIF(CL_TIPO_RELACION_ACREDITADO,'CF_I'!I91)=0),1,0)</f>
        <v/>
      </c>
    </row>
    <row r="92">
      <c r="A92">
        <f>IF(AND('CF_I'!A92&lt;&gt;"",COUNTIF(CL_TIPO_OPERACION_CF_I,'CF_I'!A92)=0),1,0)</f>
        <v/>
      </c>
      <c r="B92">
        <f>IF(AND('CF_I'!B92&lt;&gt;"",COUNTIF(CL_TIPO_FONDEO_CF_I,'CF_I'!B92)=0),1,0)</f>
        <v/>
      </c>
      <c r="C92">
        <f>IF(AND('CF_I'!C92&lt;&gt;"",NOT(ISNUMBER('CF_I'!C92))),1,0)</f>
        <v/>
      </c>
      <c r="D92">
        <f>IF(AND('CF_I'!D92&lt;&gt;"",NOT(ISNUMBER('CF_I'!D92))),1,0)</f>
        <v/>
      </c>
      <c r="E92">
        <f>IF(AND('CF_I'!E92&lt;&gt;"",IF(ISNUMBER('CF_I'!E92),OR('CF_I'!E92&lt;&gt;INT('CF_I'!E92),LEN(TEXT(ABS('CF_I'!E92),"0"))&gt;12),TRUE)),1,0)</f>
        <v/>
      </c>
      <c r="F92">
        <f>IF(AND('CF_I'!F92&lt;&gt;"",OR(LEN('CF_I'!F92)&gt;3,COUNTIF(CL_MONEDA_ISO,'CF_I'!F92)=0)),1,0)</f>
        <v/>
      </c>
      <c r="G92">
        <f>IF(AND('CF_I'!G92&lt;&gt;"",LEN('CF_I'!G92)&gt;6),1,0)</f>
        <v/>
      </c>
      <c r="H92">
        <f>IF(AND('CF_I'!H92&lt;&gt;"",LEN('CF_I'!H92)&gt;34),1,0)</f>
        <v/>
      </c>
      <c r="I92">
        <f>IF(AND('CF_I'!I92&lt;&gt;"",COUNTIF(CL_TIPO_RELACION_ACREDITADO,'CF_I'!I92)=0),1,0)</f>
        <v/>
      </c>
    </row>
    <row r="93">
      <c r="A93">
        <f>IF(AND('CF_I'!A93&lt;&gt;"",COUNTIF(CL_TIPO_OPERACION_CF_I,'CF_I'!A93)=0),1,0)</f>
        <v/>
      </c>
      <c r="B93">
        <f>IF(AND('CF_I'!B93&lt;&gt;"",COUNTIF(CL_TIPO_FONDEO_CF_I,'CF_I'!B93)=0),1,0)</f>
        <v/>
      </c>
      <c r="C93">
        <f>IF(AND('CF_I'!C93&lt;&gt;"",NOT(ISNUMBER('CF_I'!C93))),1,0)</f>
        <v/>
      </c>
      <c r="D93">
        <f>IF(AND('CF_I'!D93&lt;&gt;"",NOT(ISNUMBER('CF_I'!D93))),1,0)</f>
        <v/>
      </c>
      <c r="E93">
        <f>IF(AND('CF_I'!E93&lt;&gt;"",IF(ISNUMBER('CF_I'!E93),OR('CF_I'!E93&lt;&gt;INT('CF_I'!E93),LEN(TEXT(ABS('CF_I'!E93),"0"))&gt;12),TRUE)),1,0)</f>
        <v/>
      </c>
      <c r="F93">
        <f>IF(AND('CF_I'!F93&lt;&gt;"",OR(LEN('CF_I'!F93)&gt;3,COUNTIF(CL_MONEDA_ISO,'CF_I'!F93)=0)),1,0)</f>
        <v/>
      </c>
      <c r="G93">
        <f>IF(AND('CF_I'!G93&lt;&gt;"",LEN('CF_I'!G93)&gt;6),1,0)</f>
        <v/>
      </c>
      <c r="H93">
        <f>IF(AND('CF_I'!H93&lt;&gt;"",LEN('CF_I'!H93)&gt;34),1,0)</f>
        <v/>
      </c>
      <c r="I93">
        <f>IF(AND('CF_I'!I93&lt;&gt;"",COUNTIF(CL_TIPO_RELACION_ACREDITADO,'CF_I'!I93)=0),1,0)</f>
        <v/>
      </c>
    </row>
    <row r="94">
      <c r="A94">
        <f>IF(AND('CF_I'!A94&lt;&gt;"",COUNTIF(CL_TIPO_OPERACION_CF_I,'CF_I'!A94)=0),1,0)</f>
        <v/>
      </c>
      <c r="B94">
        <f>IF(AND('CF_I'!B94&lt;&gt;"",COUNTIF(CL_TIPO_FONDEO_CF_I,'CF_I'!B94)=0),1,0)</f>
        <v/>
      </c>
      <c r="C94">
        <f>IF(AND('CF_I'!C94&lt;&gt;"",NOT(ISNUMBER('CF_I'!C94))),1,0)</f>
        <v/>
      </c>
      <c r="D94">
        <f>IF(AND('CF_I'!D94&lt;&gt;"",NOT(ISNUMBER('CF_I'!D94))),1,0)</f>
        <v/>
      </c>
      <c r="E94">
        <f>IF(AND('CF_I'!E94&lt;&gt;"",IF(ISNUMBER('CF_I'!E94),OR('CF_I'!E94&lt;&gt;INT('CF_I'!E94),LEN(TEXT(ABS('CF_I'!E94),"0"))&gt;12),TRUE)),1,0)</f>
        <v/>
      </c>
      <c r="F94">
        <f>IF(AND('CF_I'!F94&lt;&gt;"",OR(LEN('CF_I'!F94)&gt;3,COUNTIF(CL_MONEDA_ISO,'CF_I'!F94)=0)),1,0)</f>
        <v/>
      </c>
      <c r="G94">
        <f>IF(AND('CF_I'!G94&lt;&gt;"",LEN('CF_I'!G94)&gt;6),1,0)</f>
        <v/>
      </c>
      <c r="H94">
        <f>IF(AND('CF_I'!H94&lt;&gt;"",LEN('CF_I'!H94)&gt;34),1,0)</f>
        <v/>
      </c>
      <c r="I94">
        <f>IF(AND('CF_I'!I94&lt;&gt;"",COUNTIF(CL_TIPO_RELACION_ACREDITADO,'CF_I'!I94)=0),1,0)</f>
        <v/>
      </c>
    </row>
    <row r="95">
      <c r="A95">
        <f>IF(AND('CF_I'!A95&lt;&gt;"",COUNTIF(CL_TIPO_OPERACION_CF_I,'CF_I'!A95)=0),1,0)</f>
        <v/>
      </c>
      <c r="B95">
        <f>IF(AND('CF_I'!B95&lt;&gt;"",COUNTIF(CL_TIPO_FONDEO_CF_I,'CF_I'!B95)=0),1,0)</f>
        <v/>
      </c>
      <c r="C95">
        <f>IF(AND('CF_I'!C95&lt;&gt;"",NOT(ISNUMBER('CF_I'!C95))),1,0)</f>
        <v/>
      </c>
      <c r="D95">
        <f>IF(AND('CF_I'!D95&lt;&gt;"",NOT(ISNUMBER('CF_I'!D95))),1,0)</f>
        <v/>
      </c>
      <c r="E95">
        <f>IF(AND('CF_I'!E95&lt;&gt;"",IF(ISNUMBER('CF_I'!E95),OR('CF_I'!E95&lt;&gt;INT('CF_I'!E95),LEN(TEXT(ABS('CF_I'!E95),"0"))&gt;12),TRUE)),1,0)</f>
        <v/>
      </c>
      <c r="F95">
        <f>IF(AND('CF_I'!F95&lt;&gt;"",OR(LEN('CF_I'!F95)&gt;3,COUNTIF(CL_MONEDA_ISO,'CF_I'!F95)=0)),1,0)</f>
        <v/>
      </c>
      <c r="G95">
        <f>IF(AND('CF_I'!G95&lt;&gt;"",LEN('CF_I'!G95)&gt;6),1,0)</f>
        <v/>
      </c>
      <c r="H95">
        <f>IF(AND('CF_I'!H95&lt;&gt;"",LEN('CF_I'!H95)&gt;34),1,0)</f>
        <v/>
      </c>
      <c r="I95">
        <f>IF(AND('CF_I'!I95&lt;&gt;"",COUNTIF(CL_TIPO_RELACION_ACREDITADO,'CF_I'!I95)=0),1,0)</f>
        <v/>
      </c>
    </row>
    <row r="96">
      <c r="A96">
        <f>IF(AND('CF_I'!A96&lt;&gt;"",COUNTIF(CL_TIPO_OPERACION_CF_I,'CF_I'!A96)=0),1,0)</f>
        <v/>
      </c>
      <c r="B96">
        <f>IF(AND('CF_I'!B96&lt;&gt;"",COUNTIF(CL_TIPO_FONDEO_CF_I,'CF_I'!B96)=0),1,0)</f>
        <v/>
      </c>
      <c r="C96">
        <f>IF(AND('CF_I'!C96&lt;&gt;"",NOT(ISNUMBER('CF_I'!C96))),1,0)</f>
        <v/>
      </c>
      <c r="D96">
        <f>IF(AND('CF_I'!D96&lt;&gt;"",NOT(ISNUMBER('CF_I'!D96))),1,0)</f>
        <v/>
      </c>
      <c r="E96">
        <f>IF(AND('CF_I'!E96&lt;&gt;"",IF(ISNUMBER('CF_I'!E96),OR('CF_I'!E96&lt;&gt;INT('CF_I'!E96),LEN(TEXT(ABS('CF_I'!E96),"0"))&gt;12),TRUE)),1,0)</f>
        <v/>
      </c>
      <c r="F96">
        <f>IF(AND('CF_I'!F96&lt;&gt;"",OR(LEN('CF_I'!F96)&gt;3,COUNTIF(CL_MONEDA_ISO,'CF_I'!F96)=0)),1,0)</f>
        <v/>
      </c>
      <c r="G96">
        <f>IF(AND('CF_I'!G96&lt;&gt;"",LEN('CF_I'!G96)&gt;6),1,0)</f>
        <v/>
      </c>
      <c r="H96">
        <f>IF(AND('CF_I'!H96&lt;&gt;"",LEN('CF_I'!H96)&gt;34),1,0)</f>
        <v/>
      </c>
      <c r="I96">
        <f>IF(AND('CF_I'!I96&lt;&gt;"",COUNTIF(CL_TIPO_RELACION_ACREDITADO,'CF_I'!I96)=0),1,0)</f>
        <v/>
      </c>
    </row>
    <row r="97">
      <c r="A97">
        <f>IF(AND('CF_I'!A97&lt;&gt;"",COUNTIF(CL_TIPO_OPERACION_CF_I,'CF_I'!A97)=0),1,0)</f>
        <v/>
      </c>
      <c r="B97">
        <f>IF(AND('CF_I'!B97&lt;&gt;"",COUNTIF(CL_TIPO_FONDEO_CF_I,'CF_I'!B97)=0),1,0)</f>
        <v/>
      </c>
      <c r="C97">
        <f>IF(AND('CF_I'!C97&lt;&gt;"",NOT(ISNUMBER('CF_I'!C97))),1,0)</f>
        <v/>
      </c>
      <c r="D97">
        <f>IF(AND('CF_I'!D97&lt;&gt;"",NOT(ISNUMBER('CF_I'!D97))),1,0)</f>
        <v/>
      </c>
      <c r="E97">
        <f>IF(AND('CF_I'!E97&lt;&gt;"",IF(ISNUMBER('CF_I'!E97),OR('CF_I'!E97&lt;&gt;INT('CF_I'!E97),LEN(TEXT(ABS('CF_I'!E97),"0"))&gt;12),TRUE)),1,0)</f>
        <v/>
      </c>
      <c r="F97">
        <f>IF(AND('CF_I'!F97&lt;&gt;"",OR(LEN('CF_I'!F97)&gt;3,COUNTIF(CL_MONEDA_ISO,'CF_I'!F97)=0)),1,0)</f>
        <v/>
      </c>
      <c r="G97">
        <f>IF(AND('CF_I'!G97&lt;&gt;"",LEN('CF_I'!G97)&gt;6),1,0)</f>
        <v/>
      </c>
      <c r="H97">
        <f>IF(AND('CF_I'!H97&lt;&gt;"",LEN('CF_I'!H97)&gt;34),1,0)</f>
        <v/>
      </c>
      <c r="I97">
        <f>IF(AND('CF_I'!I97&lt;&gt;"",COUNTIF(CL_TIPO_RELACION_ACREDITADO,'CF_I'!I97)=0),1,0)</f>
        <v/>
      </c>
    </row>
    <row r="98">
      <c r="A98">
        <f>IF(AND('CF_I'!A98&lt;&gt;"",COUNTIF(CL_TIPO_OPERACION_CF_I,'CF_I'!A98)=0),1,0)</f>
        <v/>
      </c>
      <c r="B98">
        <f>IF(AND('CF_I'!B98&lt;&gt;"",COUNTIF(CL_TIPO_FONDEO_CF_I,'CF_I'!B98)=0),1,0)</f>
        <v/>
      </c>
      <c r="C98">
        <f>IF(AND('CF_I'!C98&lt;&gt;"",NOT(ISNUMBER('CF_I'!C98))),1,0)</f>
        <v/>
      </c>
      <c r="D98">
        <f>IF(AND('CF_I'!D98&lt;&gt;"",NOT(ISNUMBER('CF_I'!D98))),1,0)</f>
        <v/>
      </c>
      <c r="E98">
        <f>IF(AND('CF_I'!E98&lt;&gt;"",IF(ISNUMBER('CF_I'!E98),OR('CF_I'!E98&lt;&gt;INT('CF_I'!E98),LEN(TEXT(ABS('CF_I'!E98),"0"))&gt;12),TRUE)),1,0)</f>
        <v/>
      </c>
      <c r="F98">
        <f>IF(AND('CF_I'!F98&lt;&gt;"",OR(LEN('CF_I'!F98)&gt;3,COUNTIF(CL_MONEDA_ISO,'CF_I'!F98)=0)),1,0)</f>
        <v/>
      </c>
      <c r="G98">
        <f>IF(AND('CF_I'!G98&lt;&gt;"",LEN('CF_I'!G98)&gt;6),1,0)</f>
        <v/>
      </c>
      <c r="H98">
        <f>IF(AND('CF_I'!H98&lt;&gt;"",LEN('CF_I'!H98)&gt;34),1,0)</f>
        <v/>
      </c>
      <c r="I98">
        <f>IF(AND('CF_I'!I98&lt;&gt;"",COUNTIF(CL_TIPO_RELACION_ACREDITADO,'CF_I'!I98)=0),1,0)</f>
        <v/>
      </c>
    </row>
    <row r="99">
      <c r="A99">
        <f>IF(AND('CF_I'!A99&lt;&gt;"",COUNTIF(CL_TIPO_OPERACION_CF_I,'CF_I'!A99)=0),1,0)</f>
        <v/>
      </c>
      <c r="B99">
        <f>IF(AND('CF_I'!B99&lt;&gt;"",COUNTIF(CL_TIPO_FONDEO_CF_I,'CF_I'!B99)=0),1,0)</f>
        <v/>
      </c>
      <c r="C99">
        <f>IF(AND('CF_I'!C99&lt;&gt;"",NOT(ISNUMBER('CF_I'!C99))),1,0)</f>
        <v/>
      </c>
      <c r="D99">
        <f>IF(AND('CF_I'!D99&lt;&gt;"",NOT(ISNUMBER('CF_I'!D99))),1,0)</f>
        <v/>
      </c>
      <c r="E99">
        <f>IF(AND('CF_I'!E99&lt;&gt;"",IF(ISNUMBER('CF_I'!E99),OR('CF_I'!E99&lt;&gt;INT('CF_I'!E99),LEN(TEXT(ABS('CF_I'!E99),"0"))&gt;12),TRUE)),1,0)</f>
        <v/>
      </c>
      <c r="F99">
        <f>IF(AND('CF_I'!F99&lt;&gt;"",OR(LEN('CF_I'!F99)&gt;3,COUNTIF(CL_MONEDA_ISO,'CF_I'!F99)=0)),1,0)</f>
        <v/>
      </c>
      <c r="G99">
        <f>IF(AND('CF_I'!G99&lt;&gt;"",LEN('CF_I'!G99)&gt;6),1,0)</f>
        <v/>
      </c>
      <c r="H99">
        <f>IF(AND('CF_I'!H99&lt;&gt;"",LEN('CF_I'!H99)&gt;34),1,0)</f>
        <v/>
      </c>
      <c r="I99">
        <f>IF(AND('CF_I'!I99&lt;&gt;"",COUNTIF(CL_TIPO_RELACION_ACREDITADO,'CF_I'!I99)=0),1,0)</f>
        <v/>
      </c>
    </row>
    <row r="100">
      <c r="A100">
        <f>IF(AND('CF_I'!A100&lt;&gt;"",COUNTIF(CL_TIPO_OPERACION_CF_I,'CF_I'!A100)=0),1,0)</f>
        <v/>
      </c>
      <c r="B100">
        <f>IF(AND('CF_I'!B100&lt;&gt;"",COUNTIF(CL_TIPO_FONDEO_CF_I,'CF_I'!B100)=0),1,0)</f>
        <v/>
      </c>
      <c r="C100">
        <f>IF(AND('CF_I'!C100&lt;&gt;"",NOT(ISNUMBER('CF_I'!C100))),1,0)</f>
        <v/>
      </c>
      <c r="D100">
        <f>IF(AND('CF_I'!D100&lt;&gt;"",NOT(ISNUMBER('CF_I'!D100))),1,0)</f>
        <v/>
      </c>
      <c r="E100">
        <f>IF(AND('CF_I'!E100&lt;&gt;"",IF(ISNUMBER('CF_I'!E100),OR('CF_I'!E100&lt;&gt;INT('CF_I'!E100),LEN(TEXT(ABS('CF_I'!E100),"0"))&gt;12),TRUE)),1,0)</f>
        <v/>
      </c>
      <c r="F100">
        <f>IF(AND('CF_I'!F100&lt;&gt;"",OR(LEN('CF_I'!F100)&gt;3,COUNTIF(CL_MONEDA_ISO,'CF_I'!F100)=0)),1,0)</f>
        <v/>
      </c>
      <c r="G100">
        <f>IF(AND('CF_I'!G100&lt;&gt;"",LEN('CF_I'!G100)&gt;6),1,0)</f>
        <v/>
      </c>
      <c r="H100">
        <f>IF(AND('CF_I'!H100&lt;&gt;"",LEN('CF_I'!H100)&gt;34),1,0)</f>
        <v/>
      </c>
      <c r="I100">
        <f>IF(AND('CF_I'!I100&lt;&gt;"",COUNTIF(CL_TIPO_RELACION_ACREDITADO,'CF_I'!I100)=0),1,0)</f>
        <v/>
      </c>
    </row>
    <row r="101">
      <c r="A101">
        <f>IF(AND('CF_I'!A101&lt;&gt;"",COUNTIF(CL_TIPO_OPERACION_CF_I,'CF_I'!A101)=0),1,0)</f>
        <v/>
      </c>
      <c r="B101">
        <f>IF(AND('CF_I'!B101&lt;&gt;"",COUNTIF(CL_TIPO_FONDEO_CF_I,'CF_I'!B101)=0),1,0)</f>
        <v/>
      </c>
      <c r="C101">
        <f>IF(AND('CF_I'!C101&lt;&gt;"",NOT(ISNUMBER('CF_I'!C101))),1,0)</f>
        <v/>
      </c>
      <c r="D101">
        <f>IF(AND('CF_I'!D101&lt;&gt;"",NOT(ISNUMBER('CF_I'!D101))),1,0)</f>
        <v/>
      </c>
      <c r="E101">
        <f>IF(AND('CF_I'!E101&lt;&gt;"",IF(ISNUMBER('CF_I'!E101),OR('CF_I'!E101&lt;&gt;INT('CF_I'!E101),LEN(TEXT(ABS('CF_I'!E101),"0"))&gt;12),TRUE)),1,0)</f>
        <v/>
      </c>
      <c r="F101">
        <f>IF(AND('CF_I'!F101&lt;&gt;"",OR(LEN('CF_I'!F101)&gt;3,COUNTIF(CL_MONEDA_ISO,'CF_I'!F101)=0)),1,0)</f>
        <v/>
      </c>
      <c r="G101">
        <f>IF(AND('CF_I'!G101&lt;&gt;"",LEN('CF_I'!G101)&gt;6),1,0)</f>
        <v/>
      </c>
      <c r="H101">
        <f>IF(AND('CF_I'!H101&lt;&gt;"",LEN('CF_I'!H101)&gt;34),1,0)</f>
        <v/>
      </c>
      <c r="I101">
        <f>IF(AND('CF_I'!I101&lt;&gt;"",COUNTIF(CL_TIPO_RELACION_ACREDITADO,'CF_I'!I101)=0),1,0)</f>
        <v/>
      </c>
    </row>
    <row r="102">
      <c r="A102">
        <f>IF(AND('CF_I'!A102&lt;&gt;"",COUNTIF(CL_TIPO_OPERACION_CF_I,'CF_I'!A102)=0),1,0)</f>
        <v/>
      </c>
      <c r="B102">
        <f>IF(AND('CF_I'!B102&lt;&gt;"",COUNTIF(CL_TIPO_FONDEO_CF_I,'CF_I'!B102)=0),1,0)</f>
        <v/>
      </c>
      <c r="C102">
        <f>IF(AND('CF_I'!C102&lt;&gt;"",NOT(ISNUMBER('CF_I'!C102))),1,0)</f>
        <v/>
      </c>
      <c r="D102">
        <f>IF(AND('CF_I'!D102&lt;&gt;"",NOT(ISNUMBER('CF_I'!D102))),1,0)</f>
        <v/>
      </c>
      <c r="E102">
        <f>IF(AND('CF_I'!E102&lt;&gt;"",IF(ISNUMBER('CF_I'!E102),OR('CF_I'!E102&lt;&gt;INT('CF_I'!E102),LEN(TEXT(ABS('CF_I'!E102),"0"))&gt;12),TRUE)),1,0)</f>
        <v/>
      </c>
      <c r="F102">
        <f>IF(AND('CF_I'!F102&lt;&gt;"",OR(LEN('CF_I'!F102)&gt;3,COUNTIF(CL_MONEDA_ISO,'CF_I'!F102)=0)),1,0)</f>
        <v/>
      </c>
      <c r="G102">
        <f>IF(AND('CF_I'!G102&lt;&gt;"",LEN('CF_I'!G102)&gt;6),1,0)</f>
        <v/>
      </c>
      <c r="H102">
        <f>IF(AND('CF_I'!H102&lt;&gt;"",LEN('CF_I'!H102)&gt;34),1,0)</f>
        <v/>
      </c>
      <c r="I102">
        <f>IF(AND('CF_I'!I102&lt;&gt;"",COUNTIF(CL_TIPO_RELACION_ACREDITADO,'CF_I'!I102)=0),1,0)</f>
        <v/>
      </c>
    </row>
    <row r="103">
      <c r="A103">
        <f>IF(AND('CF_I'!A103&lt;&gt;"",COUNTIF(CL_TIPO_OPERACION_CF_I,'CF_I'!A103)=0),1,0)</f>
        <v/>
      </c>
      <c r="B103">
        <f>IF(AND('CF_I'!B103&lt;&gt;"",COUNTIF(CL_TIPO_FONDEO_CF_I,'CF_I'!B103)=0),1,0)</f>
        <v/>
      </c>
      <c r="C103">
        <f>IF(AND('CF_I'!C103&lt;&gt;"",NOT(ISNUMBER('CF_I'!C103))),1,0)</f>
        <v/>
      </c>
      <c r="D103">
        <f>IF(AND('CF_I'!D103&lt;&gt;"",NOT(ISNUMBER('CF_I'!D103))),1,0)</f>
        <v/>
      </c>
      <c r="E103">
        <f>IF(AND('CF_I'!E103&lt;&gt;"",IF(ISNUMBER('CF_I'!E103),OR('CF_I'!E103&lt;&gt;INT('CF_I'!E103),LEN(TEXT(ABS('CF_I'!E103),"0"))&gt;12),TRUE)),1,0)</f>
        <v/>
      </c>
      <c r="F103">
        <f>IF(AND('CF_I'!F103&lt;&gt;"",OR(LEN('CF_I'!F103)&gt;3,COUNTIF(CL_MONEDA_ISO,'CF_I'!F103)=0)),1,0)</f>
        <v/>
      </c>
      <c r="G103">
        <f>IF(AND('CF_I'!G103&lt;&gt;"",LEN('CF_I'!G103)&gt;6),1,0)</f>
        <v/>
      </c>
      <c r="H103">
        <f>IF(AND('CF_I'!H103&lt;&gt;"",LEN('CF_I'!H103)&gt;34),1,0)</f>
        <v/>
      </c>
      <c r="I103">
        <f>IF(AND('CF_I'!I103&lt;&gt;"",COUNTIF(CL_TIPO_RELACION_ACREDITADO,'CF_I'!I103)=0),1,0)</f>
        <v/>
      </c>
    </row>
    <row r="104">
      <c r="A104">
        <f>IF(AND('CF_I'!A104&lt;&gt;"",COUNTIF(CL_TIPO_OPERACION_CF_I,'CF_I'!A104)=0),1,0)</f>
        <v/>
      </c>
      <c r="B104">
        <f>IF(AND('CF_I'!B104&lt;&gt;"",COUNTIF(CL_TIPO_FONDEO_CF_I,'CF_I'!B104)=0),1,0)</f>
        <v/>
      </c>
      <c r="C104">
        <f>IF(AND('CF_I'!C104&lt;&gt;"",NOT(ISNUMBER('CF_I'!C104))),1,0)</f>
        <v/>
      </c>
      <c r="D104">
        <f>IF(AND('CF_I'!D104&lt;&gt;"",NOT(ISNUMBER('CF_I'!D104))),1,0)</f>
        <v/>
      </c>
      <c r="E104">
        <f>IF(AND('CF_I'!E104&lt;&gt;"",IF(ISNUMBER('CF_I'!E104),OR('CF_I'!E104&lt;&gt;INT('CF_I'!E104),LEN(TEXT(ABS('CF_I'!E104),"0"))&gt;12),TRUE)),1,0)</f>
        <v/>
      </c>
      <c r="F104">
        <f>IF(AND('CF_I'!F104&lt;&gt;"",OR(LEN('CF_I'!F104)&gt;3,COUNTIF(CL_MONEDA_ISO,'CF_I'!F104)=0)),1,0)</f>
        <v/>
      </c>
      <c r="G104">
        <f>IF(AND('CF_I'!G104&lt;&gt;"",LEN('CF_I'!G104)&gt;6),1,0)</f>
        <v/>
      </c>
      <c r="H104">
        <f>IF(AND('CF_I'!H104&lt;&gt;"",LEN('CF_I'!H104)&gt;34),1,0)</f>
        <v/>
      </c>
      <c r="I104">
        <f>IF(AND('CF_I'!I104&lt;&gt;"",COUNTIF(CL_TIPO_RELACION_ACREDITADO,'CF_I'!I104)=0),1,0)</f>
        <v/>
      </c>
    </row>
    <row r="105">
      <c r="A105">
        <f>IF(AND('CF_I'!A105&lt;&gt;"",COUNTIF(CL_TIPO_OPERACION_CF_I,'CF_I'!A105)=0),1,0)</f>
        <v/>
      </c>
      <c r="B105">
        <f>IF(AND('CF_I'!B105&lt;&gt;"",COUNTIF(CL_TIPO_FONDEO_CF_I,'CF_I'!B105)=0),1,0)</f>
        <v/>
      </c>
      <c r="C105">
        <f>IF(AND('CF_I'!C105&lt;&gt;"",NOT(ISNUMBER('CF_I'!C105))),1,0)</f>
        <v/>
      </c>
      <c r="D105">
        <f>IF(AND('CF_I'!D105&lt;&gt;"",NOT(ISNUMBER('CF_I'!D105))),1,0)</f>
        <v/>
      </c>
      <c r="E105">
        <f>IF(AND('CF_I'!E105&lt;&gt;"",IF(ISNUMBER('CF_I'!E105),OR('CF_I'!E105&lt;&gt;INT('CF_I'!E105),LEN(TEXT(ABS('CF_I'!E105),"0"))&gt;12),TRUE)),1,0)</f>
        <v/>
      </c>
      <c r="F105">
        <f>IF(AND('CF_I'!F105&lt;&gt;"",OR(LEN('CF_I'!F105)&gt;3,COUNTIF(CL_MONEDA_ISO,'CF_I'!F105)=0)),1,0)</f>
        <v/>
      </c>
      <c r="G105">
        <f>IF(AND('CF_I'!G105&lt;&gt;"",LEN('CF_I'!G105)&gt;6),1,0)</f>
        <v/>
      </c>
      <c r="H105">
        <f>IF(AND('CF_I'!H105&lt;&gt;"",LEN('CF_I'!H105)&gt;34),1,0)</f>
        <v/>
      </c>
      <c r="I105">
        <f>IF(AND('CF_I'!I105&lt;&gt;"",COUNTIF(CL_TIPO_RELACION_ACREDITADO,'CF_I'!I105)=0),1,0)</f>
        <v/>
      </c>
    </row>
    <row r="106">
      <c r="A106">
        <f>IF(AND('CF_I'!A106&lt;&gt;"",COUNTIF(CL_TIPO_OPERACION_CF_I,'CF_I'!A106)=0),1,0)</f>
        <v/>
      </c>
      <c r="B106">
        <f>IF(AND('CF_I'!B106&lt;&gt;"",COUNTIF(CL_TIPO_FONDEO_CF_I,'CF_I'!B106)=0),1,0)</f>
        <v/>
      </c>
      <c r="C106">
        <f>IF(AND('CF_I'!C106&lt;&gt;"",NOT(ISNUMBER('CF_I'!C106))),1,0)</f>
        <v/>
      </c>
      <c r="D106">
        <f>IF(AND('CF_I'!D106&lt;&gt;"",NOT(ISNUMBER('CF_I'!D106))),1,0)</f>
        <v/>
      </c>
      <c r="E106">
        <f>IF(AND('CF_I'!E106&lt;&gt;"",IF(ISNUMBER('CF_I'!E106),OR('CF_I'!E106&lt;&gt;INT('CF_I'!E106),LEN(TEXT(ABS('CF_I'!E106),"0"))&gt;12),TRUE)),1,0)</f>
        <v/>
      </c>
      <c r="F106">
        <f>IF(AND('CF_I'!F106&lt;&gt;"",OR(LEN('CF_I'!F106)&gt;3,COUNTIF(CL_MONEDA_ISO,'CF_I'!F106)=0)),1,0)</f>
        <v/>
      </c>
      <c r="G106">
        <f>IF(AND('CF_I'!G106&lt;&gt;"",LEN('CF_I'!G106)&gt;6),1,0)</f>
        <v/>
      </c>
      <c r="H106">
        <f>IF(AND('CF_I'!H106&lt;&gt;"",LEN('CF_I'!H106)&gt;34),1,0)</f>
        <v/>
      </c>
      <c r="I106">
        <f>IF(AND('CF_I'!I106&lt;&gt;"",COUNTIF(CL_TIPO_RELACION_ACREDITADO,'CF_I'!I106)=0),1,0)</f>
        <v/>
      </c>
    </row>
    <row r="107">
      <c r="A107">
        <f>IF(AND('CF_I'!A107&lt;&gt;"",COUNTIF(CL_TIPO_OPERACION_CF_I,'CF_I'!A107)=0),1,0)</f>
        <v/>
      </c>
      <c r="B107">
        <f>IF(AND('CF_I'!B107&lt;&gt;"",COUNTIF(CL_TIPO_FONDEO_CF_I,'CF_I'!B107)=0),1,0)</f>
        <v/>
      </c>
      <c r="C107">
        <f>IF(AND('CF_I'!C107&lt;&gt;"",NOT(ISNUMBER('CF_I'!C107))),1,0)</f>
        <v/>
      </c>
      <c r="D107">
        <f>IF(AND('CF_I'!D107&lt;&gt;"",NOT(ISNUMBER('CF_I'!D107))),1,0)</f>
        <v/>
      </c>
      <c r="E107">
        <f>IF(AND('CF_I'!E107&lt;&gt;"",IF(ISNUMBER('CF_I'!E107),OR('CF_I'!E107&lt;&gt;INT('CF_I'!E107),LEN(TEXT(ABS('CF_I'!E107),"0"))&gt;12),TRUE)),1,0)</f>
        <v/>
      </c>
      <c r="F107">
        <f>IF(AND('CF_I'!F107&lt;&gt;"",OR(LEN('CF_I'!F107)&gt;3,COUNTIF(CL_MONEDA_ISO,'CF_I'!F107)=0)),1,0)</f>
        <v/>
      </c>
      <c r="G107">
        <f>IF(AND('CF_I'!G107&lt;&gt;"",LEN('CF_I'!G107)&gt;6),1,0)</f>
        <v/>
      </c>
      <c r="H107">
        <f>IF(AND('CF_I'!H107&lt;&gt;"",LEN('CF_I'!H107)&gt;34),1,0)</f>
        <v/>
      </c>
      <c r="I107">
        <f>IF(AND('CF_I'!I107&lt;&gt;"",COUNTIF(CL_TIPO_RELACION_ACREDITADO,'CF_I'!I107)=0),1,0)</f>
        <v/>
      </c>
    </row>
    <row r="108">
      <c r="A108">
        <f>IF(AND('CF_I'!A108&lt;&gt;"",COUNTIF(CL_TIPO_OPERACION_CF_I,'CF_I'!A108)=0),1,0)</f>
        <v/>
      </c>
      <c r="B108">
        <f>IF(AND('CF_I'!B108&lt;&gt;"",COUNTIF(CL_TIPO_FONDEO_CF_I,'CF_I'!B108)=0),1,0)</f>
        <v/>
      </c>
      <c r="C108">
        <f>IF(AND('CF_I'!C108&lt;&gt;"",NOT(ISNUMBER('CF_I'!C108))),1,0)</f>
        <v/>
      </c>
      <c r="D108">
        <f>IF(AND('CF_I'!D108&lt;&gt;"",NOT(ISNUMBER('CF_I'!D108))),1,0)</f>
        <v/>
      </c>
      <c r="E108">
        <f>IF(AND('CF_I'!E108&lt;&gt;"",IF(ISNUMBER('CF_I'!E108),OR('CF_I'!E108&lt;&gt;INT('CF_I'!E108),LEN(TEXT(ABS('CF_I'!E108),"0"))&gt;12),TRUE)),1,0)</f>
        <v/>
      </c>
      <c r="F108">
        <f>IF(AND('CF_I'!F108&lt;&gt;"",OR(LEN('CF_I'!F108)&gt;3,COUNTIF(CL_MONEDA_ISO,'CF_I'!F108)=0)),1,0)</f>
        <v/>
      </c>
      <c r="G108">
        <f>IF(AND('CF_I'!G108&lt;&gt;"",LEN('CF_I'!G108)&gt;6),1,0)</f>
        <v/>
      </c>
      <c r="H108">
        <f>IF(AND('CF_I'!H108&lt;&gt;"",LEN('CF_I'!H108)&gt;34),1,0)</f>
        <v/>
      </c>
      <c r="I108">
        <f>IF(AND('CF_I'!I108&lt;&gt;"",COUNTIF(CL_TIPO_RELACION_ACREDITADO,'CF_I'!I108)=0),1,0)</f>
        <v/>
      </c>
    </row>
    <row r="109">
      <c r="A109">
        <f>IF(AND('CF_I'!A109&lt;&gt;"",COUNTIF(CL_TIPO_OPERACION_CF_I,'CF_I'!A109)=0),1,0)</f>
        <v/>
      </c>
      <c r="B109">
        <f>IF(AND('CF_I'!B109&lt;&gt;"",COUNTIF(CL_TIPO_FONDEO_CF_I,'CF_I'!B109)=0),1,0)</f>
        <v/>
      </c>
      <c r="C109">
        <f>IF(AND('CF_I'!C109&lt;&gt;"",NOT(ISNUMBER('CF_I'!C109))),1,0)</f>
        <v/>
      </c>
      <c r="D109">
        <f>IF(AND('CF_I'!D109&lt;&gt;"",NOT(ISNUMBER('CF_I'!D109))),1,0)</f>
        <v/>
      </c>
      <c r="E109">
        <f>IF(AND('CF_I'!E109&lt;&gt;"",IF(ISNUMBER('CF_I'!E109),OR('CF_I'!E109&lt;&gt;INT('CF_I'!E109),LEN(TEXT(ABS('CF_I'!E109),"0"))&gt;12),TRUE)),1,0)</f>
        <v/>
      </c>
      <c r="F109">
        <f>IF(AND('CF_I'!F109&lt;&gt;"",OR(LEN('CF_I'!F109)&gt;3,COUNTIF(CL_MONEDA_ISO,'CF_I'!F109)=0)),1,0)</f>
        <v/>
      </c>
      <c r="G109">
        <f>IF(AND('CF_I'!G109&lt;&gt;"",LEN('CF_I'!G109)&gt;6),1,0)</f>
        <v/>
      </c>
      <c r="H109">
        <f>IF(AND('CF_I'!H109&lt;&gt;"",LEN('CF_I'!H109)&gt;34),1,0)</f>
        <v/>
      </c>
      <c r="I109">
        <f>IF(AND('CF_I'!I109&lt;&gt;"",COUNTIF(CL_TIPO_RELACION_ACREDITADO,'CF_I'!I109)=0),1,0)</f>
        <v/>
      </c>
    </row>
    <row r="110">
      <c r="A110">
        <f>IF(AND('CF_I'!A110&lt;&gt;"",COUNTIF(CL_TIPO_OPERACION_CF_I,'CF_I'!A110)=0),1,0)</f>
        <v/>
      </c>
      <c r="B110">
        <f>IF(AND('CF_I'!B110&lt;&gt;"",COUNTIF(CL_TIPO_FONDEO_CF_I,'CF_I'!B110)=0),1,0)</f>
        <v/>
      </c>
      <c r="C110">
        <f>IF(AND('CF_I'!C110&lt;&gt;"",NOT(ISNUMBER('CF_I'!C110))),1,0)</f>
        <v/>
      </c>
      <c r="D110">
        <f>IF(AND('CF_I'!D110&lt;&gt;"",NOT(ISNUMBER('CF_I'!D110))),1,0)</f>
        <v/>
      </c>
      <c r="E110">
        <f>IF(AND('CF_I'!E110&lt;&gt;"",IF(ISNUMBER('CF_I'!E110),OR('CF_I'!E110&lt;&gt;INT('CF_I'!E110),LEN(TEXT(ABS('CF_I'!E110),"0"))&gt;12),TRUE)),1,0)</f>
        <v/>
      </c>
      <c r="F110">
        <f>IF(AND('CF_I'!F110&lt;&gt;"",OR(LEN('CF_I'!F110)&gt;3,COUNTIF(CL_MONEDA_ISO,'CF_I'!F110)=0)),1,0)</f>
        <v/>
      </c>
      <c r="G110">
        <f>IF(AND('CF_I'!G110&lt;&gt;"",LEN('CF_I'!G110)&gt;6),1,0)</f>
        <v/>
      </c>
      <c r="H110">
        <f>IF(AND('CF_I'!H110&lt;&gt;"",LEN('CF_I'!H110)&gt;34),1,0)</f>
        <v/>
      </c>
      <c r="I110">
        <f>IF(AND('CF_I'!I110&lt;&gt;"",COUNTIF(CL_TIPO_RELACION_ACREDITADO,'CF_I'!I110)=0),1,0)</f>
        <v/>
      </c>
    </row>
    <row r="111">
      <c r="A111">
        <f>IF(AND('CF_I'!A111&lt;&gt;"",COUNTIF(CL_TIPO_OPERACION_CF_I,'CF_I'!A111)=0),1,0)</f>
        <v/>
      </c>
      <c r="B111">
        <f>IF(AND('CF_I'!B111&lt;&gt;"",COUNTIF(CL_TIPO_FONDEO_CF_I,'CF_I'!B111)=0),1,0)</f>
        <v/>
      </c>
      <c r="C111">
        <f>IF(AND('CF_I'!C111&lt;&gt;"",NOT(ISNUMBER('CF_I'!C111))),1,0)</f>
        <v/>
      </c>
      <c r="D111">
        <f>IF(AND('CF_I'!D111&lt;&gt;"",NOT(ISNUMBER('CF_I'!D111))),1,0)</f>
        <v/>
      </c>
      <c r="E111">
        <f>IF(AND('CF_I'!E111&lt;&gt;"",IF(ISNUMBER('CF_I'!E111),OR('CF_I'!E111&lt;&gt;INT('CF_I'!E111),LEN(TEXT(ABS('CF_I'!E111),"0"))&gt;12),TRUE)),1,0)</f>
        <v/>
      </c>
      <c r="F111">
        <f>IF(AND('CF_I'!F111&lt;&gt;"",OR(LEN('CF_I'!F111)&gt;3,COUNTIF(CL_MONEDA_ISO,'CF_I'!F111)=0)),1,0)</f>
        <v/>
      </c>
      <c r="G111">
        <f>IF(AND('CF_I'!G111&lt;&gt;"",LEN('CF_I'!G111)&gt;6),1,0)</f>
        <v/>
      </c>
      <c r="H111">
        <f>IF(AND('CF_I'!H111&lt;&gt;"",LEN('CF_I'!H111)&gt;34),1,0)</f>
        <v/>
      </c>
      <c r="I111">
        <f>IF(AND('CF_I'!I111&lt;&gt;"",COUNTIF(CL_TIPO_RELACION_ACREDITADO,'CF_I'!I111)=0),1,0)</f>
        <v/>
      </c>
    </row>
    <row r="112">
      <c r="A112">
        <f>IF(AND('CF_I'!A112&lt;&gt;"",COUNTIF(CL_TIPO_OPERACION_CF_I,'CF_I'!A112)=0),1,0)</f>
        <v/>
      </c>
      <c r="B112">
        <f>IF(AND('CF_I'!B112&lt;&gt;"",COUNTIF(CL_TIPO_FONDEO_CF_I,'CF_I'!B112)=0),1,0)</f>
        <v/>
      </c>
      <c r="C112">
        <f>IF(AND('CF_I'!C112&lt;&gt;"",NOT(ISNUMBER('CF_I'!C112))),1,0)</f>
        <v/>
      </c>
      <c r="D112">
        <f>IF(AND('CF_I'!D112&lt;&gt;"",NOT(ISNUMBER('CF_I'!D112))),1,0)</f>
        <v/>
      </c>
      <c r="E112">
        <f>IF(AND('CF_I'!E112&lt;&gt;"",IF(ISNUMBER('CF_I'!E112),OR('CF_I'!E112&lt;&gt;INT('CF_I'!E112),LEN(TEXT(ABS('CF_I'!E112),"0"))&gt;12),TRUE)),1,0)</f>
        <v/>
      </c>
      <c r="F112">
        <f>IF(AND('CF_I'!F112&lt;&gt;"",OR(LEN('CF_I'!F112)&gt;3,COUNTIF(CL_MONEDA_ISO,'CF_I'!F112)=0)),1,0)</f>
        <v/>
      </c>
      <c r="G112">
        <f>IF(AND('CF_I'!G112&lt;&gt;"",LEN('CF_I'!G112)&gt;6),1,0)</f>
        <v/>
      </c>
      <c r="H112">
        <f>IF(AND('CF_I'!H112&lt;&gt;"",LEN('CF_I'!H112)&gt;34),1,0)</f>
        <v/>
      </c>
      <c r="I112">
        <f>IF(AND('CF_I'!I112&lt;&gt;"",COUNTIF(CL_TIPO_RELACION_ACREDITADO,'CF_I'!I112)=0),1,0)</f>
        <v/>
      </c>
    </row>
    <row r="113">
      <c r="A113">
        <f>IF(AND('CF_I'!A113&lt;&gt;"",COUNTIF(CL_TIPO_OPERACION_CF_I,'CF_I'!A113)=0),1,0)</f>
        <v/>
      </c>
      <c r="B113">
        <f>IF(AND('CF_I'!B113&lt;&gt;"",COUNTIF(CL_TIPO_FONDEO_CF_I,'CF_I'!B113)=0),1,0)</f>
        <v/>
      </c>
      <c r="C113">
        <f>IF(AND('CF_I'!C113&lt;&gt;"",NOT(ISNUMBER('CF_I'!C113))),1,0)</f>
        <v/>
      </c>
      <c r="D113">
        <f>IF(AND('CF_I'!D113&lt;&gt;"",NOT(ISNUMBER('CF_I'!D113))),1,0)</f>
        <v/>
      </c>
      <c r="E113">
        <f>IF(AND('CF_I'!E113&lt;&gt;"",IF(ISNUMBER('CF_I'!E113),OR('CF_I'!E113&lt;&gt;INT('CF_I'!E113),LEN(TEXT(ABS('CF_I'!E113),"0"))&gt;12),TRUE)),1,0)</f>
        <v/>
      </c>
      <c r="F113">
        <f>IF(AND('CF_I'!F113&lt;&gt;"",OR(LEN('CF_I'!F113)&gt;3,COUNTIF(CL_MONEDA_ISO,'CF_I'!F113)=0)),1,0)</f>
        <v/>
      </c>
      <c r="G113">
        <f>IF(AND('CF_I'!G113&lt;&gt;"",LEN('CF_I'!G113)&gt;6),1,0)</f>
        <v/>
      </c>
      <c r="H113">
        <f>IF(AND('CF_I'!H113&lt;&gt;"",LEN('CF_I'!H113)&gt;34),1,0)</f>
        <v/>
      </c>
      <c r="I113">
        <f>IF(AND('CF_I'!I113&lt;&gt;"",COUNTIF(CL_TIPO_RELACION_ACREDITADO,'CF_I'!I113)=0),1,0)</f>
        <v/>
      </c>
    </row>
    <row r="114">
      <c r="A114">
        <f>IF(AND('CF_I'!A114&lt;&gt;"",COUNTIF(CL_TIPO_OPERACION_CF_I,'CF_I'!A114)=0),1,0)</f>
        <v/>
      </c>
      <c r="B114">
        <f>IF(AND('CF_I'!B114&lt;&gt;"",COUNTIF(CL_TIPO_FONDEO_CF_I,'CF_I'!B114)=0),1,0)</f>
        <v/>
      </c>
      <c r="C114">
        <f>IF(AND('CF_I'!C114&lt;&gt;"",NOT(ISNUMBER('CF_I'!C114))),1,0)</f>
        <v/>
      </c>
      <c r="D114">
        <f>IF(AND('CF_I'!D114&lt;&gt;"",NOT(ISNUMBER('CF_I'!D114))),1,0)</f>
        <v/>
      </c>
      <c r="E114">
        <f>IF(AND('CF_I'!E114&lt;&gt;"",IF(ISNUMBER('CF_I'!E114),OR('CF_I'!E114&lt;&gt;INT('CF_I'!E114),LEN(TEXT(ABS('CF_I'!E114),"0"))&gt;12),TRUE)),1,0)</f>
        <v/>
      </c>
      <c r="F114">
        <f>IF(AND('CF_I'!F114&lt;&gt;"",OR(LEN('CF_I'!F114)&gt;3,COUNTIF(CL_MONEDA_ISO,'CF_I'!F114)=0)),1,0)</f>
        <v/>
      </c>
      <c r="G114">
        <f>IF(AND('CF_I'!G114&lt;&gt;"",LEN('CF_I'!G114)&gt;6),1,0)</f>
        <v/>
      </c>
      <c r="H114">
        <f>IF(AND('CF_I'!H114&lt;&gt;"",LEN('CF_I'!H114)&gt;34),1,0)</f>
        <v/>
      </c>
      <c r="I114">
        <f>IF(AND('CF_I'!I114&lt;&gt;"",COUNTIF(CL_TIPO_RELACION_ACREDITADO,'CF_I'!I114)=0),1,0)</f>
        <v/>
      </c>
    </row>
    <row r="115">
      <c r="A115">
        <f>IF(AND('CF_I'!A115&lt;&gt;"",COUNTIF(CL_TIPO_OPERACION_CF_I,'CF_I'!A115)=0),1,0)</f>
        <v/>
      </c>
      <c r="B115">
        <f>IF(AND('CF_I'!B115&lt;&gt;"",COUNTIF(CL_TIPO_FONDEO_CF_I,'CF_I'!B115)=0),1,0)</f>
        <v/>
      </c>
      <c r="C115">
        <f>IF(AND('CF_I'!C115&lt;&gt;"",NOT(ISNUMBER('CF_I'!C115))),1,0)</f>
        <v/>
      </c>
      <c r="D115">
        <f>IF(AND('CF_I'!D115&lt;&gt;"",NOT(ISNUMBER('CF_I'!D115))),1,0)</f>
        <v/>
      </c>
      <c r="E115">
        <f>IF(AND('CF_I'!E115&lt;&gt;"",IF(ISNUMBER('CF_I'!E115),OR('CF_I'!E115&lt;&gt;INT('CF_I'!E115),LEN(TEXT(ABS('CF_I'!E115),"0"))&gt;12),TRUE)),1,0)</f>
        <v/>
      </c>
      <c r="F115">
        <f>IF(AND('CF_I'!F115&lt;&gt;"",OR(LEN('CF_I'!F115)&gt;3,COUNTIF(CL_MONEDA_ISO,'CF_I'!F115)=0)),1,0)</f>
        <v/>
      </c>
      <c r="G115">
        <f>IF(AND('CF_I'!G115&lt;&gt;"",LEN('CF_I'!G115)&gt;6),1,0)</f>
        <v/>
      </c>
      <c r="H115">
        <f>IF(AND('CF_I'!H115&lt;&gt;"",LEN('CF_I'!H115)&gt;34),1,0)</f>
        <v/>
      </c>
      <c r="I115">
        <f>IF(AND('CF_I'!I115&lt;&gt;"",COUNTIF(CL_TIPO_RELACION_ACREDITADO,'CF_I'!I115)=0),1,0)</f>
        <v/>
      </c>
    </row>
    <row r="116">
      <c r="A116">
        <f>IF(AND('CF_I'!A116&lt;&gt;"",COUNTIF(CL_TIPO_OPERACION_CF_I,'CF_I'!A116)=0),1,0)</f>
        <v/>
      </c>
      <c r="B116">
        <f>IF(AND('CF_I'!B116&lt;&gt;"",COUNTIF(CL_TIPO_FONDEO_CF_I,'CF_I'!B116)=0),1,0)</f>
        <v/>
      </c>
      <c r="C116">
        <f>IF(AND('CF_I'!C116&lt;&gt;"",NOT(ISNUMBER('CF_I'!C116))),1,0)</f>
        <v/>
      </c>
      <c r="D116">
        <f>IF(AND('CF_I'!D116&lt;&gt;"",NOT(ISNUMBER('CF_I'!D116))),1,0)</f>
        <v/>
      </c>
      <c r="E116">
        <f>IF(AND('CF_I'!E116&lt;&gt;"",IF(ISNUMBER('CF_I'!E116),OR('CF_I'!E116&lt;&gt;INT('CF_I'!E116),LEN(TEXT(ABS('CF_I'!E116),"0"))&gt;12),TRUE)),1,0)</f>
        <v/>
      </c>
      <c r="F116">
        <f>IF(AND('CF_I'!F116&lt;&gt;"",OR(LEN('CF_I'!F116)&gt;3,COUNTIF(CL_MONEDA_ISO,'CF_I'!F116)=0)),1,0)</f>
        <v/>
      </c>
      <c r="G116">
        <f>IF(AND('CF_I'!G116&lt;&gt;"",LEN('CF_I'!G116)&gt;6),1,0)</f>
        <v/>
      </c>
      <c r="H116">
        <f>IF(AND('CF_I'!H116&lt;&gt;"",LEN('CF_I'!H116)&gt;34),1,0)</f>
        <v/>
      </c>
      <c r="I116">
        <f>IF(AND('CF_I'!I116&lt;&gt;"",COUNTIF(CL_TIPO_RELACION_ACREDITADO,'CF_I'!I116)=0),1,0)</f>
        <v/>
      </c>
    </row>
    <row r="117">
      <c r="A117">
        <f>IF(AND('CF_I'!A117&lt;&gt;"",COUNTIF(CL_TIPO_OPERACION_CF_I,'CF_I'!A117)=0),1,0)</f>
        <v/>
      </c>
      <c r="B117">
        <f>IF(AND('CF_I'!B117&lt;&gt;"",COUNTIF(CL_TIPO_FONDEO_CF_I,'CF_I'!B117)=0),1,0)</f>
        <v/>
      </c>
      <c r="C117">
        <f>IF(AND('CF_I'!C117&lt;&gt;"",NOT(ISNUMBER('CF_I'!C117))),1,0)</f>
        <v/>
      </c>
      <c r="D117">
        <f>IF(AND('CF_I'!D117&lt;&gt;"",NOT(ISNUMBER('CF_I'!D117))),1,0)</f>
        <v/>
      </c>
      <c r="E117">
        <f>IF(AND('CF_I'!E117&lt;&gt;"",IF(ISNUMBER('CF_I'!E117),OR('CF_I'!E117&lt;&gt;INT('CF_I'!E117),LEN(TEXT(ABS('CF_I'!E117),"0"))&gt;12),TRUE)),1,0)</f>
        <v/>
      </c>
      <c r="F117">
        <f>IF(AND('CF_I'!F117&lt;&gt;"",OR(LEN('CF_I'!F117)&gt;3,COUNTIF(CL_MONEDA_ISO,'CF_I'!F117)=0)),1,0)</f>
        <v/>
      </c>
      <c r="G117">
        <f>IF(AND('CF_I'!G117&lt;&gt;"",LEN('CF_I'!G117)&gt;6),1,0)</f>
        <v/>
      </c>
      <c r="H117">
        <f>IF(AND('CF_I'!H117&lt;&gt;"",LEN('CF_I'!H117)&gt;34),1,0)</f>
        <v/>
      </c>
      <c r="I117">
        <f>IF(AND('CF_I'!I117&lt;&gt;"",COUNTIF(CL_TIPO_RELACION_ACREDITADO,'CF_I'!I117)=0),1,0)</f>
        <v/>
      </c>
    </row>
    <row r="118">
      <c r="A118">
        <f>IF(AND('CF_I'!A118&lt;&gt;"",COUNTIF(CL_TIPO_OPERACION_CF_I,'CF_I'!A118)=0),1,0)</f>
        <v/>
      </c>
      <c r="B118">
        <f>IF(AND('CF_I'!B118&lt;&gt;"",COUNTIF(CL_TIPO_FONDEO_CF_I,'CF_I'!B118)=0),1,0)</f>
        <v/>
      </c>
      <c r="C118">
        <f>IF(AND('CF_I'!C118&lt;&gt;"",NOT(ISNUMBER('CF_I'!C118))),1,0)</f>
        <v/>
      </c>
      <c r="D118">
        <f>IF(AND('CF_I'!D118&lt;&gt;"",NOT(ISNUMBER('CF_I'!D118))),1,0)</f>
        <v/>
      </c>
      <c r="E118">
        <f>IF(AND('CF_I'!E118&lt;&gt;"",IF(ISNUMBER('CF_I'!E118),OR('CF_I'!E118&lt;&gt;INT('CF_I'!E118),LEN(TEXT(ABS('CF_I'!E118),"0"))&gt;12),TRUE)),1,0)</f>
        <v/>
      </c>
      <c r="F118">
        <f>IF(AND('CF_I'!F118&lt;&gt;"",OR(LEN('CF_I'!F118)&gt;3,COUNTIF(CL_MONEDA_ISO,'CF_I'!F118)=0)),1,0)</f>
        <v/>
      </c>
      <c r="G118">
        <f>IF(AND('CF_I'!G118&lt;&gt;"",LEN('CF_I'!G118)&gt;6),1,0)</f>
        <v/>
      </c>
      <c r="H118">
        <f>IF(AND('CF_I'!H118&lt;&gt;"",LEN('CF_I'!H118)&gt;34),1,0)</f>
        <v/>
      </c>
      <c r="I118">
        <f>IF(AND('CF_I'!I118&lt;&gt;"",COUNTIF(CL_TIPO_RELACION_ACREDITADO,'CF_I'!I118)=0),1,0)</f>
        <v/>
      </c>
    </row>
    <row r="119">
      <c r="A119">
        <f>IF(AND('CF_I'!A119&lt;&gt;"",COUNTIF(CL_TIPO_OPERACION_CF_I,'CF_I'!A119)=0),1,0)</f>
        <v/>
      </c>
      <c r="B119">
        <f>IF(AND('CF_I'!B119&lt;&gt;"",COUNTIF(CL_TIPO_FONDEO_CF_I,'CF_I'!B119)=0),1,0)</f>
        <v/>
      </c>
      <c r="C119">
        <f>IF(AND('CF_I'!C119&lt;&gt;"",NOT(ISNUMBER('CF_I'!C119))),1,0)</f>
        <v/>
      </c>
      <c r="D119">
        <f>IF(AND('CF_I'!D119&lt;&gt;"",NOT(ISNUMBER('CF_I'!D119))),1,0)</f>
        <v/>
      </c>
      <c r="E119">
        <f>IF(AND('CF_I'!E119&lt;&gt;"",IF(ISNUMBER('CF_I'!E119),OR('CF_I'!E119&lt;&gt;INT('CF_I'!E119),LEN(TEXT(ABS('CF_I'!E119),"0"))&gt;12),TRUE)),1,0)</f>
        <v/>
      </c>
      <c r="F119">
        <f>IF(AND('CF_I'!F119&lt;&gt;"",OR(LEN('CF_I'!F119)&gt;3,COUNTIF(CL_MONEDA_ISO,'CF_I'!F119)=0)),1,0)</f>
        <v/>
      </c>
      <c r="G119">
        <f>IF(AND('CF_I'!G119&lt;&gt;"",LEN('CF_I'!G119)&gt;6),1,0)</f>
        <v/>
      </c>
      <c r="H119">
        <f>IF(AND('CF_I'!H119&lt;&gt;"",LEN('CF_I'!H119)&gt;34),1,0)</f>
        <v/>
      </c>
      <c r="I119">
        <f>IF(AND('CF_I'!I119&lt;&gt;"",COUNTIF(CL_TIPO_RELACION_ACREDITADO,'CF_I'!I119)=0),1,0)</f>
        <v/>
      </c>
    </row>
    <row r="120">
      <c r="A120">
        <f>IF(AND('CF_I'!A120&lt;&gt;"",COUNTIF(CL_TIPO_OPERACION_CF_I,'CF_I'!A120)=0),1,0)</f>
        <v/>
      </c>
      <c r="B120">
        <f>IF(AND('CF_I'!B120&lt;&gt;"",COUNTIF(CL_TIPO_FONDEO_CF_I,'CF_I'!B120)=0),1,0)</f>
        <v/>
      </c>
      <c r="C120">
        <f>IF(AND('CF_I'!C120&lt;&gt;"",NOT(ISNUMBER('CF_I'!C120))),1,0)</f>
        <v/>
      </c>
      <c r="D120">
        <f>IF(AND('CF_I'!D120&lt;&gt;"",NOT(ISNUMBER('CF_I'!D120))),1,0)</f>
        <v/>
      </c>
      <c r="E120">
        <f>IF(AND('CF_I'!E120&lt;&gt;"",IF(ISNUMBER('CF_I'!E120),OR('CF_I'!E120&lt;&gt;INT('CF_I'!E120),LEN(TEXT(ABS('CF_I'!E120),"0"))&gt;12),TRUE)),1,0)</f>
        <v/>
      </c>
      <c r="F120">
        <f>IF(AND('CF_I'!F120&lt;&gt;"",OR(LEN('CF_I'!F120)&gt;3,COUNTIF(CL_MONEDA_ISO,'CF_I'!F120)=0)),1,0)</f>
        <v/>
      </c>
      <c r="G120">
        <f>IF(AND('CF_I'!G120&lt;&gt;"",LEN('CF_I'!G120)&gt;6),1,0)</f>
        <v/>
      </c>
      <c r="H120">
        <f>IF(AND('CF_I'!H120&lt;&gt;"",LEN('CF_I'!H120)&gt;34),1,0)</f>
        <v/>
      </c>
      <c r="I120">
        <f>IF(AND('CF_I'!I120&lt;&gt;"",COUNTIF(CL_TIPO_RELACION_ACREDITADO,'CF_I'!I120)=0),1,0)</f>
        <v/>
      </c>
    </row>
    <row r="121">
      <c r="A121">
        <f>IF(AND('CF_I'!A121&lt;&gt;"",COUNTIF(CL_TIPO_OPERACION_CF_I,'CF_I'!A121)=0),1,0)</f>
        <v/>
      </c>
      <c r="B121">
        <f>IF(AND('CF_I'!B121&lt;&gt;"",COUNTIF(CL_TIPO_FONDEO_CF_I,'CF_I'!B121)=0),1,0)</f>
        <v/>
      </c>
      <c r="C121">
        <f>IF(AND('CF_I'!C121&lt;&gt;"",NOT(ISNUMBER('CF_I'!C121))),1,0)</f>
        <v/>
      </c>
      <c r="D121">
        <f>IF(AND('CF_I'!D121&lt;&gt;"",NOT(ISNUMBER('CF_I'!D121))),1,0)</f>
        <v/>
      </c>
      <c r="E121">
        <f>IF(AND('CF_I'!E121&lt;&gt;"",IF(ISNUMBER('CF_I'!E121),OR('CF_I'!E121&lt;&gt;INT('CF_I'!E121),LEN(TEXT(ABS('CF_I'!E121),"0"))&gt;12),TRUE)),1,0)</f>
        <v/>
      </c>
      <c r="F121">
        <f>IF(AND('CF_I'!F121&lt;&gt;"",OR(LEN('CF_I'!F121)&gt;3,COUNTIF(CL_MONEDA_ISO,'CF_I'!F121)=0)),1,0)</f>
        <v/>
      </c>
      <c r="G121">
        <f>IF(AND('CF_I'!G121&lt;&gt;"",LEN('CF_I'!G121)&gt;6),1,0)</f>
        <v/>
      </c>
      <c r="H121">
        <f>IF(AND('CF_I'!H121&lt;&gt;"",LEN('CF_I'!H121)&gt;34),1,0)</f>
        <v/>
      </c>
      <c r="I121">
        <f>IF(AND('CF_I'!I121&lt;&gt;"",COUNTIF(CL_TIPO_RELACION_ACREDITADO,'CF_I'!I121)=0),1,0)</f>
        <v/>
      </c>
    </row>
    <row r="122">
      <c r="A122">
        <f>IF(AND('CF_I'!A122&lt;&gt;"",COUNTIF(CL_TIPO_OPERACION_CF_I,'CF_I'!A122)=0),1,0)</f>
        <v/>
      </c>
      <c r="B122">
        <f>IF(AND('CF_I'!B122&lt;&gt;"",COUNTIF(CL_TIPO_FONDEO_CF_I,'CF_I'!B122)=0),1,0)</f>
        <v/>
      </c>
      <c r="C122">
        <f>IF(AND('CF_I'!C122&lt;&gt;"",NOT(ISNUMBER('CF_I'!C122))),1,0)</f>
        <v/>
      </c>
      <c r="D122">
        <f>IF(AND('CF_I'!D122&lt;&gt;"",NOT(ISNUMBER('CF_I'!D122))),1,0)</f>
        <v/>
      </c>
      <c r="E122">
        <f>IF(AND('CF_I'!E122&lt;&gt;"",IF(ISNUMBER('CF_I'!E122),OR('CF_I'!E122&lt;&gt;INT('CF_I'!E122),LEN(TEXT(ABS('CF_I'!E122),"0"))&gt;12),TRUE)),1,0)</f>
        <v/>
      </c>
      <c r="F122">
        <f>IF(AND('CF_I'!F122&lt;&gt;"",OR(LEN('CF_I'!F122)&gt;3,COUNTIF(CL_MONEDA_ISO,'CF_I'!F122)=0)),1,0)</f>
        <v/>
      </c>
      <c r="G122">
        <f>IF(AND('CF_I'!G122&lt;&gt;"",LEN('CF_I'!G122)&gt;6),1,0)</f>
        <v/>
      </c>
      <c r="H122">
        <f>IF(AND('CF_I'!H122&lt;&gt;"",LEN('CF_I'!H122)&gt;34),1,0)</f>
        <v/>
      </c>
      <c r="I122">
        <f>IF(AND('CF_I'!I122&lt;&gt;"",COUNTIF(CL_TIPO_RELACION_ACREDITADO,'CF_I'!I122)=0),1,0)</f>
        <v/>
      </c>
    </row>
    <row r="123">
      <c r="A123">
        <f>IF(AND('CF_I'!A123&lt;&gt;"",COUNTIF(CL_TIPO_OPERACION_CF_I,'CF_I'!A123)=0),1,0)</f>
        <v/>
      </c>
      <c r="B123">
        <f>IF(AND('CF_I'!B123&lt;&gt;"",COUNTIF(CL_TIPO_FONDEO_CF_I,'CF_I'!B123)=0),1,0)</f>
        <v/>
      </c>
      <c r="C123">
        <f>IF(AND('CF_I'!C123&lt;&gt;"",NOT(ISNUMBER('CF_I'!C123))),1,0)</f>
        <v/>
      </c>
      <c r="D123">
        <f>IF(AND('CF_I'!D123&lt;&gt;"",NOT(ISNUMBER('CF_I'!D123))),1,0)</f>
        <v/>
      </c>
      <c r="E123">
        <f>IF(AND('CF_I'!E123&lt;&gt;"",IF(ISNUMBER('CF_I'!E123),OR('CF_I'!E123&lt;&gt;INT('CF_I'!E123),LEN(TEXT(ABS('CF_I'!E123),"0"))&gt;12),TRUE)),1,0)</f>
        <v/>
      </c>
      <c r="F123">
        <f>IF(AND('CF_I'!F123&lt;&gt;"",OR(LEN('CF_I'!F123)&gt;3,COUNTIF(CL_MONEDA_ISO,'CF_I'!F123)=0)),1,0)</f>
        <v/>
      </c>
      <c r="G123">
        <f>IF(AND('CF_I'!G123&lt;&gt;"",LEN('CF_I'!G123)&gt;6),1,0)</f>
        <v/>
      </c>
      <c r="H123">
        <f>IF(AND('CF_I'!H123&lt;&gt;"",LEN('CF_I'!H123)&gt;34),1,0)</f>
        <v/>
      </c>
      <c r="I123">
        <f>IF(AND('CF_I'!I123&lt;&gt;"",COUNTIF(CL_TIPO_RELACION_ACREDITADO,'CF_I'!I123)=0),1,0)</f>
        <v/>
      </c>
    </row>
    <row r="124">
      <c r="A124">
        <f>IF(AND('CF_I'!A124&lt;&gt;"",COUNTIF(CL_TIPO_OPERACION_CF_I,'CF_I'!A124)=0),1,0)</f>
        <v/>
      </c>
      <c r="B124">
        <f>IF(AND('CF_I'!B124&lt;&gt;"",COUNTIF(CL_TIPO_FONDEO_CF_I,'CF_I'!B124)=0),1,0)</f>
        <v/>
      </c>
      <c r="C124">
        <f>IF(AND('CF_I'!C124&lt;&gt;"",NOT(ISNUMBER('CF_I'!C124))),1,0)</f>
        <v/>
      </c>
      <c r="D124">
        <f>IF(AND('CF_I'!D124&lt;&gt;"",NOT(ISNUMBER('CF_I'!D124))),1,0)</f>
        <v/>
      </c>
      <c r="E124">
        <f>IF(AND('CF_I'!E124&lt;&gt;"",IF(ISNUMBER('CF_I'!E124),OR('CF_I'!E124&lt;&gt;INT('CF_I'!E124),LEN(TEXT(ABS('CF_I'!E124),"0"))&gt;12),TRUE)),1,0)</f>
        <v/>
      </c>
      <c r="F124">
        <f>IF(AND('CF_I'!F124&lt;&gt;"",OR(LEN('CF_I'!F124)&gt;3,COUNTIF(CL_MONEDA_ISO,'CF_I'!F124)=0)),1,0)</f>
        <v/>
      </c>
      <c r="G124">
        <f>IF(AND('CF_I'!G124&lt;&gt;"",LEN('CF_I'!G124)&gt;6),1,0)</f>
        <v/>
      </c>
      <c r="H124">
        <f>IF(AND('CF_I'!H124&lt;&gt;"",LEN('CF_I'!H124)&gt;34),1,0)</f>
        <v/>
      </c>
      <c r="I124">
        <f>IF(AND('CF_I'!I124&lt;&gt;"",COUNTIF(CL_TIPO_RELACION_ACREDITADO,'CF_I'!I124)=0),1,0)</f>
        <v/>
      </c>
    </row>
    <row r="125">
      <c r="A125">
        <f>IF(AND('CF_I'!A125&lt;&gt;"",COUNTIF(CL_TIPO_OPERACION_CF_I,'CF_I'!A125)=0),1,0)</f>
        <v/>
      </c>
      <c r="B125">
        <f>IF(AND('CF_I'!B125&lt;&gt;"",COUNTIF(CL_TIPO_FONDEO_CF_I,'CF_I'!B125)=0),1,0)</f>
        <v/>
      </c>
      <c r="C125">
        <f>IF(AND('CF_I'!C125&lt;&gt;"",NOT(ISNUMBER('CF_I'!C125))),1,0)</f>
        <v/>
      </c>
      <c r="D125">
        <f>IF(AND('CF_I'!D125&lt;&gt;"",NOT(ISNUMBER('CF_I'!D125))),1,0)</f>
        <v/>
      </c>
      <c r="E125">
        <f>IF(AND('CF_I'!E125&lt;&gt;"",IF(ISNUMBER('CF_I'!E125),OR('CF_I'!E125&lt;&gt;INT('CF_I'!E125),LEN(TEXT(ABS('CF_I'!E125),"0"))&gt;12),TRUE)),1,0)</f>
        <v/>
      </c>
      <c r="F125">
        <f>IF(AND('CF_I'!F125&lt;&gt;"",OR(LEN('CF_I'!F125)&gt;3,COUNTIF(CL_MONEDA_ISO,'CF_I'!F125)=0)),1,0)</f>
        <v/>
      </c>
      <c r="G125">
        <f>IF(AND('CF_I'!G125&lt;&gt;"",LEN('CF_I'!G125)&gt;6),1,0)</f>
        <v/>
      </c>
      <c r="H125">
        <f>IF(AND('CF_I'!H125&lt;&gt;"",LEN('CF_I'!H125)&gt;34),1,0)</f>
        <v/>
      </c>
      <c r="I125">
        <f>IF(AND('CF_I'!I125&lt;&gt;"",COUNTIF(CL_TIPO_RELACION_ACREDITADO,'CF_I'!I125)=0),1,0)</f>
        <v/>
      </c>
    </row>
    <row r="126">
      <c r="A126">
        <f>IF(AND('CF_I'!A126&lt;&gt;"",COUNTIF(CL_TIPO_OPERACION_CF_I,'CF_I'!A126)=0),1,0)</f>
        <v/>
      </c>
      <c r="B126">
        <f>IF(AND('CF_I'!B126&lt;&gt;"",COUNTIF(CL_TIPO_FONDEO_CF_I,'CF_I'!B126)=0),1,0)</f>
        <v/>
      </c>
      <c r="C126">
        <f>IF(AND('CF_I'!C126&lt;&gt;"",NOT(ISNUMBER('CF_I'!C126))),1,0)</f>
        <v/>
      </c>
      <c r="D126">
        <f>IF(AND('CF_I'!D126&lt;&gt;"",NOT(ISNUMBER('CF_I'!D126))),1,0)</f>
        <v/>
      </c>
      <c r="E126">
        <f>IF(AND('CF_I'!E126&lt;&gt;"",IF(ISNUMBER('CF_I'!E126),OR('CF_I'!E126&lt;&gt;INT('CF_I'!E126),LEN(TEXT(ABS('CF_I'!E126),"0"))&gt;12),TRUE)),1,0)</f>
        <v/>
      </c>
      <c r="F126">
        <f>IF(AND('CF_I'!F126&lt;&gt;"",OR(LEN('CF_I'!F126)&gt;3,COUNTIF(CL_MONEDA_ISO,'CF_I'!F126)=0)),1,0)</f>
        <v/>
      </c>
      <c r="G126">
        <f>IF(AND('CF_I'!G126&lt;&gt;"",LEN('CF_I'!G126)&gt;6),1,0)</f>
        <v/>
      </c>
      <c r="H126">
        <f>IF(AND('CF_I'!H126&lt;&gt;"",LEN('CF_I'!H126)&gt;34),1,0)</f>
        <v/>
      </c>
      <c r="I126">
        <f>IF(AND('CF_I'!I126&lt;&gt;"",COUNTIF(CL_TIPO_RELACION_ACREDITADO,'CF_I'!I126)=0),1,0)</f>
        <v/>
      </c>
    </row>
    <row r="127">
      <c r="A127">
        <f>IF(AND('CF_I'!A127&lt;&gt;"",COUNTIF(CL_TIPO_OPERACION_CF_I,'CF_I'!A127)=0),1,0)</f>
        <v/>
      </c>
      <c r="B127">
        <f>IF(AND('CF_I'!B127&lt;&gt;"",COUNTIF(CL_TIPO_FONDEO_CF_I,'CF_I'!B127)=0),1,0)</f>
        <v/>
      </c>
      <c r="C127">
        <f>IF(AND('CF_I'!C127&lt;&gt;"",NOT(ISNUMBER('CF_I'!C127))),1,0)</f>
        <v/>
      </c>
      <c r="D127">
        <f>IF(AND('CF_I'!D127&lt;&gt;"",NOT(ISNUMBER('CF_I'!D127))),1,0)</f>
        <v/>
      </c>
      <c r="E127">
        <f>IF(AND('CF_I'!E127&lt;&gt;"",IF(ISNUMBER('CF_I'!E127),OR('CF_I'!E127&lt;&gt;INT('CF_I'!E127),LEN(TEXT(ABS('CF_I'!E127),"0"))&gt;12),TRUE)),1,0)</f>
        <v/>
      </c>
      <c r="F127">
        <f>IF(AND('CF_I'!F127&lt;&gt;"",OR(LEN('CF_I'!F127)&gt;3,COUNTIF(CL_MONEDA_ISO,'CF_I'!F127)=0)),1,0)</f>
        <v/>
      </c>
      <c r="G127">
        <f>IF(AND('CF_I'!G127&lt;&gt;"",LEN('CF_I'!G127)&gt;6),1,0)</f>
        <v/>
      </c>
      <c r="H127">
        <f>IF(AND('CF_I'!H127&lt;&gt;"",LEN('CF_I'!H127)&gt;34),1,0)</f>
        <v/>
      </c>
      <c r="I127">
        <f>IF(AND('CF_I'!I127&lt;&gt;"",COUNTIF(CL_TIPO_RELACION_ACREDITADO,'CF_I'!I127)=0),1,0)</f>
        <v/>
      </c>
    </row>
    <row r="128">
      <c r="A128">
        <f>IF(AND('CF_I'!A128&lt;&gt;"",COUNTIF(CL_TIPO_OPERACION_CF_I,'CF_I'!A128)=0),1,0)</f>
        <v/>
      </c>
      <c r="B128">
        <f>IF(AND('CF_I'!B128&lt;&gt;"",COUNTIF(CL_TIPO_FONDEO_CF_I,'CF_I'!B128)=0),1,0)</f>
        <v/>
      </c>
      <c r="C128">
        <f>IF(AND('CF_I'!C128&lt;&gt;"",NOT(ISNUMBER('CF_I'!C128))),1,0)</f>
        <v/>
      </c>
      <c r="D128">
        <f>IF(AND('CF_I'!D128&lt;&gt;"",NOT(ISNUMBER('CF_I'!D128))),1,0)</f>
        <v/>
      </c>
      <c r="E128">
        <f>IF(AND('CF_I'!E128&lt;&gt;"",IF(ISNUMBER('CF_I'!E128),OR('CF_I'!E128&lt;&gt;INT('CF_I'!E128),LEN(TEXT(ABS('CF_I'!E128),"0"))&gt;12),TRUE)),1,0)</f>
        <v/>
      </c>
      <c r="F128">
        <f>IF(AND('CF_I'!F128&lt;&gt;"",OR(LEN('CF_I'!F128)&gt;3,COUNTIF(CL_MONEDA_ISO,'CF_I'!F128)=0)),1,0)</f>
        <v/>
      </c>
      <c r="G128">
        <f>IF(AND('CF_I'!G128&lt;&gt;"",LEN('CF_I'!G128)&gt;6),1,0)</f>
        <v/>
      </c>
      <c r="H128">
        <f>IF(AND('CF_I'!H128&lt;&gt;"",LEN('CF_I'!H128)&gt;34),1,0)</f>
        <v/>
      </c>
      <c r="I128">
        <f>IF(AND('CF_I'!I128&lt;&gt;"",COUNTIF(CL_TIPO_RELACION_ACREDITADO,'CF_I'!I128)=0),1,0)</f>
        <v/>
      </c>
    </row>
    <row r="129">
      <c r="A129">
        <f>IF(AND('CF_I'!A129&lt;&gt;"",COUNTIF(CL_TIPO_OPERACION_CF_I,'CF_I'!A129)=0),1,0)</f>
        <v/>
      </c>
      <c r="B129">
        <f>IF(AND('CF_I'!B129&lt;&gt;"",COUNTIF(CL_TIPO_FONDEO_CF_I,'CF_I'!B129)=0),1,0)</f>
        <v/>
      </c>
      <c r="C129">
        <f>IF(AND('CF_I'!C129&lt;&gt;"",NOT(ISNUMBER('CF_I'!C129))),1,0)</f>
        <v/>
      </c>
      <c r="D129">
        <f>IF(AND('CF_I'!D129&lt;&gt;"",NOT(ISNUMBER('CF_I'!D129))),1,0)</f>
        <v/>
      </c>
      <c r="E129">
        <f>IF(AND('CF_I'!E129&lt;&gt;"",IF(ISNUMBER('CF_I'!E129),OR('CF_I'!E129&lt;&gt;INT('CF_I'!E129),LEN(TEXT(ABS('CF_I'!E129),"0"))&gt;12),TRUE)),1,0)</f>
        <v/>
      </c>
      <c r="F129">
        <f>IF(AND('CF_I'!F129&lt;&gt;"",OR(LEN('CF_I'!F129)&gt;3,COUNTIF(CL_MONEDA_ISO,'CF_I'!F129)=0)),1,0)</f>
        <v/>
      </c>
      <c r="G129">
        <f>IF(AND('CF_I'!G129&lt;&gt;"",LEN('CF_I'!G129)&gt;6),1,0)</f>
        <v/>
      </c>
      <c r="H129">
        <f>IF(AND('CF_I'!H129&lt;&gt;"",LEN('CF_I'!H129)&gt;34),1,0)</f>
        <v/>
      </c>
      <c r="I129">
        <f>IF(AND('CF_I'!I129&lt;&gt;"",COUNTIF(CL_TIPO_RELACION_ACREDITADO,'CF_I'!I129)=0),1,0)</f>
        <v/>
      </c>
    </row>
    <row r="130">
      <c r="A130">
        <f>IF(AND('CF_I'!A130&lt;&gt;"",COUNTIF(CL_TIPO_OPERACION_CF_I,'CF_I'!A130)=0),1,0)</f>
        <v/>
      </c>
      <c r="B130">
        <f>IF(AND('CF_I'!B130&lt;&gt;"",COUNTIF(CL_TIPO_FONDEO_CF_I,'CF_I'!B130)=0),1,0)</f>
        <v/>
      </c>
      <c r="C130">
        <f>IF(AND('CF_I'!C130&lt;&gt;"",NOT(ISNUMBER('CF_I'!C130))),1,0)</f>
        <v/>
      </c>
      <c r="D130">
        <f>IF(AND('CF_I'!D130&lt;&gt;"",NOT(ISNUMBER('CF_I'!D130))),1,0)</f>
        <v/>
      </c>
      <c r="E130">
        <f>IF(AND('CF_I'!E130&lt;&gt;"",IF(ISNUMBER('CF_I'!E130),OR('CF_I'!E130&lt;&gt;INT('CF_I'!E130),LEN(TEXT(ABS('CF_I'!E130),"0"))&gt;12),TRUE)),1,0)</f>
        <v/>
      </c>
      <c r="F130">
        <f>IF(AND('CF_I'!F130&lt;&gt;"",OR(LEN('CF_I'!F130)&gt;3,COUNTIF(CL_MONEDA_ISO,'CF_I'!F130)=0)),1,0)</f>
        <v/>
      </c>
      <c r="G130">
        <f>IF(AND('CF_I'!G130&lt;&gt;"",LEN('CF_I'!G130)&gt;6),1,0)</f>
        <v/>
      </c>
      <c r="H130">
        <f>IF(AND('CF_I'!H130&lt;&gt;"",LEN('CF_I'!H130)&gt;34),1,0)</f>
        <v/>
      </c>
      <c r="I130">
        <f>IF(AND('CF_I'!I130&lt;&gt;"",COUNTIF(CL_TIPO_RELACION_ACREDITADO,'CF_I'!I130)=0),1,0)</f>
        <v/>
      </c>
    </row>
    <row r="131">
      <c r="A131">
        <f>IF(AND('CF_I'!A131&lt;&gt;"",COUNTIF(CL_TIPO_OPERACION_CF_I,'CF_I'!A131)=0),1,0)</f>
        <v/>
      </c>
      <c r="B131">
        <f>IF(AND('CF_I'!B131&lt;&gt;"",COUNTIF(CL_TIPO_FONDEO_CF_I,'CF_I'!B131)=0),1,0)</f>
        <v/>
      </c>
      <c r="C131">
        <f>IF(AND('CF_I'!C131&lt;&gt;"",NOT(ISNUMBER('CF_I'!C131))),1,0)</f>
        <v/>
      </c>
      <c r="D131">
        <f>IF(AND('CF_I'!D131&lt;&gt;"",NOT(ISNUMBER('CF_I'!D131))),1,0)</f>
        <v/>
      </c>
      <c r="E131">
        <f>IF(AND('CF_I'!E131&lt;&gt;"",IF(ISNUMBER('CF_I'!E131),OR('CF_I'!E131&lt;&gt;INT('CF_I'!E131),LEN(TEXT(ABS('CF_I'!E131),"0"))&gt;12),TRUE)),1,0)</f>
        <v/>
      </c>
      <c r="F131">
        <f>IF(AND('CF_I'!F131&lt;&gt;"",OR(LEN('CF_I'!F131)&gt;3,COUNTIF(CL_MONEDA_ISO,'CF_I'!F131)=0)),1,0)</f>
        <v/>
      </c>
      <c r="G131">
        <f>IF(AND('CF_I'!G131&lt;&gt;"",LEN('CF_I'!G131)&gt;6),1,0)</f>
        <v/>
      </c>
      <c r="H131">
        <f>IF(AND('CF_I'!H131&lt;&gt;"",LEN('CF_I'!H131)&gt;34),1,0)</f>
        <v/>
      </c>
      <c r="I131">
        <f>IF(AND('CF_I'!I131&lt;&gt;"",COUNTIF(CL_TIPO_RELACION_ACREDITADO,'CF_I'!I131)=0),1,0)</f>
        <v/>
      </c>
    </row>
    <row r="132">
      <c r="A132">
        <f>IF(AND('CF_I'!A132&lt;&gt;"",COUNTIF(CL_TIPO_OPERACION_CF_I,'CF_I'!A132)=0),1,0)</f>
        <v/>
      </c>
      <c r="B132">
        <f>IF(AND('CF_I'!B132&lt;&gt;"",COUNTIF(CL_TIPO_FONDEO_CF_I,'CF_I'!B132)=0),1,0)</f>
        <v/>
      </c>
      <c r="C132">
        <f>IF(AND('CF_I'!C132&lt;&gt;"",NOT(ISNUMBER('CF_I'!C132))),1,0)</f>
        <v/>
      </c>
      <c r="D132">
        <f>IF(AND('CF_I'!D132&lt;&gt;"",NOT(ISNUMBER('CF_I'!D132))),1,0)</f>
        <v/>
      </c>
      <c r="E132">
        <f>IF(AND('CF_I'!E132&lt;&gt;"",IF(ISNUMBER('CF_I'!E132),OR('CF_I'!E132&lt;&gt;INT('CF_I'!E132),LEN(TEXT(ABS('CF_I'!E132),"0"))&gt;12),TRUE)),1,0)</f>
        <v/>
      </c>
      <c r="F132">
        <f>IF(AND('CF_I'!F132&lt;&gt;"",OR(LEN('CF_I'!F132)&gt;3,COUNTIF(CL_MONEDA_ISO,'CF_I'!F132)=0)),1,0)</f>
        <v/>
      </c>
      <c r="G132">
        <f>IF(AND('CF_I'!G132&lt;&gt;"",LEN('CF_I'!G132)&gt;6),1,0)</f>
        <v/>
      </c>
      <c r="H132">
        <f>IF(AND('CF_I'!H132&lt;&gt;"",LEN('CF_I'!H132)&gt;34),1,0)</f>
        <v/>
      </c>
      <c r="I132">
        <f>IF(AND('CF_I'!I132&lt;&gt;"",COUNTIF(CL_TIPO_RELACION_ACREDITADO,'CF_I'!I132)=0),1,0)</f>
        <v/>
      </c>
    </row>
    <row r="133">
      <c r="A133">
        <f>IF(AND('CF_I'!A133&lt;&gt;"",COUNTIF(CL_TIPO_OPERACION_CF_I,'CF_I'!A133)=0),1,0)</f>
        <v/>
      </c>
      <c r="B133">
        <f>IF(AND('CF_I'!B133&lt;&gt;"",COUNTIF(CL_TIPO_FONDEO_CF_I,'CF_I'!B133)=0),1,0)</f>
        <v/>
      </c>
      <c r="C133">
        <f>IF(AND('CF_I'!C133&lt;&gt;"",NOT(ISNUMBER('CF_I'!C133))),1,0)</f>
        <v/>
      </c>
      <c r="D133">
        <f>IF(AND('CF_I'!D133&lt;&gt;"",NOT(ISNUMBER('CF_I'!D133))),1,0)</f>
        <v/>
      </c>
      <c r="E133">
        <f>IF(AND('CF_I'!E133&lt;&gt;"",IF(ISNUMBER('CF_I'!E133),OR('CF_I'!E133&lt;&gt;INT('CF_I'!E133),LEN(TEXT(ABS('CF_I'!E133),"0"))&gt;12),TRUE)),1,0)</f>
        <v/>
      </c>
      <c r="F133">
        <f>IF(AND('CF_I'!F133&lt;&gt;"",OR(LEN('CF_I'!F133)&gt;3,COUNTIF(CL_MONEDA_ISO,'CF_I'!F133)=0)),1,0)</f>
        <v/>
      </c>
      <c r="G133">
        <f>IF(AND('CF_I'!G133&lt;&gt;"",LEN('CF_I'!G133)&gt;6),1,0)</f>
        <v/>
      </c>
      <c r="H133">
        <f>IF(AND('CF_I'!H133&lt;&gt;"",LEN('CF_I'!H133)&gt;34),1,0)</f>
        <v/>
      </c>
      <c r="I133">
        <f>IF(AND('CF_I'!I133&lt;&gt;"",COUNTIF(CL_TIPO_RELACION_ACREDITADO,'CF_I'!I133)=0),1,0)</f>
        <v/>
      </c>
    </row>
    <row r="134">
      <c r="A134">
        <f>IF(AND('CF_I'!A134&lt;&gt;"",COUNTIF(CL_TIPO_OPERACION_CF_I,'CF_I'!A134)=0),1,0)</f>
        <v/>
      </c>
      <c r="B134">
        <f>IF(AND('CF_I'!B134&lt;&gt;"",COUNTIF(CL_TIPO_FONDEO_CF_I,'CF_I'!B134)=0),1,0)</f>
        <v/>
      </c>
      <c r="C134">
        <f>IF(AND('CF_I'!C134&lt;&gt;"",NOT(ISNUMBER('CF_I'!C134))),1,0)</f>
        <v/>
      </c>
      <c r="D134">
        <f>IF(AND('CF_I'!D134&lt;&gt;"",NOT(ISNUMBER('CF_I'!D134))),1,0)</f>
        <v/>
      </c>
      <c r="E134">
        <f>IF(AND('CF_I'!E134&lt;&gt;"",IF(ISNUMBER('CF_I'!E134),OR('CF_I'!E134&lt;&gt;INT('CF_I'!E134),LEN(TEXT(ABS('CF_I'!E134),"0"))&gt;12),TRUE)),1,0)</f>
        <v/>
      </c>
      <c r="F134">
        <f>IF(AND('CF_I'!F134&lt;&gt;"",OR(LEN('CF_I'!F134)&gt;3,COUNTIF(CL_MONEDA_ISO,'CF_I'!F134)=0)),1,0)</f>
        <v/>
      </c>
      <c r="G134">
        <f>IF(AND('CF_I'!G134&lt;&gt;"",LEN('CF_I'!G134)&gt;6),1,0)</f>
        <v/>
      </c>
      <c r="H134">
        <f>IF(AND('CF_I'!H134&lt;&gt;"",LEN('CF_I'!H134)&gt;34),1,0)</f>
        <v/>
      </c>
      <c r="I134">
        <f>IF(AND('CF_I'!I134&lt;&gt;"",COUNTIF(CL_TIPO_RELACION_ACREDITADO,'CF_I'!I134)=0),1,0)</f>
        <v/>
      </c>
    </row>
    <row r="135">
      <c r="A135">
        <f>IF(AND('CF_I'!A135&lt;&gt;"",COUNTIF(CL_TIPO_OPERACION_CF_I,'CF_I'!A135)=0),1,0)</f>
        <v/>
      </c>
      <c r="B135">
        <f>IF(AND('CF_I'!B135&lt;&gt;"",COUNTIF(CL_TIPO_FONDEO_CF_I,'CF_I'!B135)=0),1,0)</f>
        <v/>
      </c>
      <c r="C135">
        <f>IF(AND('CF_I'!C135&lt;&gt;"",NOT(ISNUMBER('CF_I'!C135))),1,0)</f>
        <v/>
      </c>
      <c r="D135">
        <f>IF(AND('CF_I'!D135&lt;&gt;"",NOT(ISNUMBER('CF_I'!D135))),1,0)</f>
        <v/>
      </c>
      <c r="E135">
        <f>IF(AND('CF_I'!E135&lt;&gt;"",IF(ISNUMBER('CF_I'!E135),OR('CF_I'!E135&lt;&gt;INT('CF_I'!E135),LEN(TEXT(ABS('CF_I'!E135),"0"))&gt;12),TRUE)),1,0)</f>
        <v/>
      </c>
      <c r="F135">
        <f>IF(AND('CF_I'!F135&lt;&gt;"",OR(LEN('CF_I'!F135)&gt;3,COUNTIF(CL_MONEDA_ISO,'CF_I'!F135)=0)),1,0)</f>
        <v/>
      </c>
      <c r="G135">
        <f>IF(AND('CF_I'!G135&lt;&gt;"",LEN('CF_I'!G135)&gt;6),1,0)</f>
        <v/>
      </c>
      <c r="H135">
        <f>IF(AND('CF_I'!H135&lt;&gt;"",LEN('CF_I'!H135)&gt;34),1,0)</f>
        <v/>
      </c>
      <c r="I135">
        <f>IF(AND('CF_I'!I135&lt;&gt;"",COUNTIF(CL_TIPO_RELACION_ACREDITADO,'CF_I'!I135)=0),1,0)</f>
        <v/>
      </c>
    </row>
    <row r="136">
      <c r="A136">
        <f>IF(AND('CF_I'!A136&lt;&gt;"",COUNTIF(CL_TIPO_OPERACION_CF_I,'CF_I'!A136)=0),1,0)</f>
        <v/>
      </c>
      <c r="B136">
        <f>IF(AND('CF_I'!B136&lt;&gt;"",COUNTIF(CL_TIPO_FONDEO_CF_I,'CF_I'!B136)=0),1,0)</f>
        <v/>
      </c>
      <c r="C136">
        <f>IF(AND('CF_I'!C136&lt;&gt;"",NOT(ISNUMBER('CF_I'!C136))),1,0)</f>
        <v/>
      </c>
      <c r="D136">
        <f>IF(AND('CF_I'!D136&lt;&gt;"",NOT(ISNUMBER('CF_I'!D136))),1,0)</f>
        <v/>
      </c>
      <c r="E136">
        <f>IF(AND('CF_I'!E136&lt;&gt;"",IF(ISNUMBER('CF_I'!E136),OR('CF_I'!E136&lt;&gt;INT('CF_I'!E136),LEN(TEXT(ABS('CF_I'!E136),"0"))&gt;12),TRUE)),1,0)</f>
        <v/>
      </c>
      <c r="F136">
        <f>IF(AND('CF_I'!F136&lt;&gt;"",OR(LEN('CF_I'!F136)&gt;3,COUNTIF(CL_MONEDA_ISO,'CF_I'!F136)=0)),1,0)</f>
        <v/>
      </c>
      <c r="G136">
        <f>IF(AND('CF_I'!G136&lt;&gt;"",LEN('CF_I'!G136)&gt;6),1,0)</f>
        <v/>
      </c>
      <c r="H136">
        <f>IF(AND('CF_I'!H136&lt;&gt;"",LEN('CF_I'!H136)&gt;34),1,0)</f>
        <v/>
      </c>
      <c r="I136">
        <f>IF(AND('CF_I'!I136&lt;&gt;"",COUNTIF(CL_TIPO_RELACION_ACREDITADO,'CF_I'!I136)=0),1,0)</f>
        <v/>
      </c>
    </row>
    <row r="137">
      <c r="A137">
        <f>IF(AND('CF_I'!A137&lt;&gt;"",COUNTIF(CL_TIPO_OPERACION_CF_I,'CF_I'!A137)=0),1,0)</f>
        <v/>
      </c>
      <c r="B137">
        <f>IF(AND('CF_I'!B137&lt;&gt;"",COUNTIF(CL_TIPO_FONDEO_CF_I,'CF_I'!B137)=0),1,0)</f>
        <v/>
      </c>
      <c r="C137">
        <f>IF(AND('CF_I'!C137&lt;&gt;"",NOT(ISNUMBER('CF_I'!C137))),1,0)</f>
        <v/>
      </c>
      <c r="D137">
        <f>IF(AND('CF_I'!D137&lt;&gt;"",NOT(ISNUMBER('CF_I'!D137))),1,0)</f>
        <v/>
      </c>
      <c r="E137">
        <f>IF(AND('CF_I'!E137&lt;&gt;"",IF(ISNUMBER('CF_I'!E137),OR('CF_I'!E137&lt;&gt;INT('CF_I'!E137),LEN(TEXT(ABS('CF_I'!E137),"0"))&gt;12),TRUE)),1,0)</f>
        <v/>
      </c>
      <c r="F137">
        <f>IF(AND('CF_I'!F137&lt;&gt;"",OR(LEN('CF_I'!F137)&gt;3,COUNTIF(CL_MONEDA_ISO,'CF_I'!F137)=0)),1,0)</f>
        <v/>
      </c>
      <c r="G137">
        <f>IF(AND('CF_I'!G137&lt;&gt;"",LEN('CF_I'!G137)&gt;6),1,0)</f>
        <v/>
      </c>
      <c r="H137">
        <f>IF(AND('CF_I'!H137&lt;&gt;"",LEN('CF_I'!H137)&gt;34),1,0)</f>
        <v/>
      </c>
      <c r="I137">
        <f>IF(AND('CF_I'!I137&lt;&gt;"",COUNTIF(CL_TIPO_RELACION_ACREDITADO,'CF_I'!I137)=0),1,0)</f>
        <v/>
      </c>
    </row>
    <row r="138">
      <c r="A138">
        <f>IF(AND('CF_I'!A138&lt;&gt;"",COUNTIF(CL_TIPO_OPERACION_CF_I,'CF_I'!A138)=0),1,0)</f>
        <v/>
      </c>
      <c r="B138">
        <f>IF(AND('CF_I'!B138&lt;&gt;"",COUNTIF(CL_TIPO_FONDEO_CF_I,'CF_I'!B138)=0),1,0)</f>
        <v/>
      </c>
      <c r="C138">
        <f>IF(AND('CF_I'!C138&lt;&gt;"",NOT(ISNUMBER('CF_I'!C138))),1,0)</f>
        <v/>
      </c>
      <c r="D138">
        <f>IF(AND('CF_I'!D138&lt;&gt;"",NOT(ISNUMBER('CF_I'!D138))),1,0)</f>
        <v/>
      </c>
      <c r="E138">
        <f>IF(AND('CF_I'!E138&lt;&gt;"",IF(ISNUMBER('CF_I'!E138),OR('CF_I'!E138&lt;&gt;INT('CF_I'!E138),LEN(TEXT(ABS('CF_I'!E138),"0"))&gt;12),TRUE)),1,0)</f>
        <v/>
      </c>
      <c r="F138">
        <f>IF(AND('CF_I'!F138&lt;&gt;"",OR(LEN('CF_I'!F138)&gt;3,COUNTIF(CL_MONEDA_ISO,'CF_I'!F138)=0)),1,0)</f>
        <v/>
      </c>
      <c r="G138">
        <f>IF(AND('CF_I'!G138&lt;&gt;"",LEN('CF_I'!G138)&gt;6),1,0)</f>
        <v/>
      </c>
      <c r="H138">
        <f>IF(AND('CF_I'!H138&lt;&gt;"",LEN('CF_I'!H138)&gt;34),1,0)</f>
        <v/>
      </c>
      <c r="I138">
        <f>IF(AND('CF_I'!I138&lt;&gt;"",COUNTIF(CL_TIPO_RELACION_ACREDITADO,'CF_I'!I138)=0),1,0)</f>
        <v/>
      </c>
    </row>
    <row r="139">
      <c r="A139">
        <f>IF(AND('CF_I'!A139&lt;&gt;"",COUNTIF(CL_TIPO_OPERACION_CF_I,'CF_I'!A139)=0),1,0)</f>
        <v/>
      </c>
      <c r="B139">
        <f>IF(AND('CF_I'!B139&lt;&gt;"",COUNTIF(CL_TIPO_FONDEO_CF_I,'CF_I'!B139)=0),1,0)</f>
        <v/>
      </c>
      <c r="C139">
        <f>IF(AND('CF_I'!C139&lt;&gt;"",NOT(ISNUMBER('CF_I'!C139))),1,0)</f>
        <v/>
      </c>
      <c r="D139">
        <f>IF(AND('CF_I'!D139&lt;&gt;"",NOT(ISNUMBER('CF_I'!D139))),1,0)</f>
        <v/>
      </c>
      <c r="E139">
        <f>IF(AND('CF_I'!E139&lt;&gt;"",IF(ISNUMBER('CF_I'!E139),OR('CF_I'!E139&lt;&gt;INT('CF_I'!E139),LEN(TEXT(ABS('CF_I'!E139),"0"))&gt;12),TRUE)),1,0)</f>
        <v/>
      </c>
      <c r="F139">
        <f>IF(AND('CF_I'!F139&lt;&gt;"",OR(LEN('CF_I'!F139)&gt;3,COUNTIF(CL_MONEDA_ISO,'CF_I'!F139)=0)),1,0)</f>
        <v/>
      </c>
      <c r="G139">
        <f>IF(AND('CF_I'!G139&lt;&gt;"",LEN('CF_I'!G139)&gt;6),1,0)</f>
        <v/>
      </c>
      <c r="H139">
        <f>IF(AND('CF_I'!H139&lt;&gt;"",LEN('CF_I'!H139)&gt;34),1,0)</f>
        <v/>
      </c>
      <c r="I139">
        <f>IF(AND('CF_I'!I139&lt;&gt;"",COUNTIF(CL_TIPO_RELACION_ACREDITADO,'CF_I'!I139)=0),1,0)</f>
        <v/>
      </c>
    </row>
    <row r="140">
      <c r="A140">
        <f>IF(AND('CF_I'!A140&lt;&gt;"",COUNTIF(CL_TIPO_OPERACION_CF_I,'CF_I'!A140)=0),1,0)</f>
        <v/>
      </c>
      <c r="B140">
        <f>IF(AND('CF_I'!B140&lt;&gt;"",COUNTIF(CL_TIPO_FONDEO_CF_I,'CF_I'!B140)=0),1,0)</f>
        <v/>
      </c>
      <c r="C140">
        <f>IF(AND('CF_I'!C140&lt;&gt;"",NOT(ISNUMBER('CF_I'!C140))),1,0)</f>
        <v/>
      </c>
      <c r="D140">
        <f>IF(AND('CF_I'!D140&lt;&gt;"",NOT(ISNUMBER('CF_I'!D140))),1,0)</f>
        <v/>
      </c>
      <c r="E140">
        <f>IF(AND('CF_I'!E140&lt;&gt;"",IF(ISNUMBER('CF_I'!E140),OR('CF_I'!E140&lt;&gt;INT('CF_I'!E140),LEN(TEXT(ABS('CF_I'!E140),"0"))&gt;12),TRUE)),1,0)</f>
        <v/>
      </c>
      <c r="F140">
        <f>IF(AND('CF_I'!F140&lt;&gt;"",OR(LEN('CF_I'!F140)&gt;3,COUNTIF(CL_MONEDA_ISO,'CF_I'!F140)=0)),1,0)</f>
        <v/>
      </c>
      <c r="G140">
        <f>IF(AND('CF_I'!G140&lt;&gt;"",LEN('CF_I'!G140)&gt;6),1,0)</f>
        <v/>
      </c>
      <c r="H140">
        <f>IF(AND('CF_I'!H140&lt;&gt;"",LEN('CF_I'!H140)&gt;34),1,0)</f>
        <v/>
      </c>
      <c r="I140">
        <f>IF(AND('CF_I'!I140&lt;&gt;"",COUNTIF(CL_TIPO_RELACION_ACREDITADO,'CF_I'!I140)=0),1,0)</f>
        <v/>
      </c>
    </row>
    <row r="141">
      <c r="A141">
        <f>IF(AND('CF_I'!A141&lt;&gt;"",COUNTIF(CL_TIPO_OPERACION_CF_I,'CF_I'!A141)=0),1,0)</f>
        <v/>
      </c>
      <c r="B141">
        <f>IF(AND('CF_I'!B141&lt;&gt;"",COUNTIF(CL_TIPO_FONDEO_CF_I,'CF_I'!B141)=0),1,0)</f>
        <v/>
      </c>
      <c r="C141">
        <f>IF(AND('CF_I'!C141&lt;&gt;"",NOT(ISNUMBER('CF_I'!C141))),1,0)</f>
        <v/>
      </c>
      <c r="D141">
        <f>IF(AND('CF_I'!D141&lt;&gt;"",NOT(ISNUMBER('CF_I'!D141))),1,0)</f>
        <v/>
      </c>
      <c r="E141">
        <f>IF(AND('CF_I'!E141&lt;&gt;"",IF(ISNUMBER('CF_I'!E141),OR('CF_I'!E141&lt;&gt;INT('CF_I'!E141),LEN(TEXT(ABS('CF_I'!E141),"0"))&gt;12),TRUE)),1,0)</f>
        <v/>
      </c>
      <c r="F141">
        <f>IF(AND('CF_I'!F141&lt;&gt;"",OR(LEN('CF_I'!F141)&gt;3,COUNTIF(CL_MONEDA_ISO,'CF_I'!F141)=0)),1,0)</f>
        <v/>
      </c>
      <c r="G141">
        <f>IF(AND('CF_I'!G141&lt;&gt;"",LEN('CF_I'!G141)&gt;6),1,0)</f>
        <v/>
      </c>
      <c r="H141">
        <f>IF(AND('CF_I'!H141&lt;&gt;"",LEN('CF_I'!H141)&gt;34),1,0)</f>
        <v/>
      </c>
      <c r="I141">
        <f>IF(AND('CF_I'!I141&lt;&gt;"",COUNTIF(CL_TIPO_RELACION_ACREDITADO,'CF_I'!I141)=0),1,0)</f>
        <v/>
      </c>
    </row>
    <row r="142">
      <c r="A142">
        <f>IF(AND('CF_I'!A142&lt;&gt;"",COUNTIF(CL_TIPO_OPERACION_CF_I,'CF_I'!A142)=0),1,0)</f>
        <v/>
      </c>
      <c r="B142">
        <f>IF(AND('CF_I'!B142&lt;&gt;"",COUNTIF(CL_TIPO_FONDEO_CF_I,'CF_I'!B142)=0),1,0)</f>
        <v/>
      </c>
      <c r="C142">
        <f>IF(AND('CF_I'!C142&lt;&gt;"",NOT(ISNUMBER('CF_I'!C142))),1,0)</f>
        <v/>
      </c>
      <c r="D142">
        <f>IF(AND('CF_I'!D142&lt;&gt;"",NOT(ISNUMBER('CF_I'!D142))),1,0)</f>
        <v/>
      </c>
      <c r="E142">
        <f>IF(AND('CF_I'!E142&lt;&gt;"",IF(ISNUMBER('CF_I'!E142),OR('CF_I'!E142&lt;&gt;INT('CF_I'!E142),LEN(TEXT(ABS('CF_I'!E142),"0"))&gt;12),TRUE)),1,0)</f>
        <v/>
      </c>
      <c r="F142">
        <f>IF(AND('CF_I'!F142&lt;&gt;"",OR(LEN('CF_I'!F142)&gt;3,COUNTIF(CL_MONEDA_ISO,'CF_I'!F142)=0)),1,0)</f>
        <v/>
      </c>
      <c r="G142">
        <f>IF(AND('CF_I'!G142&lt;&gt;"",LEN('CF_I'!G142)&gt;6),1,0)</f>
        <v/>
      </c>
      <c r="H142">
        <f>IF(AND('CF_I'!H142&lt;&gt;"",LEN('CF_I'!H142)&gt;34),1,0)</f>
        <v/>
      </c>
      <c r="I142">
        <f>IF(AND('CF_I'!I142&lt;&gt;"",COUNTIF(CL_TIPO_RELACION_ACREDITADO,'CF_I'!I142)=0),1,0)</f>
        <v/>
      </c>
    </row>
    <row r="143">
      <c r="A143">
        <f>IF(AND('CF_I'!A143&lt;&gt;"",COUNTIF(CL_TIPO_OPERACION_CF_I,'CF_I'!A143)=0),1,0)</f>
        <v/>
      </c>
      <c r="B143">
        <f>IF(AND('CF_I'!B143&lt;&gt;"",COUNTIF(CL_TIPO_FONDEO_CF_I,'CF_I'!B143)=0),1,0)</f>
        <v/>
      </c>
      <c r="C143">
        <f>IF(AND('CF_I'!C143&lt;&gt;"",NOT(ISNUMBER('CF_I'!C143))),1,0)</f>
        <v/>
      </c>
      <c r="D143">
        <f>IF(AND('CF_I'!D143&lt;&gt;"",NOT(ISNUMBER('CF_I'!D143))),1,0)</f>
        <v/>
      </c>
      <c r="E143">
        <f>IF(AND('CF_I'!E143&lt;&gt;"",IF(ISNUMBER('CF_I'!E143),OR('CF_I'!E143&lt;&gt;INT('CF_I'!E143),LEN(TEXT(ABS('CF_I'!E143),"0"))&gt;12),TRUE)),1,0)</f>
        <v/>
      </c>
      <c r="F143">
        <f>IF(AND('CF_I'!F143&lt;&gt;"",OR(LEN('CF_I'!F143)&gt;3,COUNTIF(CL_MONEDA_ISO,'CF_I'!F143)=0)),1,0)</f>
        <v/>
      </c>
      <c r="G143">
        <f>IF(AND('CF_I'!G143&lt;&gt;"",LEN('CF_I'!G143)&gt;6),1,0)</f>
        <v/>
      </c>
      <c r="H143">
        <f>IF(AND('CF_I'!H143&lt;&gt;"",LEN('CF_I'!H143)&gt;34),1,0)</f>
        <v/>
      </c>
      <c r="I143">
        <f>IF(AND('CF_I'!I143&lt;&gt;"",COUNTIF(CL_TIPO_RELACION_ACREDITADO,'CF_I'!I143)=0),1,0)</f>
        <v/>
      </c>
    </row>
    <row r="144">
      <c r="A144">
        <f>IF(AND('CF_I'!A144&lt;&gt;"",COUNTIF(CL_TIPO_OPERACION_CF_I,'CF_I'!A144)=0),1,0)</f>
        <v/>
      </c>
      <c r="B144">
        <f>IF(AND('CF_I'!B144&lt;&gt;"",COUNTIF(CL_TIPO_FONDEO_CF_I,'CF_I'!B144)=0),1,0)</f>
        <v/>
      </c>
      <c r="C144">
        <f>IF(AND('CF_I'!C144&lt;&gt;"",NOT(ISNUMBER('CF_I'!C144))),1,0)</f>
        <v/>
      </c>
      <c r="D144">
        <f>IF(AND('CF_I'!D144&lt;&gt;"",NOT(ISNUMBER('CF_I'!D144))),1,0)</f>
        <v/>
      </c>
      <c r="E144">
        <f>IF(AND('CF_I'!E144&lt;&gt;"",IF(ISNUMBER('CF_I'!E144),OR('CF_I'!E144&lt;&gt;INT('CF_I'!E144),LEN(TEXT(ABS('CF_I'!E144),"0"))&gt;12),TRUE)),1,0)</f>
        <v/>
      </c>
      <c r="F144">
        <f>IF(AND('CF_I'!F144&lt;&gt;"",OR(LEN('CF_I'!F144)&gt;3,COUNTIF(CL_MONEDA_ISO,'CF_I'!F144)=0)),1,0)</f>
        <v/>
      </c>
      <c r="G144">
        <f>IF(AND('CF_I'!G144&lt;&gt;"",LEN('CF_I'!G144)&gt;6),1,0)</f>
        <v/>
      </c>
      <c r="H144">
        <f>IF(AND('CF_I'!H144&lt;&gt;"",LEN('CF_I'!H144)&gt;34),1,0)</f>
        <v/>
      </c>
      <c r="I144">
        <f>IF(AND('CF_I'!I144&lt;&gt;"",COUNTIF(CL_TIPO_RELACION_ACREDITADO,'CF_I'!I144)=0),1,0)</f>
        <v/>
      </c>
    </row>
    <row r="145">
      <c r="A145">
        <f>IF(AND('CF_I'!A145&lt;&gt;"",COUNTIF(CL_TIPO_OPERACION_CF_I,'CF_I'!A145)=0),1,0)</f>
        <v/>
      </c>
      <c r="B145">
        <f>IF(AND('CF_I'!B145&lt;&gt;"",COUNTIF(CL_TIPO_FONDEO_CF_I,'CF_I'!B145)=0),1,0)</f>
        <v/>
      </c>
      <c r="C145">
        <f>IF(AND('CF_I'!C145&lt;&gt;"",NOT(ISNUMBER('CF_I'!C145))),1,0)</f>
        <v/>
      </c>
      <c r="D145">
        <f>IF(AND('CF_I'!D145&lt;&gt;"",NOT(ISNUMBER('CF_I'!D145))),1,0)</f>
        <v/>
      </c>
      <c r="E145">
        <f>IF(AND('CF_I'!E145&lt;&gt;"",IF(ISNUMBER('CF_I'!E145),OR('CF_I'!E145&lt;&gt;INT('CF_I'!E145),LEN(TEXT(ABS('CF_I'!E145),"0"))&gt;12),TRUE)),1,0)</f>
        <v/>
      </c>
      <c r="F145">
        <f>IF(AND('CF_I'!F145&lt;&gt;"",OR(LEN('CF_I'!F145)&gt;3,COUNTIF(CL_MONEDA_ISO,'CF_I'!F145)=0)),1,0)</f>
        <v/>
      </c>
      <c r="G145">
        <f>IF(AND('CF_I'!G145&lt;&gt;"",LEN('CF_I'!G145)&gt;6),1,0)</f>
        <v/>
      </c>
      <c r="H145">
        <f>IF(AND('CF_I'!H145&lt;&gt;"",LEN('CF_I'!H145)&gt;34),1,0)</f>
        <v/>
      </c>
      <c r="I145">
        <f>IF(AND('CF_I'!I145&lt;&gt;"",COUNTIF(CL_TIPO_RELACION_ACREDITADO,'CF_I'!I145)=0),1,0)</f>
        <v/>
      </c>
    </row>
    <row r="146">
      <c r="A146">
        <f>IF(AND('CF_I'!A146&lt;&gt;"",COUNTIF(CL_TIPO_OPERACION_CF_I,'CF_I'!A146)=0),1,0)</f>
        <v/>
      </c>
      <c r="B146">
        <f>IF(AND('CF_I'!B146&lt;&gt;"",COUNTIF(CL_TIPO_FONDEO_CF_I,'CF_I'!B146)=0),1,0)</f>
        <v/>
      </c>
      <c r="C146">
        <f>IF(AND('CF_I'!C146&lt;&gt;"",NOT(ISNUMBER('CF_I'!C146))),1,0)</f>
        <v/>
      </c>
      <c r="D146">
        <f>IF(AND('CF_I'!D146&lt;&gt;"",NOT(ISNUMBER('CF_I'!D146))),1,0)</f>
        <v/>
      </c>
      <c r="E146">
        <f>IF(AND('CF_I'!E146&lt;&gt;"",IF(ISNUMBER('CF_I'!E146),OR('CF_I'!E146&lt;&gt;INT('CF_I'!E146),LEN(TEXT(ABS('CF_I'!E146),"0"))&gt;12),TRUE)),1,0)</f>
        <v/>
      </c>
      <c r="F146">
        <f>IF(AND('CF_I'!F146&lt;&gt;"",OR(LEN('CF_I'!F146)&gt;3,COUNTIF(CL_MONEDA_ISO,'CF_I'!F146)=0)),1,0)</f>
        <v/>
      </c>
      <c r="G146">
        <f>IF(AND('CF_I'!G146&lt;&gt;"",LEN('CF_I'!G146)&gt;6),1,0)</f>
        <v/>
      </c>
      <c r="H146">
        <f>IF(AND('CF_I'!H146&lt;&gt;"",LEN('CF_I'!H146)&gt;34),1,0)</f>
        <v/>
      </c>
      <c r="I146">
        <f>IF(AND('CF_I'!I146&lt;&gt;"",COUNTIF(CL_TIPO_RELACION_ACREDITADO,'CF_I'!I146)=0),1,0)</f>
        <v/>
      </c>
    </row>
    <row r="147">
      <c r="A147">
        <f>IF(AND('CF_I'!A147&lt;&gt;"",COUNTIF(CL_TIPO_OPERACION_CF_I,'CF_I'!A147)=0),1,0)</f>
        <v/>
      </c>
      <c r="B147">
        <f>IF(AND('CF_I'!B147&lt;&gt;"",COUNTIF(CL_TIPO_FONDEO_CF_I,'CF_I'!B147)=0),1,0)</f>
        <v/>
      </c>
      <c r="C147">
        <f>IF(AND('CF_I'!C147&lt;&gt;"",NOT(ISNUMBER('CF_I'!C147))),1,0)</f>
        <v/>
      </c>
      <c r="D147">
        <f>IF(AND('CF_I'!D147&lt;&gt;"",NOT(ISNUMBER('CF_I'!D147))),1,0)</f>
        <v/>
      </c>
      <c r="E147">
        <f>IF(AND('CF_I'!E147&lt;&gt;"",IF(ISNUMBER('CF_I'!E147),OR('CF_I'!E147&lt;&gt;INT('CF_I'!E147),LEN(TEXT(ABS('CF_I'!E147),"0"))&gt;12),TRUE)),1,0)</f>
        <v/>
      </c>
      <c r="F147">
        <f>IF(AND('CF_I'!F147&lt;&gt;"",OR(LEN('CF_I'!F147)&gt;3,COUNTIF(CL_MONEDA_ISO,'CF_I'!F147)=0)),1,0)</f>
        <v/>
      </c>
      <c r="G147">
        <f>IF(AND('CF_I'!G147&lt;&gt;"",LEN('CF_I'!G147)&gt;6),1,0)</f>
        <v/>
      </c>
      <c r="H147">
        <f>IF(AND('CF_I'!H147&lt;&gt;"",LEN('CF_I'!H147)&gt;34),1,0)</f>
        <v/>
      </c>
      <c r="I147">
        <f>IF(AND('CF_I'!I147&lt;&gt;"",COUNTIF(CL_TIPO_RELACION_ACREDITADO,'CF_I'!I147)=0),1,0)</f>
        <v/>
      </c>
    </row>
    <row r="148">
      <c r="A148">
        <f>IF(AND('CF_I'!A148&lt;&gt;"",COUNTIF(CL_TIPO_OPERACION_CF_I,'CF_I'!A148)=0),1,0)</f>
        <v/>
      </c>
      <c r="B148">
        <f>IF(AND('CF_I'!B148&lt;&gt;"",COUNTIF(CL_TIPO_FONDEO_CF_I,'CF_I'!B148)=0),1,0)</f>
        <v/>
      </c>
      <c r="C148">
        <f>IF(AND('CF_I'!C148&lt;&gt;"",NOT(ISNUMBER('CF_I'!C148))),1,0)</f>
        <v/>
      </c>
      <c r="D148">
        <f>IF(AND('CF_I'!D148&lt;&gt;"",NOT(ISNUMBER('CF_I'!D148))),1,0)</f>
        <v/>
      </c>
      <c r="E148">
        <f>IF(AND('CF_I'!E148&lt;&gt;"",IF(ISNUMBER('CF_I'!E148),OR('CF_I'!E148&lt;&gt;INT('CF_I'!E148),LEN(TEXT(ABS('CF_I'!E148),"0"))&gt;12),TRUE)),1,0)</f>
        <v/>
      </c>
      <c r="F148">
        <f>IF(AND('CF_I'!F148&lt;&gt;"",OR(LEN('CF_I'!F148)&gt;3,COUNTIF(CL_MONEDA_ISO,'CF_I'!F148)=0)),1,0)</f>
        <v/>
      </c>
      <c r="G148">
        <f>IF(AND('CF_I'!G148&lt;&gt;"",LEN('CF_I'!G148)&gt;6),1,0)</f>
        <v/>
      </c>
      <c r="H148">
        <f>IF(AND('CF_I'!H148&lt;&gt;"",LEN('CF_I'!H148)&gt;34),1,0)</f>
        <v/>
      </c>
      <c r="I148">
        <f>IF(AND('CF_I'!I148&lt;&gt;"",COUNTIF(CL_TIPO_RELACION_ACREDITADO,'CF_I'!I148)=0),1,0)</f>
        <v/>
      </c>
    </row>
    <row r="149">
      <c r="A149">
        <f>IF(AND('CF_I'!A149&lt;&gt;"",COUNTIF(CL_TIPO_OPERACION_CF_I,'CF_I'!A149)=0),1,0)</f>
        <v/>
      </c>
      <c r="B149">
        <f>IF(AND('CF_I'!B149&lt;&gt;"",COUNTIF(CL_TIPO_FONDEO_CF_I,'CF_I'!B149)=0),1,0)</f>
        <v/>
      </c>
      <c r="C149">
        <f>IF(AND('CF_I'!C149&lt;&gt;"",NOT(ISNUMBER('CF_I'!C149))),1,0)</f>
        <v/>
      </c>
      <c r="D149">
        <f>IF(AND('CF_I'!D149&lt;&gt;"",NOT(ISNUMBER('CF_I'!D149))),1,0)</f>
        <v/>
      </c>
      <c r="E149">
        <f>IF(AND('CF_I'!E149&lt;&gt;"",IF(ISNUMBER('CF_I'!E149),OR('CF_I'!E149&lt;&gt;INT('CF_I'!E149),LEN(TEXT(ABS('CF_I'!E149),"0"))&gt;12),TRUE)),1,0)</f>
        <v/>
      </c>
      <c r="F149">
        <f>IF(AND('CF_I'!F149&lt;&gt;"",OR(LEN('CF_I'!F149)&gt;3,COUNTIF(CL_MONEDA_ISO,'CF_I'!F149)=0)),1,0)</f>
        <v/>
      </c>
      <c r="G149">
        <f>IF(AND('CF_I'!G149&lt;&gt;"",LEN('CF_I'!G149)&gt;6),1,0)</f>
        <v/>
      </c>
      <c r="H149">
        <f>IF(AND('CF_I'!H149&lt;&gt;"",LEN('CF_I'!H149)&gt;34),1,0)</f>
        <v/>
      </c>
      <c r="I149">
        <f>IF(AND('CF_I'!I149&lt;&gt;"",COUNTIF(CL_TIPO_RELACION_ACREDITADO,'CF_I'!I149)=0),1,0)</f>
        <v/>
      </c>
    </row>
    <row r="150">
      <c r="A150">
        <f>IF(AND('CF_I'!A150&lt;&gt;"",COUNTIF(CL_TIPO_OPERACION_CF_I,'CF_I'!A150)=0),1,0)</f>
        <v/>
      </c>
      <c r="B150">
        <f>IF(AND('CF_I'!B150&lt;&gt;"",COUNTIF(CL_TIPO_FONDEO_CF_I,'CF_I'!B150)=0),1,0)</f>
        <v/>
      </c>
      <c r="C150">
        <f>IF(AND('CF_I'!C150&lt;&gt;"",NOT(ISNUMBER('CF_I'!C150))),1,0)</f>
        <v/>
      </c>
      <c r="D150">
        <f>IF(AND('CF_I'!D150&lt;&gt;"",NOT(ISNUMBER('CF_I'!D150))),1,0)</f>
        <v/>
      </c>
      <c r="E150">
        <f>IF(AND('CF_I'!E150&lt;&gt;"",IF(ISNUMBER('CF_I'!E150),OR('CF_I'!E150&lt;&gt;INT('CF_I'!E150),LEN(TEXT(ABS('CF_I'!E150),"0"))&gt;12),TRUE)),1,0)</f>
        <v/>
      </c>
      <c r="F150">
        <f>IF(AND('CF_I'!F150&lt;&gt;"",OR(LEN('CF_I'!F150)&gt;3,COUNTIF(CL_MONEDA_ISO,'CF_I'!F150)=0)),1,0)</f>
        <v/>
      </c>
      <c r="G150">
        <f>IF(AND('CF_I'!G150&lt;&gt;"",LEN('CF_I'!G150)&gt;6),1,0)</f>
        <v/>
      </c>
      <c r="H150">
        <f>IF(AND('CF_I'!H150&lt;&gt;"",LEN('CF_I'!H150)&gt;34),1,0)</f>
        <v/>
      </c>
      <c r="I150">
        <f>IF(AND('CF_I'!I150&lt;&gt;"",COUNTIF(CL_TIPO_RELACION_ACREDITADO,'CF_I'!I150)=0),1,0)</f>
        <v/>
      </c>
    </row>
    <row r="151">
      <c r="A151">
        <f>IF(AND('CF_I'!A151&lt;&gt;"",COUNTIF(CL_TIPO_OPERACION_CF_I,'CF_I'!A151)=0),1,0)</f>
        <v/>
      </c>
      <c r="B151">
        <f>IF(AND('CF_I'!B151&lt;&gt;"",COUNTIF(CL_TIPO_FONDEO_CF_I,'CF_I'!B151)=0),1,0)</f>
        <v/>
      </c>
      <c r="C151">
        <f>IF(AND('CF_I'!C151&lt;&gt;"",NOT(ISNUMBER('CF_I'!C151))),1,0)</f>
        <v/>
      </c>
      <c r="D151">
        <f>IF(AND('CF_I'!D151&lt;&gt;"",NOT(ISNUMBER('CF_I'!D151))),1,0)</f>
        <v/>
      </c>
      <c r="E151">
        <f>IF(AND('CF_I'!E151&lt;&gt;"",IF(ISNUMBER('CF_I'!E151),OR('CF_I'!E151&lt;&gt;INT('CF_I'!E151),LEN(TEXT(ABS('CF_I'!E151),"0"))&gt;12),TRUE)),1,0)</f>
        <v/>
      </c>
      <c r="F151">
        <f>IF(AND('CF_I'!F151&lt;&gt;"",OR(LEN('CF_I'!F151)&gt;3,COUNTIF(CL_MONEDA_ISO,'CF_I'!F151)=0)),1,0)</f>
        <v/>
      </c>
      <c r="G151">
        <f>IF(AND('CF_I'!G151&lt;&gt;"",LEN('CF_I'!G151)&gt;6),1,0)</f>
        <v/>
      </c>
      <c r="H151">
        <f>IF(AND('CF_I'!H151&lt;&gt;"",LEN('CF_I'!H151)&gt;34),1,0)</f>
        <v/>
      </c>
      <c r="I151">
        <f>IF(AND('CF_I'!I151&lt;&gt;"",COUNTIF(CL_TIPO_RELACION_ACREDITADO,'CF_I'!I151)=0),1,0)</f>
        <v/>
      </c>
    </row>
    <row r="152">
      <c r="A152">
        <f>IF(AND('CF_I'!A152&lt;&gt;"",COUNTIF(CL_TIPO_OPERACION_CF_I,'CF_I'!A152)=0),1,0)</f>
        <v/>
      </c>
      <c r="B152">
        <f>IF(AND('CF_I'!B152&lt;&gt;"",COUNTIF(CL_TIPO_FONDEO_CF_I,'CF_I'!B152)=0),1,0)</f>
        <v/>
      </c>
      <c r="C152">
        <f>IF(AND('CF_I'!C152&lt;&gt;"",NOT(ISNUMBER('CF_I'!C152))),1,0)</f>
        <v/>
      </c>
      <c r="D152">
        <f>IF(AND('CF_I'!D152&lt;&gt;"",NOT(ISNUMBER('CF_I'!D152))),1,0)</f>
        <v/>
      </c>
      <c r="E152">
        <f>IF(AND('CF_I'!E152&lt;&gt;"",IF(ISNUMBER('CF_I'!E152),OR('CF_I'!E152&lt;&gt;INT('CF_I'!E152),LEN(TEXT(ABS('CF_I'!E152),"0"))&gt;12),TRUE)),1,0)</f>
        <v/>
      </c>
      <c r="F152">
        <f>IF(AND('CF_I'!F152&lt;&gt;"",OR(LEN('CF_I'!F152)&gt;3,COUNTIF(CL_MONEDA_ISO,'CF_I'!F152)=0)),1,0)</f>
        <v/>
      </c>
      <c r="G152">
        <f>IF(AND('CF_I'!G152&lt;&gt;"",LEN('CF_I'!G152)&gt;6),1,0)</f>
        <v/>
      </c>
      <c r="H152">
        <f>IF(AND('CF_I'!H152&lt;&gt;"",LEN('CF_I'!H152)&gt;34),1,0)</f>
        <v/>
      </c>
      <c r="I152">
        <f>IF(AND('CF_I'!I152&lt;&gt;"",COUNTIF(CL_TIPO_RELACION_ACREDITADO,'CF_I'!I152)=0),1,0)</f>
        <v/>
      </c>
    </row>
    <row r="153">
      <c r="A153">
        <f>IF(AND('CF_I'!A153&lt;&gt;"",COUNTIF(CL_TIPO_OPERACION_CF_I,'CF_I'!A153)=0),1,0)</f>
        <v/>
      </c>
      <c r="B153">
        <f>IF(AND('CF_I'!B153&lt;&gt;"",COUNTIF(CL_TIPO_FONDEO_CF_I,'CF_I'!B153)=0),1,0)</f>
        <v/>
      </c>
      <c r="C153">
        <f>IF(AND('CF_I'!C153&lt;&gt;"",NOT(ISNUMBER('CF_I'!C153))),1,0)</f>
        <v/>
      </c>
      <c r="D153">
        <f>IF(AND('CF_I'!D153&lt;&gt;"",NOT(ISNUMBER('CF_I'!D153))),1,0)</f>
        <v/>
      </c>
      <c r="E153">
        <f>IF(AND('CF_I'!E153&lt;&gt;"",IF(ISNUMBER('CF_I'!E153),OR('CF_I'!E153&lt;&gt;INT('CF_I'!E153),LEN(TEXT(ABS('CF_I'!E153),"0"))&gt;12),TRUE)),1,0)</f>
        <v/>
      </c>
      <c r="F153">
        <f>IF(AND('CF_I'!F153&lt;&gt;"",OR(LEN('CF_I'!F153)&gt;3,COUNTIF(CL_MONEDA_ISO,'CF_I'!F153)=0)),1,0)</f>
        <v/>
      </c>
      <c r="G153">
        <f>IF(AND('CF_I'!G153&lt;&gt;"",LEN('CF_I'!G153)&gt;6),1,0)</f>
        <v/>
      </c>
      <c r="H153">
        <f>IF(AND('CF_I'!H153&lt;&gt;"",LEN('CF_I'!H153)&gt;34),1,0)</f>
        <v/>
      </c>
      <c r="I153">
        <f>IF(AND('CF_I'!I153&lt;&gt;"",COUNTIF(CL_TIPO_RELACION_ACREDITADO,'CF_I'!I153)=0),1,0)</f>
        <v/>
      </c>
    </row>
    <row r="154">
      <c r="A154">
        <f>IF(AND('CF_I'!A154&lt;&gt;"",COUNTIF(CL_TIPO_OPERACION_CF_I,'CF_I'!A154)=0),1,0)</f>
        <v/>
      </c>
      <c r="B154">
        <f>IF(AND('CF_I'!B154&lt;&gt;"",COUNTIF(CL_TIPO_FONDEO_CF_I,'CF_I'!B154)=0),1,0)</f>
        <v/>
      </c>
      <c r="C154">
        <f>IF(AND('CF_I'!C154&lt;&gt;"",NOT(ISNUMBER('CF_I'!C154))),1,0)</f>
        <v/>
      </c>
      <c r="D154">
        <f>IF(AND('CF_I'!D154&lt;&gt;"",NOT(ISNUMBER('CF_I'!D154))),1,0)</f>
        <v/>
      </c>
      <c r="E154">
        <f>IF(AND('CF_I'!E154&lt;&gt;"",IF(ISNUMBER('CF_I'!E154),OR('CF_I'!E154&lt;&gt;INT('CF_I'!E154),LEN(TEXT(ABS('CF_I'!E154),"0"))&gt;12),TRUE)),1,0)</f>
        <v/>
      </c>
      <c r="F154">
        <f>IF(AND('CF_I'!F154&lt;&gt;"",OR(LEN('CF_I'!F154)&gt;3,COUNTIF(CL_MONEDA_ISO,'CF_I'!F154)=0)),1,0)</f>
        <v/>
      </c>
      <c r="G154">
        <f>IF(AND('CF_I'!G154&lt;&gt;"",LEN('CF_I'!G154)&gt;6),1,0)</f>
        <v/>
      </c>
      <c r="H154">
        <f>IF(AND('CF_I'!H154&lt;&gt;"",LEN('CF_I'!H154)&gt;34),1,0)</f>
        <v/>
      </c>
      <c r="I154">
        <f>IF(AND('CF_I'!I154&lt;&gt;"",COUNTIF(CL_TIPO_RELACION_ACREDITADO,'CF_I'!I154)=0),1,0)</f>
        <v/>
      </c>
    </row>
    <row r="155">
      <c r="A155">
        <f>IF(AND('CF_I'!A155&lt;&gt;"",COUNTIF(CL_TIPO_OPERACION_CF_I,'CF_I'!A155)=0),1,0)</f>
        <v/>
      </c>
      <c r="B155">
        <f>IF(AND('CF_I'!B155&lt;&gt;"",COUNTIF(CL_TIPO_FONDEO_CF_I,'CF_I'!B155)=0),1,0)</f>
        <v/>
      </c>
      <c r="C155">
        <f>IF(AND('CF_I'!C155&lt;&gt;"",NOT(ISNUMBER('CF_I'!C155))),1,0)</f>
        <v/>
      </c>
      <c r="D155">
        <f>IF(AND('CF_I'!D155&lt;&gt;"",NOT(ISNUMBER('CF_I'!D155))),1,0)</f>
        <v/>
      </c>
      <c r="E155">
        <f>IF(AND('CF_I'!E155&lt;&gt;"",IF(ISNUMBER('CF_I'!E155),OR('CF_I'!E155&lt;&gt;INT('CF_I'!E155),LEN(TEXT(ABS('CF_I'!E155),"0"))&gt;12),TRUE)),1,0)</f>
        <v/>
      </c>
      <c r="F155">
        <f>IF(AND('CF_I'!F155&lt;&gt;"",OR(LEN('CF_I'!F155)&gt;3,COUNTIF(CL_MONEDA_ISO,'CF_I'!F155)=0)),1,0)</f>
        <v/>
      </c>
      <c r="G155">
        <f>IF(AND('CF_I'!G155&lt;&gt;"",LEN('CF_I'!G155)&gt;6),1,0)</f>
        <v/>
      </c>
      <c r="H155">
        <f>IF(AND('CF_I'!H155&lt;&gt;"",LEN('CF_I'!H155)&gt;34),1,0)</f>
        <v/>
      </c>
      <c r="I155">
        <f>IF(AND('CF_I'!I155&lt;&gt;"",COUNTIF(CL_TIPO_RELACION_ACREDITADO,'CF_I'!I155)=0),1,0)</f>
        <v/>
      </c>
    </row>
    <row r="156">
      <c r="A156">
        <f>IF(AND('CF_I'!A156&lt;&gt;"",COUNTIF(CL_TIPO_OPERACION_CF_I,'CF_I'!A156)=0),1,0)</f>
        <v/>
      </c>
      <c r="B156">
        <f>IF(AND('CF_I'!B156&lt;&gt;"",COUNTIF(CL_TIPO_FONDEO_CF_I,'CF_I'!B156)=0),1,0)</f>
        <v/>
      </c>
      <c r="C156">
        <f>IF(AND('CF_I'!C156&lt;&gt;"",NOT(ISNUMBER('CF_I'!C156))),1,0)</f>
        <v/>
      </c>
      <c r="D156">
        <f>IF(AND('CF_I'!D156&lt;&gt;"",NOT(ISNUMBER('CF_I'!D156))),1,0)</f>
        <v/>
      </c>
      <c r="E156">
        <f>IF(AND('CF_I'!E156&lt;&gt;"",IF(ISNUMBER('CF_I'!E156),OR('CF_I'!E156&lt;&gt;INT('CF_I'!E156),LEN(TEXT(ABS('CF_I'!E156),"0"))&gt;12),TRUE)),1,0)</f>
        <v/>
      </c>
      <c r="F156">
        <f>IF(AND('CF_I'!F156&lt;&gt;"",OR(LEN('CF_I'!F156)&gt;3,COUNTIF(CL_MONEDA_ISO,'CF_I'!F156)=0)),1,0)</f>
        <v/>
      </c>
      <c r="G156">
        <f>IF(AND('CF_I'!G156&lt;&gt;"",LEN('CF_I'!G156)&gt;6),1,0)</f>
        <v/>
      </c>
      <c r="H156">
        <f>IF(AND('CF_I'!H156&lt;&gt;"",LEN('CF_I'!H156)&gt;34),1,0)</f>
        <v/>
      </c>
      <c r="I156">
        <f>IF(AND('CF_I'!I156&lt;&gt;"",COUNTIF(CL_TIPO_RELACION_ACREDITADO,'CF_I'!I156)=0),1,0)</f>
        <v/>
      </c>
    </row>
    <row r="157">
      <c r="A157">
        <f>IF(AND('CF_I'!A157&lt;&gt;"",COUNTIF(CL_TIPO_OPERACION_CF_I,'CF_I'!A157)=0),1,0)</f>
        <v/>
      </c>
      <c r="B157">
        <f>IF(AND('CF_I'!B157&lt;&gt;"",COUNTIF(CL_TIPO_FONDEO_CF_I,'CF_I'!B157)=0),1,0)</f>
        <v/>
      </c>
      <c r="C157">
        <f>IF(AND('CF_I'!C157&lt;&gt;"",NOT(ISNUMBER('CF_I'!C157))),1,0)</f>
        <v/>
      </c>
      <c r="D157">
        <f>IF(AND('CF_I'!D157&lt;&gt;"",NOT(ISNUMBER('CF_I'!D157))),1,0)</f>
        <v/>
      </c>
      <c r="E157">
        <f>IF(AND('CF_I'!E157&lt;&gt;"",IF(ISNUMBER('CF_I'!E157),OR('CF_I'!E157&lt;&gt;INT('CF_I'!E157),LEN(TEXT(ABS('CF_I'!E157),"0"))&gt;12),TRUE)),1,0)</f>
        <v/>
      </c>
      <c r="F157">
        <f>IF(AND('CF_I'!F157&lt;&gt;"",OR(LEN('CF_I'!F157)&gt;3,COUNTIF(CL_MONEDA_ISO,'CF_I'!F157)=0)),1,0)</f>
        <v/>
      </c>
      <c r="G157">
        <f>IF(AND('CF_I'!G157&lt;&gt;"",LEN('CF_I'!G157)&gt;6),1,0)</f>
        <v/>
      </c>
      <c r="H157">
        <f>IF(AND('CF_I'!H157&lt;&gt;"",LEN('CF_I'!H157)&gt;34),1,0)</f>
        <v/>
      </c>
      <c r="I157">
        <f>IF(AND('CF_I'!I157&lt;&gt;"",COUNTIF(CL_TIPO_RELACION_ACREDITADO,'CF_I'!I157)=0),1,0)</f>
        <v/>
      </c>
    </row>
    <row r="158">
      <c r="A158">
        <f>IF(AND('CF_I'!A158&lt;&gt;"",COUNTIF(CL_TIPO_OPERACION_CF_I,'CF_I'!A158)=0),1,0)</f>
        <v/>
      </c>
      <c r="B158">
        <f>IF(AND('CF_I'!B158&lt;&gt;"",COUNTIF(CL_TIPO_FONDEO_CF_I,'CF_I'!B158)=0),1,0)</f>
        <v/>
      </c>
      <c r="C158">
        <f>IF(AND('CF_I'!C158&lt;&gt;"",NOT(ISNUMBER('CF_I'!C158))),1,0)</f>
        <v/>
      </c>
      <c r="D158">
        <f>IF(AND('CF_I'!D158&lt;&gt;"",NOT(ISNUMBER('CF_I'!D158))),1,0)</f>
        <v/>
      </c>
      <c r="E158">
        <f>IF(AND('CF_I'!E158&lt;&gt;"",IF(ISNUMBER('CF_I'!E158),OR('CF_I'!E158&lt;&gt;INT('CF_I'!E158),LEN(TEXT(ABS('CF_I'!E158),"0"))&gt;12),TRUE)),1,0)</f>
        <v/>
      </c>
      <c r="F158">
        <f>IF(AND('CF_I'!F158&lt;&gt;"",OR(LEN('CF_I'!F158)&gt;3,COUNTIF(CL_MONEDA_ISO,'CF_I'!F158)=0)),1,0)</f>
        <v/>
      </c>
      <c r="G158">
        <f>IF(AND('CF_I'!G158&lt;&gt;"",LEN('CF_I'!G158)&gt;6),1,0)</f>
        <v/>
      </c>
      <c r="H158">
        <f>IF(AND('CF_I'!H158&lt;&gt;"",LEN('CF_I'!H158)&gt;34),1,0)</f>
        <v/>
      </c>
      <c r="I158">
        <f>IF(AND('CF_I'!I158&lt;&gt;"",COUNTIF(CL_TIPO_RELACION_ACREDITADO,'CF_I'!I158)=0),1,0)</f>
        <v/>
      </c>
    </row>
    <row r="159">
      <c r="A159">
        <f>IF(AND('CF_I'!A159&lt;&gt;"",COUNTIF(CL_TIPO_OPERACION_CF_I,'CF_I'!A159)=0),1,0)</f>
        <v/>
      </c>
      <c r="B159">
        <f>IF(AND('CF_I'!B159&lt;&gt;"",COUNTIF(CL_TIPO_FONDEO_CF_I,'CF_I'!B159)=0),1,0)</f>
        <v/>
      </c>
      <c r="C159">
        <f>IF(AND('CF_I'!C159&lt;&gt;"",NOT(ISNUMBER('CF_I'!C159))),1,0)</f>
        <v/>
      </c>
      <c r="D159">
        <f>IF(AND('CF_I'!D159&lt;&gt;"",NOT(ISNUMBER('CF_I'!D159))),1,0)</f>
        <v/>
      </c>
      <c r="E159">
        <f>IF(AND('CF_I'!E159&lt;&gt;"",IF(ISNUMBER('CF_I'!E159),OR('CF_I'!E159&lt;&gt;INT('CF_I'!E159),LEN(TEXT(ABS('CF_I'!E159),"0"))&gt;12),TRUE)),1,0)</f>
        <v/>
      </c>
      <c r="F159">
        <f>IF(AND('CF_I'!F159&lt;&gt;"",OR(LEN('CF_I'!F159)&gt;3,COUNTIF(CL_MONEDA_ISO,'CF_I'!F159)=0)),1,0)</f>
        <v/>
      </c>
      <c r="G159">
        <f>IF(AND('CF_I'!G159&lt;&gt;"",LEN('CF_I'!G159)&gt;6),1,0)</f>
        <v/>
      </c>
      <c r="H159">
        <f>IF(AND('CF_I'!H159&lt;&gt;"",LEN('CF_I'!H159)&gt;34),1,0)</f>
        <v/>
      </c>
      <c r="I159">
        <f>IF(AND('CF_I'!I159&lt;&gt;"",COUNTIF(CL_TIPO_RELACION_ACREDITADO,'CF_I'!I159)=0),1,0)</f>
        <v/>
      </c>
    </row>
    <row r="160">
      <c r="A160">
        <f>IF(AND('CF_I'!A160&lt;&gt;"",COUNTIF(CL_TIPO_OPERACION_CF_I,'CF_I'!A160)=0),1,0)</f>
        <v/>
      </c>
      <c r="B160">
        <f>IF(AND('CF_I'!B160&lt;&gt;"",COUNTIF(CL_TIPO_FONDEO_CF_I,'CF_I'!B160)=0),1,0)</f>
        <v/>
      </c>
      <c r="C160">
        <f>IF(AND('CF_I'!C160&lt;&gt;"",NOT(ISNUMBER('CF_I'!C160))),1,0)</f>
        <v/>
      </c>
      <c r="D160">
        <f>IF(AND('CF_I'!D160&lt;&gt;"",NOT(ISNUMBER('CF_I'!D160))),1,0)</f>
        <v/>
      </c>
      <c r="E160">
        <f>IF(AND('CF_I'!E160&lt;&gt;"",IF(ISNUMBER('CF_I'!E160),OR('CF_I'!E160&lt;&gt;INT('CF_I'!E160),LEN(TEXT(ABS('CF_I'!E160),"0"))&gt;12),TRUE)),1,0)</f>
        <v/>
      </c>
      <c r="F160">
        <f>IF(AND('CF_I'!F160&lt;&gt;"",OR(LEN('CF_I'!F160)&gt;3,COUNTIF(CL_MONEDA_ISO,'CF_I'!F160)=0)),1,0)</f>
        <v/>
      </c>
      <c r="G160">
        <f>IF(AND('CF_I'!G160&lt;&gt;"",LEN('CF_I'!G160)&gt;6),1,0)</f>
        <v/>
      </c>
      <c r="H160">
        <f>IF(AND('CF_I'!H160&lt;&gt;"",LEN('CF_I'!H160)&gt;34),1,0)</f>
        <v/>
      </c>
      <c r="I160">
        <f>IF(AND('CF_I'!I160&lt;&gt;"",COUNTIF(CL_TIPO_RELACION_ACREDITADO,'CF_I'!I160)=0),1,0)</f>
        <v/>
      </c>
    </row>
    <row r="161">
      <c r="A161">
        <f>IF(AND('CF_I'!A161&lt;&gt;"",COUNTIF(CL_TIPO_OPERACION_CF_I,'CF_I'!A161)=0),1,0)</f>
        <v/>
      </c>
      <c r="B161">
        <f>IF(AND('CF_I'!B161&lt;&gt;"",COUNTIF(CL_TIPO_FONDEO_CF_I,'CF_I'!B161)=0),1,0)</f>
        <v/>
      </c>
      <c r="C161">
        <f>IF(AND('CF_I'!C161&lt;&gt;"",NOT(ISNUMBER('CF_I'!C161))),1,0)</f>
        <v/>
      </c>
      <c r="D161">
        <f>IF(AND('CF_I'!D161&lt;&gt;"",NOT(ISNUMBER('CF_I'!D161))),1,0)</f>
        <v/>
      </c>
      <c r="E161">
        <f>IF(AND('CF_I'!E161&lt;&gt;"",IF(ISNUMBER('CF_I'!E161),OR('CF_I'!E161&lt;&gt;INT('CF_I'!E161),LEN(TEXT(ABS('CF_I'!E161),"0"))&gt;12),TRUE)),1,0)</f>
        <v/>
      </c>
      <c r="F161">
        <f>IF(AND('CF_I'!F161&lt;&gt;"",OR(LEN('CF_I'!F161)&gt;3,COUNTIF(CL_MONEDA_ISO,'CF_I'!F161)=0)),1,0)</f>
        <v/>
      </c>
      <c r="G161">
        <f>IF(AND('CF_I'!G161&lt;&gt;"",LEN('CF_I'!G161)&gt;6),1,0)</f>
        <v/>
      </c>
      <c r="H161">
        <f>IF(AND('CF_I'!H161&lt;&gt;"",LEN('CF_I'!H161)&gt;34),1,0)</f>
        <v/>
      </c>
      <c r="I161">
        <f>IF(AND('CF_I'!I161&lt;&gt;"",COUNTIF(CL_TIPO_RELACION_ACREDITADO,'CF_I'!I161)=0),1,0)</f>
        <v/>
      </c>
    </row>
    <row r="162">
      <c r="A162">
        <f>IF(AND('CF_I'!A162&lt;&gt;"",COUNTIF(CL_TIPO_OPERACION_CF_I,'CF_I'!A162)=0),1,0)</f>
        <v/>
      </c>
      <c r="B162">
        <f>IF(AND('CF_I'!B162&lt;&gt;"",COUNTIF(CL_TIPO_FONDEO_CF_I,'CF_I'!B162)=0),1,0)</f>
        <v/>
      </c>
      <c r="C162">
        <f>IF(AND('CF_I'!C162&lt;&gt;"",NOT(ISNUMBER('CF_I'!C162))),1,0)</f>
        <v/>
      </c>
      <c r="D162">
        <f>IF(AND('CF_I'!D162&lt;&gt;"",NOT(ISNUMBER('CF_I'!D162))),1,0)</f>
        <v/>
      </c>
      <c r="E162">
        <f>IF(AND('CF_I'!E162&lt;&gt;"",IF(ISNUMBER('CF_I'!E162),OR('CF_I'!E162&lt;&gt;INT('CF_I'!E162),LEN(TEXT(ABS('CF_I'!E162),"0"))&gt;12),TRUE)),1,0)</f>
        <v/>
      </c>
      <c r="F162">
        <f>IF(AND('CF_I'!F162&lt;&gt;"",OR(LEN('CF_I'!F162)&gt;3,COUNTIF(CL_MONEDA_ISO,'CF_I'!F162)=0)),1,0)</f>
        <v/>
      </c>
      <c r="G162">
        <f>IF(AND('CF_I'!G162&lt;&gt;"",LEN('CF_I'!G162)&gt;6),1,0)</f>
        <v/>
      </c>
      <c r="H162">
        <f>IF(AND('CF_I'!H162&lt;&gt;"",LEN('CF_I'!H162)&gt;34),1,0)</f>
        <v/>
      </c>
      <c r="I162">
        <f>IF(AND('CF_I'!I162&lt;&gt;"",COUNTIF(CL_TIPO_RELACION_ACREDITADO,'CF_I'!I162)=0),1,0)</f>
        <v/>
      </c>
    </row>
    <row r="163">
      <c r="A163">
        <f>IF(AND('CF_I'!A163&lt;&gt;"",COUNTIF(CL_TIPO_OPERACION_CF_I,'CF_I'!A163)=0),1,0)</f>
        <v/>
      </c>
      <c r="B163">
        <f>IF(AND('CF_I'!B163&lt;&gt;"",COUNTIF(CL_TIPO_FONDEO_CF_I,'CF_I'!B163)=0),1,0)</f>
        <v/>
      </c>
      <c r="C163">
        <f>IF(AND('CF_I'!C163&lt;&gt;"",NOT(ISNUMBER('CF_I'!C163))),1,0)</f>
        <v/>
      </c>
      <c r="D163">
        <f>IF(AND('CF_I'!D163&lt;&gt;"",NOT(ISNUMBER('CF_I'!D163))),1,0)</f>
        <v/>
      </c>
      <c r="E163">
        <f>IF(AND('CF_I'!E163&lt;&gt;"",IF(ISNUMBER('CF_I'!E163),OR('CF_I'!E163&lt;&gt;INT('CF_I'!E163),LEN(TEXT(ABS('CF_I'!E163),"0"))&gt;12),TRUE)),1,0)</f>
        <v/>
      </c>
      <c r="F163">
        <f>IF(AND('CF_I'!F163&lt;&gt;"",OR(LEN('CF_I'!F163)&gt;3,COUNTIF(CL_MONEDA_ISO,'CF_I'!F163)=0)),1,0)</f>
        <v/>
      </c>
      <c r="G163">
        <f>IF(AND('CF_I'!G163&lt;&gt;"",LEN('CF_I'!G163)&gt;6),1,0)</f>
        <v/>
      </c>
      <c r="H163">
        <f>IF(AND('CF_I'!H163&lt;&gt;"",LEN('CF_I'!H163)&gt;34),1,0)</f>
        <v/>
      </c>
      <c r="I163">
        <f>IF(AND('CF_I'!I163&lt;&gt;"",COUNTIF(CL_TIPO_RELACION_ACREDITADO,'CF_I'!I163)=0),1,0)</f>
        <v/>
      </c>
    </row>
    <row r="164">
      <c r="A164">
        <f>IF(AND('CF_I'!A164&lt;&gt;"",COUNTIF(CL_TIPO_OPERACION_CF_I,'CF_I'!A164)=0),1,0)</f>
        <v/>
      </c>
      <c r="B164">
        <f>IF(AND('CF_I'!B164&lt;&gt;"",COUNTIF(CL_TIPO_FONDEO_CF_I,'CF_I'!B164)=0),1,0)</f>
        <v/>
      </c>
      <c r="C164">
        <f>IF(AND('CF_I'!C164&lt;&gt;"",NOT(ISNUMBER('CF_I'!C164))),1,0)</f>
        <v/>
      </c>
      <c r="D164">
        <f>IF(AND('CF_I'!D164&lt;&gt;"",NOT(ISNUMBER('CF_I'!D164))),1,0)</f>
        <v/>
      </c>
      <c r="E164">
        <f>IF(AND('CF_I'!E164&lt;&gt;"",IF(ISNUMBER('CF_I'!E164),OR('CF_I'!E164&lt;&gt;INT('CF_I'!E164),LEN(TEXT(ABS('CF_I'!E164),"0"))&gt;12),TRUE)),1,0)</f>
        <v/>
      </c>
      <c r="F164">
        <f>IF(AND('CF_I'!F164&lt;&gt;"",OR(LEN('CF_I'!F164)&gt;3,COUNTIF(CL_MONEDA_ISO,'CF_I'!F164)=0)),1,0)</f>
        <v/>
      </c>
      <c r="G164">
        <f>IF(AND('CF_I'!G164&lt;&gt;"",LEN('CF_I'!G164)&gt;6),1,0)</f>
        <v/>
      </c>
      <c r="H164">
        <f>IF(AND('CF_I'!H164&lt;&gt;"",LEN('CF_I'!H164)&gt;34),1,0)</f>
        <v/>
      </c>
      <c r="I164">
        <f>IF(AND('CF_I'!I164&lt;&gt;"",COUNTIF(CL_TIPO_RELACION_ACREDITADO,'CF_I'!I164)=0),1,0)</f>
        <v/>
      </c>
    </row>
    <row r="165">
      <c r="A165">
        <f>IF(AND('CF_I'!A165&lt;&gt;"",COUNTIF(CL_TIPO_OPERACION_CF_I,'CF_I'!A165)=0),1,0)</f>
        <v/>
      </c>
      <c r="B165">
        <f>IF(AND('CF_I'!B165&lt;&gt;"",COUNTIF(CL_TIPO_FONDEO_CF_I,'CF_I'!B165)=0),1,0)</f>
        <v/>
      </c>
      <c r="C165">
        <f>IF(AND('CF_I'!C165&lt;&gt;"",NOT(ISNUMBER('CF_I'!C165))),1,0)</f>
        <v/>
      </c>
      <c r="D165">
        <f>IF(AND('CF_I'!D165&lt;&gt;"",NOT(ISNUMBER('CF_I'!D165))),1,0)</f>
        <v/>
      </c>
      <c r="E165">
        <f>IF(AND('CF_I'!E165&lt;&gt;"",IF(ISNUMBER('CF_I'!E165),OR('CF_I'!E165&lt;&gt;INT('CF_I'!E165),LEN(TEXT(ABS('CF_I'!E165),"0"))&gt;12),TRUE)),1,0)</f>
        <v/>
      </c>
      <c r="F165">
        <f>IF(AND('CF_I'!F165&lt;&gt;"",OR(LEN('CF_I'!F165)&gt;3,COUNTIF(CL_MONEDA_ISO,'CF_I'!F165)=0)),1,0)</f>
        <v/>
      </c>
      <c r="G165">
        <f>IF(AND('CF_I'!G165&lt;&gt;"",LEN('CF_I'!G165)&gt;6),1,0)</f>
        <v/>
      </c>
      <c r="H165">
        <f>IF(AND('CF_I'!H165&lt;&gt;"",LEN('CF_I'!H165)&gt;34),1,0)</f>
        <v/>
      </c>
      <c r="I165">
        <f>IF(AND('CF_I'!I165&lt;&gt;"",COUNTIF(CL_TIPO_RELACION_ACREDITADO,'CF_I'!I165)=0),1,0)</f>
        <v/>
      </c>
    </row>
    <row r="166">
      <c r="A166">
        <f>IF(AND('CF_I'!A166&lt;&gt;"",COUNTIF(CL_TIPO_OPERACION_CF_I,'CF_I'!A166)=0),1,0)</f>
        <v/>
      </c>
      <c r="B166">
        <f>IF(AND('CF_I'!B166&lt;&gt;"",COUNTIF(CL_TIPO_FONDEO_CF_I,'CF_I'!B166)=0),1,0)</f>
        <v/>
      </c>
      <c r="C166">
        <f>IF(AND('CF_I'!C166&lt;&gt;"",NOT(ISNUMBER('CF_I'!C166))),1,0)</f>
        <v/>
      </c>
      <c r="D166">
        <f>IF(AND('CF_I'!D166&lt;&gt;"",NOT(ISNUMBER('CF_I'!D166))),1,0)</f>
        <v/>
      </c>
      <c r="E166">
        <f>IF(AND('CF_I'!E166&lt;&gt;"",IF(ISNUMBER('CF_I'!E166),OR('CF_I'!E166&lt;&gt;INT('CF_I'!E166),LEN(TEXT(ABS('CF_I'!E166),"0"))&gt;12),TRUE)),1,0)</f>
        <v/>
      </c>
      <c r="F166">
        <f>IF(AND('CF_I'!F166&lt;&gt;"",OR(LEN('CF_I'!F166)&gt;3,COUNTIF(CL_MONEDA_ISO,'CF_I'!F166)=0)),1,0)</f>
        <v/>
      </c>
      <c r="G166">
        <f>IF(AND('CF_I'!G166&lt;&gt;"",LEN('CF_I'!G166)&gt;6),1,0)</f>
        <v/>
      </c>
      <c r="H166">
        <f>IF(AND('CF_I'!H166&lt;&gt;"",LEN('CF_I'!H166)&gt;34),1,0)</f>
        <v/>
      </c>
      <c r="I166">
        <f>IF(AND('CF_I'!I166&lt;&gt;"",COUNTIF(CL_TIPO_RELACION_ACREDITADO,'CF_I'!I166)=0),1,0)</f>
        <v/>
      </c>
    </row>
    <row r="167">
      <c r="A167">
        <f>IF(AND('CF_I'!A167&lt;&gt;"",COUNTIF(CL_TIPO_OPERACION_CF_I,'CF_I'!A167)=0),1,0)</f>
        <v/>
      </c>
      <c r="B167">
        <f>IF(AND('CF_I'!B167&lt;&gt;"",COUNTIF(CL_TIPO_FONDEO_CF_I,'CF_I'!B167)=0),1,0)</f>
        <v/>
      </c>
      <c r="C167">
        <f>IF(AND('CF_I'!C167&lt;&gt;"",NOT(ISNUMBER('CF_I'!C167))),1,0)</f>
        <v/>
      </c>
      <c r="D167">
        <f>IF(AND('CF_I'!D167&lt;&gt;"",NOT(ISNUMBER('CF_I'!D167))),1,0)</f>
        <v/>
      </c>
      <c r="E167">
        <f>IF(AND('CF_I'!E167&lt;&gt;"",IF(ISNUMBER('CF_I'!E167),OR('CF_I'!E167&lt;&gt;INT('CF_I'!E167),LEN(TEXT(ABS('CF_I'!E167),"0"))&gt;12),TRUE)),1,0)</f>
        <v/>
      </c>
      <c r="F167">
        <f>IF(AND('CF_I'!F167&lt;&gt;"",OR(LEN('CF_I'!F167)&gt;3,COUNTIF(CL_MONEDA_ISO,'CF_I'!F167)=0)),1,0)</f>
        <v/>
      </c>
      <c r="G167">
        <f>IF(AND('CF_I'!G167&lt;&gt;"",LEN('CF_I'!G167)&gt;6),1,0)</f>
        <v/>
      </c>
      <c r="H167">
        <f>IF(AND('CF_I'!H167&lt;&gt;"",LEN('CF_I'!H167)&gt;34),1,0)</f>
        <v/>
      </c>
      <c r="I167">
        <f>IF(AND('CF_I'!I167&lt;&gt;"",COUNTIF(CL_TIPO_RELACION_ACREDITADO,'CF_I'!I167)=0),1,0)</f>
        <v/>
      </c>
    </row>
    <row r="168">
      <c r="A168">
        <f>IF(AND('CF_I'!A168&lt;&gt;"",COUNTIF(CL_TIPO_OPERACION_CF_I,'CF_I'!A168)=0),1,0)</f>
        <v/>
      </c>
      <c r="B168">
        <f>IF(AND('CF_I'!B168&lt;&gt;"",COUNTIF(CL_TIPO_FONDEO_CF_I,'CF_I'!B168)=0),1,0)</f>
        <v/>
      </c>
      <c r="C168">
        <f>IF(AND('CF_I'!C168&lt;&gt;"",NOT(ISNUMBER('CF_I'!C168))),1,0)</f>
        <v/>
      </c>
      <c r="D168">
        <f>IF(AND('CF_I'!D168&lt;&gt;"",NOT(ISNUMBER('CF_I'!D168))),1,0)</f>
        <v/>
      </c>
      <c r="E168">
        <f>IF(AND('CF_I'!E168&lt;&gt;"",IF(ISNUMBER('CF_I'!E168),OR('CF_I'!E168&lt;&gt;INT('CF_I'!E168),LEN(TEXT(ABS('CF_I'!E168),"0"))&gt;12),TRUE)),1,0)</f>
        <v/>
      </c>
      <c r="F168">
        <f>IF(AND('CF_I'!F168&lt;&gt;"",OR(LEN('CF_I'!F168)&gt;3,COUNTIF(CL_MONEDA_ISO,'CF_I'!F168)=0)),1,0)</f>
        <v/>
      </c>
      <c r="G168">
        <f>IF(AND('CF_I'!G168&lt;&gt;"",LEN('CF_I'!G168)&gt;6),1,0)</f>
        <v/>
      </c>
      <c r="H168">
        <f>IF(AND('CF_I'!H168&lt;&gt;"",LEN('CF_I'!H168)&gt;34),1,0)</f>
        <v/>
      </c>
      <c r="I168">
        <f>IF(AND('CF_I'!I168&lt;&gt;"",COUNTIF(CL_TIPO_RELACION_ACREDITADO,'CF_I'!I168)=0),1,0)</f>
        <v/>
      </c>
    </row>
    <row r="169">
      <c r="A169">
        <f>IF(AND('CF_I'!A169&lt;&gt;"",COUNTIF(CL_TIPO_OPERACION_CF_I,'CF_I'!A169)=0),1,0)</f>
        <v/>
      </c>
      <c r="B169">
        <f>IF(AND('CF_I'!B169&lt;&gt;"",COUNTIF(CL_TIPO_FONDEO_CF_I,'CF_I'!B169)=0),1,0)</f>
        <v/>
      </c>
      <c r="C169">
        <f>IF(AND('CF_I'!C169&lt;&gt;"",NOT(ISNUMBER('CF_I'!C169))),1,0)</f>
        <v/>
      </c>
      <c r="D169">
        <f>IF(AND('CF_I'!D169&lt;&gt;"",NOT(ISNUMBER('CF_I'!D169))),1,0)</f>
        <v/>
      </c>
      <c r="E169">
        <f>IF(AND('CF_I'!E169&lt;&gt;"",IF(ISNUMBER('CF_I'!E169),OR('CF_I'!E169&lt;&gt;INT('CF_I'!E169),LEN(TEXT(ABS('CF_I'!E169),"0"))&gt;12),TRUE)),1,0)</f>
        <v/>
      </c>
      <c r="F169">
        <f>IF(AND('CF_I'!F169&lt;&gt;"",OR(LEN('CF_I'!F169)&gt;3,COUNTIF(CL_MONEDA_ISO,'CF_I'!F169)=0)),1,0)</f>
        <v/>
      </c>
      <c r="G169">
        <f>IF(AND('CF_I'!G169&lt;&gt;"",LEN('CF_I'!G169)&gt;6),1,0)</f>
        <v/>
      </c>
      <c r="H169">
        <f>IF(AND('CF_I'!H169&lt;&gt;"",LEN('CF_I'!H169)&gt;34),1,0)</f>
        <v/>
      </c>
      <c r="I169">
        <f>IF(AND('CF_I'!I169&lt;&gt;"",COUNTIF(CL_TIPO_RELACION_ACREDITADO,'CF_I'!I169)=0),1,0)</f>
        <v/>
      </c>
    </row>
    <row r="170">
      <c r="A170">
        <f>IF(AND('CF_I'!A170&lt;&gt;"",COUNTIF(CL_TIPO_OPERACION_CF_I,'CF_I'!A170)=0),1,0)</f>
        <v/>
      </c>
      <c r="B170">
        <f>IF(AND('CF_I'!B170&lt;&gt;"",COUNTIF(CL_TIPO_FONDEO_CF_I,'CF_I'!B170)=0),1,0)</f>
        <v/>
      </c>
      <c r="C170">
        <f>IF(AND('CF_I'!C170&lt;&gt;"",NOT(ISNUMBER('CF_I'!C170))),1,0)</f>
        <v/>
      </c>
      <c r="D170">
        <f>IF(AND('CF_I'!D170&lt;&gt;"",NOT(ISNUMBER('CF_I'!D170))),1,0)</f>
        <v/>
      </c>
      <c r="E170">
        <f>IF(AND('CF_I'!E170&lt;&gt;"",IF(ISNUMBER('CF_I'!E170),OR('CF_I'!E170&lt;&gt;INT('CF_I'!E170),LEN(TEXT(ABS('CF_I'!E170),"0"))&gt;12),TRUE)),1,0)</f>
        <v/>
      </c>
      <c r="F170">
        <f>IF(AND('CF_I'!F170&lt;&gt;"",OR(LEN('CF_I'!F170)&gt;3,COUNTIF(CL_MONEDA_ISO,'CF_I'!F170)=0)),1,0)</f>
        <v/>
      </c>
      <c r="G170">
        <f>IF(AND('CF_I'!G170&lt;&gt;"",LEN('CF_I'!G170)&gt;6),1,0)</f>
        <v/>
      </c>
      <c r="H170">
        <f>IF(AND('CF_I'!H170&lt;&gt;"",LEN('CF_I'!H170)&gt;34),1,0)</f>
        <v/>
      </c>
      <c r="I170">
        <f>IF(AND('CF_I'!I170&lt;&gt;"",COUNTIF(CL_TIPO_RELACION_ACREDITADO,'CF_I'!I170)=0),1,0)</f>
        <v/>
      </c>
    </row>
    <row r="171">
      <c r="A171">
        <f>IF(AND('CF_I'!A171&lt;&gt;"",COUNTIF(CL_TIPO_OPERACION_CF_I,'CF_I'!A171)=0),1,0)</f>
        <v/>
      </c>
      <c r="B171">
        <f>IF(AND('CF_I'!B171&lt;&gt;"",COUNTIF(CL_TIPO_FONDEO_CF_I,'CF_I'!B171)=0),1,0)</f>
        <v/>
      </c>
      <c r="C171">
        <f>IF(AND('CF_I'!C171&lt;&gt;"",NOT(ISNUMBER('CF_I'!C171))),1,0)</f>
        <v/>
      </c>
      <c r="D171">
        <f>IF(AND('CF_I'!D171&lt;&gt;"",NOT(ISNUMBER('CF_I'!D171))),1,0)</f>
        <v/>
      </c>
      <c r="E171">
        <f>IF(AND('CF_I'!E171&lt;&gt;"",IF(ISNUMBER('CF_I'!E171),OR('CF_I'!E171&lt;&gt;INT('CF_I'!E171),LEN(TEXT(ABS('CF_I'!E171),"0"))&gt;12),TRUE)),1,0)</f>
        <v/>
      </c>
      <c r="F171">
        <f>IF(AND('CF_I'!F171&lt;&gt;"",OR(LEN('CF_I'!F171)&gt;3,COUNTIF(CL_MONEDA_ISO,'CF_I'!F171)=0)),1,0)</f>
        <v/>
      </c>
      <c r="G171">
        <f>IF(AND('CF_I'!G171&lt;&gt;"",LEN('CF_I'!G171)&gt;6),1,0)</f>
        <v/>
      </c>
      <c r="H171">
        <f>IF(AND('CF_I'!H171&lt;&gt;"",LEN('CF_I'!H171)&gt;34),1,0)</f>
        <v/>
      </c>
      <c r="I171">
        <f>IF(AND('CF_I'!I171&lt;&gt;"",COUNTIF(CL_TIPO_RELACION_ACREDITADO,'CF_I'!I171)=0),1,0)</f>
        <v/>
      </c>
    </row>
    <row r="172">
      <c r="A172">
        <f>IF(AND('CF_I'!A172&lt;&gt;"",COUNTIF(CL_TIPO_OPERACION_CF_I,'CF_I'!A172)=0),1,0)</f>
        <v/>
      </c>
      <c r="B172">
        <f>IF(AND('CF_I'!B172&lt;&gt;"",COUNTIF(CL_TIPO_FONDEO_CF_I,'CF_I'!B172)=0),1,0)</f>
        <v/>
      </c>
      <c r="C172">
        <f>IF(AND('CF_I'!C172&lt;&gt;"",NOT(ISNUMBER('CF_I'!C172))),1,0)</f>
        <v/>
      </c>
      <c r="D172">
        <f>IF(AND('CF_I'!D172&lt;&gt;"",NOT(ISNUMBER('CF_I'!D172))),1,0)</f>
        <v/>
      </c>
      <c r="E172">
        <f>IF(AND('CF_I'!E172&lt;&gt;"",IF(ISNUMBER('CF_I'!E172),OR('CF_I'!E172&lt;&gt;INT('CF_I'!E172),LEN(TEXT(ABS('CF_I'!E172),"0"))&gt;12),TRUE)),1,0)</f>
        <v/>
      </c>
      <c r="F172">
        <f>IF(AND('CF_I'!F172&lt;&gt;"",OR(LEN('CF_I'!F172)&gt;3,COUNTIF(CL_MONEDA_ISO,'CF_I'!F172)=0)),1,0)</f>
        <v/>
      </c>
      <c r="G172">
        <f>IF(AND('CF_I'!G172&lt;&gt;"",LEN('CF_I'!G172)&gt;6),1,0)</f>
        <v/>
      </c>
      <c r="H172">
        <f>IF(AND('CF_I'!H172&lt;&gt;"",LEN('CF_I'!H172)&gt;34),1,0)</f>
        <v/>
      </c>
      <c r="I172">
        <f>IF(AND('CF_I'!I172&lt;&gt;"",COUNTIF(CL_TIPO_RELACION_ACREDITADO,'CF_I'!I172)=0),1,0)</f>
        <v/>
      </c>
    </row>
    <row r="173">
      <c r="A173">
        <f>IF(AND('CF_I'!A173&lt;&gt;"",COUNTIF(CL_TIPO_OPERACION_CF_I,'CF_I'!A173)=0),1,0)</f>
        <v/>
      </c>
      <c r="B173">
        <f>IF(AND('CF_I'!B173&lt;&gt;"",COUNTIF(CL_TIPO_FONDEO_CF_I,'CF_I'!B173)=0),1,0)</f>
        <v/>
      </c>
      <c r="C173">
        <f>IF(AND('CF_I'!C173&lt;&gt;"",NOT(ISNUMBER('CF_I'!C173))),1,0)</f>
        <v/>
      </c>
      <c r="D173">
        <f>IF(AND('CF_I'!D173&lt;&gt;"",NOT(ISNUMBER('CF_I'!D173))),1,0)</f>
        <v/>
      </c>
      <c r="E173">
        <f>IF(AND('CF_I'!E173&lt;&gt;"",IF(ISNUMBER('CF_I'!E173),OR('CF_I'!E173&lt;&gt;INT('CF_I'!E173),LEN(TEXT(ABS('CF_I'!E173),"0"))&gt;12),TRUE)),1,0)</f>
        <v/>
      </c>
      <c r="F173">
        <f>IF(AND('CF_I'!F173&lt;&gt;"",OR(LEN('CF_I'!F173)&gt;3,COUNTIF(CL_MONEDA_ISO,'CF_I'!F173)=0)),1,0)</f>
        <v/>
      </c>
      <c r="G173">
        <f>IF(AND('CF_I'!G173&lt;&gt;"",LEN('CF_I'!G173)&gt;6),1,0)</f>
        <v/>
      </c>
      <c r="H173">
        <f>IF(AND('CF_I'!H173&lt;&gt;"",LEN('CF_I'!H173)&gt;34),1,0)</f>
        <v/>
      </c>
      <c r="I173">
        <f>IF(AND('CF_I'!I173&lt;&gt;"",COUNTIF(CL_TIPO_RELACION_ACREDITADO,'CF_I'!I173)=0),1,0)</f>
        <v/>
      </c>
    </row>
    <row r="174">
      <c r="A174">
        <f>IF(AND('CF_I'!A174&lt;&gt;"",COUNTIF(CL_TIPO_OPERACION_CF_I,'CF_I'!A174)=0),1,0)</f>
        <v/>
      </c>
      <c r="B174">
        <f>IF(AND('CF_I'!B174&lt;&gt;"",COUNTIF(CL_TIPO_FONDEO_CF_I,'CF_I'!B174)=0),1,0)</f>
        <v/>
      </c>
      <c r="C174">
        <f>IF(AND('CF_I'!C174&lt;&gt;"",NOT(ISNUMBER('CF_I'!C174))),1,0)</f>
        <v/>
      </c>
      <c r="D174">
        <f>IF(AND('CF_I'!D174&lt;&gt;"",NOT(ISNUMBER('CF_I'!D174))),1,0)</f>
        <v/>
      </c>
      <c r="E174">
        <f>IF(AND('CF_I'!E174&lt;&gt;"",IF(ISNUMBER('CF_I'!E174),OR('CF_I'!E174&lt;&gt;INT('CF_I'!E174),LEN(TEXT(ABS('CF_I'!E174),"0"))&gt;12),TRUE)),1,0)</f>
        <v/>
      </c>
      <c r="F174">
        <f>IF(AND('CF_I'!F174&lt;&gt;"",OR(LEN('CF_I'!F174)&gt;3,COUNTIF(CL_MONEDA_ISO,'CF_I'!F174)=0)),1,0)</f>
        <v/>
      </c>
      <c r="G174">
        <f>IF(AND('CF_I'!G174&lt;&gt;"",LEN('CF_I'!G174)&gt;6),1,0)</f>
        <v/>
      </c>
      <c r="H174">
        <f>IF(AND('CF_I'!H174&lt;&gt;"",LEN('CF_I'!H174)&gt;34),1,0)</f>
        <v/>
      </c>
      <c r="I174">
        <f>IF(AND('CF_I'!I174&lt;&gt;"",COUNTIF(CL_TIPO_RELACION_ACREDITADO,'CF_I'!I174)=0),1,0)</f>
        <v/>
      </c>
    </row>
    <row r="175">
      <c r="A175">
        <f>IF(AND('CF_I'!A175&lt;&gt;"",COUNTIF(CL_TIPO_OPERACION_CF_I,'CF_I'!A175)=0),1,0)</f>
        <v/>
      </c>
      <c r="B175">
        <f>IF(AND('CF_I'!B175&lt;&gt;"",COUNTIF(CL_TIPO_FONDEO_CF_I,'CF_I'!B175)=0),1,0)</f>
        <v/>
      </c>
      <c r="C175">
        <f>IF(AND('CF_I'!C175&lt;&gt;"",NOT(ISNUMBER('CF_I'!C175))),1,0)</f>
        <v/>
      </c>
      <c r="D175">
        <f>IF(AND('CF_I'!D175&lt;&gt;"",NOT(ISNUMBER('CF_I'!D175))),1,0)</f>
        <v/>
      </c>
      <c r="E175">
        <f>IF(AND('CF_I'!E175&lt;&gt;"",IF(ISNUMBER('CF_I'!E175),OR('CF_I'!E175&lt;&gt;INT('CF_I'!E175),LEN(TEXT(ABS('CF_I'!E175),"0"))&gt;12),TRUE)),1,0)</f>
        <v/>
      </c>
      <c r="F175">
        <f>IF(AND('CF_I'!F175&lt;&gt;"",OR(LEN('CF_I'!F175)&gt;3,COUNTIF(CL_MONEDA_ISO,'CF_I'!F175)=0)),1,0)</f>
        <v/>
      </c>
      <c r="G175">
        <f>IF(AND('CF_I'!G175&lt;&gt;"",LEN('CF_I'!G175)&gt;6),1,0)</f>
        <v/>
      </c>
      <c r="H175">
        <f>IF(AND('CF_I'!H175&lt;&gt;"",LEN('CF_I'!H175)&gt;34),1,0)</f>
        <v/>
      </c>
      <c r="I175">
        <f>IF(AND('CF_I'!I175&lt;&gt;"",COUNTIF(CL_TIPO_RELACION_ACREDITADO,'CF_I'!I175)=0),1,0)</f>
        <v/>
      </c>
    </row>
    <row r="176">
      <c r="A176">
        <f>IF(AND('CF_I'!A176&lt;&gt;"",COUNTIF(CL_TIPO_OPERACION_CF_I,'CF_I'!A176)=0),1,0)</f>
        <v/>
      </c>
      <c r="B176">
        <f>IF(AND('CF_I'!B176&lt;&gt;"",COUNTIF(CL_TIPO_FONDEO_CF_I,'CF_I'!B176)=0),1,0)</f>
        <v/>
      </c>
      <c r="C176">
        <f>IF(AND('CF_I'!C176&lt;&gt;"",NOT(ISNUMBER('CF_I'!C176))),1,0)</f>
        <v/>
      </c>
      <c r="D176">
        <f>IF(AND('CF_I'!D176&lt;&gt;"",NOT(ISNUMBER('CF_I'!D176))),1,0)</f>
        <v/>
      </c>
      <c r="E176">
        <f>IF(AND('CF_I'!E176&lt;&gt;"",IF(ISNUMBER('CF_I'!E176),OR('CF_I'!E176&lt;&gt;INT('CF_I'!E176),LEN(TEXT(ABS('CF_I'!E176),"0"))&gt;12),TRUE)),1,0)</f>
        <v/>
      </c>
      <c r="F176">
        <f>IF(AND('CF_I'!F176&lt;&gt;"",OR(LEN('CF_I'!F176)&gt;3,COUNTIF(CL_MONEDA_ISO,'CF_I'!F176)=0)),1,0)</f>
        <v/>
      </c>
      <c r="G176">
        <f>IF(AND('CF_I'!G176&lt;&gt;"",LEN('CF_I'!G176)&gt;6),1,0)</f>
        <v/>
      </c>
      <c r="H176">
        <f>IF(AND('CF_I'!H176&lt;&gt;"",LEN('CF_I'!H176)&gt;34),1,0)</f>
        <v/>
      </c>
      <c r="I176">
        <f>IF(AND('CF_I'!I176&lt;&gt;"",COUNTIF(CL_TIPO_RELACION_ACREDITADO,'CF_I'!I176)=0),1,0)</f>
        <v/>
      </c>
    </row>
    <row r="177">
      <c r="A177">
        <f>IF(AND('CF_I'!A177&lt;&gt;"",COUNTIF(CL_TIPO_OPERACION_CF_I,'CF_I'!A177)=0),1,0)</f>
        <v/>
      </c>
      <c r="B177">
        <f>IF(AND('CF_I'!B177&lt;&gt;"",COUNTIF(CL_TIPO_FONDEO_CF_I,'CF_I'!B177)=0),1,0)</f>
        <v/>
      </c>
      <c r="C177">
        <f>IF(AND('CF_I'!C177&lt;&gt;"",NOT(ISNUMBER('CF_I'!C177))),1,0)</f>
        <v/>
      </c>
      <c r="D177">
        <f>IF(AND('CF_I'!D177&lt;&gt;"",NOT(ISNUMBER('CF_I'!D177))),1,0)</f>
        <v/>
      </c>
      <c r="E177">
        <f>IF(AND('CF_I'!E177&lt;&gt;"",IF(ISNUMBER('CF_I'!E177),OR('CF_I'!E177&lt;&gt;INT('CF_I'!E177),LEN(TEXT(ABS('CF_I'!E177),"0"))&gt;12),TRUE)),1,0)</f>
        <v/>
      </c>
      <c r="F177">
        <f>IF(AND('CF_I'!F177&lt;&gt;"",OR(LEN('CF_I'!F177)&gt;3,COUNTIF(CL_MONEDA_ISO,'CF_I'!F177)=0)),1,0)</f>
        <v/>
      </c>
      <c r="G177">
        <f>IF(AND('CF_I'!G177&lt;&gt;"",LEN('CF_I'!G177)&gt;6),1,0)</f>
        <v/>
      </c>
      <c r="H177">
        <f>IF(AND('CF_I'!H177&lt;&gt;"",LEN('CF_I'!H177)&gt;34),1,0)</f>
        <v/>
      </c>
      <c r="I177">
        <f>IF(AND('CF_I'!I177&lt;&gt;"",COUNTIF(CL_TIPO_RELACION_ACREDITADO,'CF_I'!I177)=0),1,0)</f>
        <v/>
      </c>
    </row>
    <row r="178">
      <c r="A178">
        <f>IF(AND('CF_I'!A178&lt;&gt;"",COUNTIF(CL_TIPO_OPERACION_CF_I,'CF_I'!A178)=0),1,0)</f>
        <v/>
      </c>
      <c r="B178">
        <f>IF(AND('CF_I'!B178&lt;&gt;"",COUNTIF(CL_TIPO_FONDEO_CF_I,'CF_I'!B178)=0),1,0)</f>
        <v/>
      </c>
      <c r="C178">
        <f>IF(AND('CF_I'!C178&lt;&gt;"",NOT(ISNUMBER('CF_I'!C178))),1,0)</f>
        <v/>
      </c>
      <c r="D178">
        <f>IF(AND('CF_I'!D178&lt;&gt;"",NOT(ISNUMBER('CF_I'!D178))),1,0)</f>
        <v/>
      </c>
      <c r="E178">
        <f>IF(AND('CF_I'!E178&lt;&gt;"",IF(ISNUMBER('CF_I'!E178),OR('CF_I'!E178&lt;&gt;INT('CF_I'!E178),LEN(TEXT(ABS('CF_I'!E178),"0"))&gt;12),TRUE)),1,0)</f>
        <v/>
      </c>
      <c r="F178">
        <f>IF(AND('CF_I'!F178&lt;&gt;"",OR(LEN('CF_I'!F178)&gt;3,COUNTIF(CL_MONEDA_ISO,'CF_I'!F178)=0)),1,0)</f>
        <v/>
      </c>
      <c r="G178">
        <f>IF(AND('CF_I'!G178&lt;&gt;"",LEN('CF_I'!G178)&gt;6),1,0)</f>
        <v/>
      </c>
      <c r="H178">
        <f>IF(AND('CF_I'!H178&lt;&gt;"",LEN('CF_I'!H178)&gt;34),1,0)</f>
        <v/>
      </c>
      <c r="I178">
        <f>IF(AND('CF_I'!I178&lt;&gt;"",COUNTIF(CL_TIPO_RELACION_ACREDITADO,'CF_I'!I178)=0),1,0)</f>
        <v/>
      </c>
    </row>
    <row r="179">
      <c r="A179">
        <f>IF(AND('CF_I'!A179&lt;&gt;"",COUNTIF(CL_TIPO_OPERACION_CF_I,'CF_I'!A179)=0),1,0)</f>
        <v/>
      </c>
      <c r="B179">
        <f>IF(AND('CF_I'!B179&lt;&gt;"",COUNTIF(CL_TIPO_FONDEO_CF_I,'CF_I'!B179)=0),1,0)</f>
        <v/>
      </c>
      <c r="C179">
        <f>IF(AND('CF_I'!C179&lt;&gt;"",NOT(ISNUMBER('CF_I'!C179))),1,0)</f>
        <v/>
      </c>
      <c r="D179">
        <f>IF(AND('CF_I'!D179&lt;&gt;"",NOT(ISNUMBER('CF_I'!D179))),1,0)</f>
        <v/>
      </c>
      <c r="E179">
        <f>IF(AND('CF_I'!E179&lt;&gt;"",IF(ISNUMBER('CF_I'!E179),OR('CF_I'!E179&lt;&gt;INT('CF_I'!E179),LEN(TEXT(ABS('CF_I'!E179),"0"))&gt;12),TRUE)),1,0)</f>
        <v/>
      </c>
      <c r="F179">
        <f>IF(AND('CF_I'!F179&lt;&gt;"",OR(LEN('CF_I'!F179)&gt;3,COUNTIF(CL_MONEDA_ISO,'CF_I'!F179)=0)),1,0)</f>
        <v/>
      </c>
      <c r="G179">
        <f>IF(AND('CF_I'!G179&lt;&gt;"",LEN('CF_I'!G179)&gt;6),1,0)</f>
        <v/>
      </c>
      <c r="H179">
        <f>IF(AND('CF_I'!H179&lt;&gt;"",LEN('CF_I'!H179)&gt;34),1,0)</f>
        <v/>
      </c>
      <c r="I179">
        <f>IF(AND('CF_I'!I179&lt;&gt;"",COUNTIF(CL_TIPO_RELACION_ACREDITADO,'CF_I'!I179)=0),1,0)</f>
        <v/>
      </c>
    </row>
    <row r="180">
      <c r="A180">
        <f>IF(AND('CF_I'!A180&lt;&gt;"",COUNTIF(CL_TIPO_OPERACION_CF_I,'CF_I'!A180)=0),1,0)</f>
        <v/>
      </c>
      <c r="B180">
        <f>IF(AND('CF_I'!B180&lt;&gt;"",COUNTIF(CL_TIPO_FONDEO_CF_I,'CF_I'!B180)=0),1,0)</f>
        <v/>
      </c>
      <c r="C180">
        <f>IF(AND('CF_I'!C180&lt;&gt;"",NOT(ISNUMBER('CF_I'!C180))),1,0)</f>
        <v/>
      </c>
      <c r="D180">
        <f>IF(AND('CF_I'!D180&lt;&gt;"",NOT(ISNUMBER('CF_I'!D180))),1,0)</f>
        <v/>
      </c>
      <c r="E180">
        <f>IF(AND('CF_I'!E180&lt;&gt;"",IF(ISNUMBER('CF_I'!E180),OR('CF_I'!E180&lt;&gt;INT('CF_I'!E180),LEN(TEXT(ABS('CF_I'!E180),"0"))&gt;12),TRUE)),1,0)</f>
        <v/>
      </c>
      <c r="F180">
        <f>IF(AND('CF_I'!F180&lt;&gt;"",OR(LEN('CF_I'!F180)&gt;3,COUNTIF(CL_MONEDA_ISO,'CF_I'!F180)=0)),1,0)</f>
        <v/>
      </c>
      <c r="G180">
        <f>IF(AND('CF_I'!G180&lt;&gt;"",LEN('CF_I'!G180)&gt;6),1,0)</f>
        <v/>
      </c>
      <c r="H180">
        <f>IF(AND('CF_I'!H180&lt;&gt;"",LEN('CF_I'!H180)&gt;34),1,0)</f>
        <v/>
      </c>
      <c r="I180">
        <f>IF(AND('CF_I'!I180&lt;&gt;"",COUNTIF(CL_TIPO_RELACION_ACREDITADO,'CF_I'!I180)=0),1,0)</f>
        <v/>
      </c>
    </row>
    <row r="181">
      <c r="A181">
        <f>IF(AND('CF_I'!A181&lt;&gt;"",COUNTIF(CL_TIPO_OPERACION_CF_I,'CF_I'!A181)=0),1,0)</f>
        <v/>
      </c>
      <c r="B181">
        <f>IF(AND('CF_I'!B181&lt;&gt;"",COUNTIF(CL_TIPO_FONDEO_CF_I,'CF_I'!B181)=0),1,0)</f>
        <v/>
      </c>
      <c r="C181">
        <f>IF(AND('CF_I'!C181&lt;&gt;"",NOT(ISNUMBER('CF_I'!C181))),1,0)</f>
        <v/>
      </c>
      <c r="D181">
        <f>IF(AND('CF_I'!D181&lt;&gt;"",NOT(ISNUMBER('CF_I'!D181))),1,0)</f>
        <v/>
      </c>
      <c r="E181">
        <f>IF(AND('CF_I'!E181&lt;&gt;"",IF(ISNUMBER('CF_I'!E181),OR('CF_I'!E181&lt;&gt;INT('CF_I'!E181),LEN(TEXT(ABS('CF_I'!E181),"0"))&gt;12),TRUE)),1,0)</f>
        <v/>
      </c>
      <c r="F181">
        <f>IF(AND('CF_I'!F181&lt;&gt;"",OR(LEN('CF_I'!F181)&gt;3,COUNTIF(CL_MONEDA_ISO,'CF_I'!F181)=0)),1,0)</f>
        <v/>
      </c>
      <c r="G181">
        <f>IF(AND('CF_I'!G181&lt;&gt;"",LEN('CF_I'!G181)&gt;6),1,0)</f>
        <v/>
      </c>
      <c r="H181">
        <f>IF(AND('CF_I'!H181&lt;&gt;"",LEN('CF_I'!H181)&gt;34),1,0)</f>
        <v/>
      </c>
      <c r="I181">
        <f>IF(AND('CF_I'!I181&lt;&gt;"",COUNTIF(CL_TIPO_RELACION_ACREDITADO,'CF_I'!I181)=0),1,0)</f>
        <v/>
      </c>
    </row>
    <row r="182">
      <c r="A182">
        <f>IF(AND('CF_I'!A182&lt;&gt;"",COUNTIF(CL_TIPO_OPERACION_CF_I,'CF_I'!A182)=0),1,0)</f>
        <v/>
      </c>
      <c r="B182">
        <f>IF(AND('CF_I'!B182&lt;&gt;"",COUNTIF(CL_TIPO_FONDEO_CF_I,'CF_I'!B182)=0),1,0)</f>
        <v/>
      </c>
      <c r="C182">
        <f>IF(AND('CF_I'!C182&lt;&gt;"",NOT(ISNUMBER('CF_I'!C182))),1,0)</f>
        <v/>
      </c>
      <c r="D182">
        <f>IF(AND('CF_I'!D182&lt;&gt;"",NOT(ISNUMBER('CF_I'!D182))),1,0)</f>
        <v/>
      </c>
      <c r="E182">
        <f>IF(AND('CF_I'!E182&lt;&gt;"",IF(ISNUMBER('CF_I'!E182),OR('CF_I'!E182&lt;&gt;INT('CF_I'!E182),LEN(TEXT(ABS('CF_I'!E182),"0"))&gt;12),TRUE)),1,0)</f>
        <v/>
      </c>
      <c r="F182">
        <f>IF(AND('CF_I'!F182&lt;&gt;"",OR(LEN('CF_I'!F182)&gt;3,COUNTIF(CL_MONEDA_ISO,'CF_I'!F182)=0)),1,0)</f>
        <v/>
      </c>
      <c r="G182">
        <f>IF(AND('CF_I'!G182&lt;&gt;"",LEN('CF_I'!G182)&gt;6),1,0)</f>
        <v/>
      </c>
      <c r="H182">
        <f>IF(AND('CF_I'!H182&lt;&gt;"",LEN('CF_I'!H182)&gt;34),1,0)</f>
        <v/>
      </c>
      <c r="I182">
        <f>IF(AND('CF_I'!I182&lt;&gt;"",COUNTIF(CL_TIPO_RELACION_ACREDITADO,'CF_I'!I182)=0),1,0)</f>
        <v/>
      </c>
    </row>
    <row r="183">
      <c r="A183">
        <f>IF(AND('CF_I'!A183&lt;&gt;"",COUNTIF(CL_TIPO_OPERACION_CF_I,'CF_I'!A183)=0),1,0)</f>
        <v/>
      </c>
      <c r="B183">
        <f>IF(AND('CF_I'!B183&lt;&gt;"",COUNTIF(CL_TIPO_FONDEO_CF_I,'CF_I'!B183)=0),1,0)</f>
        <v/>
      </c>
      <c r="C183">
        <f>IF(AND('CF_I'!C183&lt;&gt;"",NOT(ISNUMBER('CF_I'!C183))),1,0)</f>
        <v/>
      </c>
      <c r="D183">
        <f>IF(AND('CF_I'!D183&lt;&gt;"",NOT(ISNUMBER('CF_I'!D183))),1,0)</f>
        <v/>
      </c>
      <c r="E183">
        <f>IF(AND('CF_I'!E183&lt;&gt;"",IF(ISNUMBER('CF_I'!E183),OR('CF_I'!E183&lt;&gt;INT('CF_I'!E183),LEN(TEXT(ABS('CF_I'!E183),"0"))&gt;12),TRUE)),1,0)</f>
        <v/>
      </c>
      <c r="F183">
        <f>IF(AND('CF_I'!F183&lt;&gt;"",OR(LEN('CF_I'!F183)&gt;3,COUNTIF(CL_MONEDA_ISO,'CF_I'!F183)=0)),1,0)</f>
        <v/>
      </c>
      <c r="G183">
        <f>IF(AND('CF_I'!G183&lt;&gt;"",LEN('CF_I'!G183)&gt;6),1,0)</f>
        <v/>
      </c>
      <c r="H183">
        <f>IF(AND('CF_I'!H183&lt;&gt;"",LEN('CF_I'!H183)&gt;34),1,0)</f>
        <v/>
      </c>
      <c r="I183">
        <f>IF(AND('CF_I'!I183&lt;&gt;"",COUNTIF(CL_TIPO_RELACION_ACREDITADO,'CF_I'!I183)=0),1,0)</f>
        <v/>
      </c>
    </row>
    <row r="184">
      <c r="A184">
        <f>IF(AND('CF_I'!A184&lt;&gt;"",COUNTIF(CL_TIPO_OPERACION_CF_I,'CF_I'!A184)=0),1,0)</f>
        <v/>
      </c>
      <c r="B184">
        <f>IF(AND('CF_I'!B184&lt;&gt;"",COUNTIF(CL_TIPO_FONDEO_CF_I,'CF_I'!B184)=0),1,0)</f>
        <v/>
      </c>
      <c r="C184">
        <f>IF(AND('CF_I'!C184&lt;&gt;"",NOT(ISNUMBER('CF_I'!C184))),1,0)</f>
        <v/>
      </c>
      <c r="D184">
        <f>IF(AND('CF_I'!D184&lt;&gt;"",NOT(ISNUMBER('CF_I'!D184))),1,0)</f>
        <v/>
      </c>
      <c r="E184">
        <f>IF(AND('CF_I'!E184&lt;&gt;"",IF(ISNUMBER('CF_I'!E184),OR('CF_I'!E184&lt;&gt;INT('CF_I'!E184),LEN(TEXT(ABS('CF_I'!E184),"0"))&gt;12),TRUE)),1,0)</f>
        <v/>
      </c>
      <c r="F184">
        <f>IF(AND('CF_I'!F184&lt;&gt;"",OR(LEN('CF_I'!F184)&gt;3,COUNTIF(CL_MONEDA_ISO,'CF_I'!F184)=0)),1,0)</f>
        <v/>
      </c>
      <c r="G184">
        <f>IF(AND('CF_I'!G184&lt;&gt;"",LEN('CF_I'!G184)&gt;6),1,0)</f>
        <v/>
      </c>
      <c r="H184">
        <f>IF(AND('CF_I'!H184&lt;&gt;"",LEN('CF_I'!H184)&gt;34),1,0)</f>
        <v/>
      </c>
      <c r="I184">
        <f>IF(AND('CF_I'!I184&lt;&gt;"",COUNTIF(CL_TIPO_RELACION_ACREDITADO,'CF_I'!I184)=0),1,0)</f>
        <v/>
      </c>
    </row>
    <row r="185">
      <c r="A185">
        <f>IF(AND('CF_I'!A185&lt;&gt;"",COUNTIF(CL_TIPO_OPERACION_CF_I,'CF_I'!A185)=0),1,0)</f>
        <v/>
      </c>
      <c r="B185">
        <f>IF(AND('CF_I'!B185&lt;&gt;"",COUNTIF(CL_TIPO_FONDEO_CF_I,'CF_I'!B185)=0),1,0)</f>
        <v/>
      </c>
      <c r="C185">
        <f>IF(AND('CF_I'!C185&lt;&gt;"",NOT(ISNUMBER('CF_I'!C185))),1,0)</f>
        <v/>
      </c>
      <c r="D185">
        <f>IF(AND('CF_I'!D185&lt;&gt;"",NOT(ISNUMBER('CF_I'!D185))),1,0)</f>
        <v/>
      </c>
      <c r="E185">
        <f>IF(AND('CF_I'!E185&lt;&gt;"",IF(ISNUMBER('CF_I'!E185),OR('CF_I'!E185&lt;&gt;INT('CF_I'!E185),LEN(TEXT(ABS('CF_I'!E185),"0"))&gt;12),TRUE)),1,0)</f>
        <v/>
      </c>
      <c r="F185">
        <f>IF(AND('CF_I'!F185&lt;&gt;"",OR(LEN('CF_I'!F185)&gt;3,COUNTIF(CL_MONEDA_ISO,'CF_I'!F185)=0)),1,0)</f>
        <v/>
      </c>
      <c r="G185">
        <f>IF(AND('CF_I'!G185&lt;&gt;"",LEN('CF_I'!G185)&gt;6),1,0)</f>
        <v/>
      </c>
      <c r="H185">
        <f>IF(AND('CF_I'!H185&lt;&gt;"",LEN('CF_I'!H185)&gt;34),1,0)</f>
        <v/>
      </c>
      <c r="I185">
        <f>IF(AND('CF_I'!I185&lt;&gt;"",COUNTIF(CL_TIPO_RELACION_ACREDITADO,'CF_I'!I185)=0),1,0)</f>
        <v/>
      </c>
    </row>
    <row r="186">
      <c r="A186">
        <f>IF(AND('CF_I'!A186&lt;&gt;"",COUNTIF(CL_TIPO_OPERACION_CF_I,'CF_I'!A186)=0),1,0)</f>
        <v/>
      </c>
      <c r="B186">
        <f>IF(AND('CF_I'!B186&lt;&gt;"",COUNTIF(CL_TIPO_FONDEO_CF_I,'CF_I'!B186)=0),1,0)</f>
        <v/>
      </c>
      <c r="C186">
        <f>IF(AND('CF_I'!C186&lt;&gt;"",NOT(ISNUMBER('CF_I'!C186))),1,0)</f>
        <v/>
      </c>
      <c r="D186">
        <f>IF(AND('CF_I'!D186&lt;&gt;"",NOT(ISNUMBER('CF_I'!D186))),1,0)</f>
        <v/>
      </c>
      <c r="E186">
        <f>IF(AND('CF_I'!E186&lt;&gt;"",IF(ISNUMBER('CF_I'!E186),OR('CF_I'!E186&lt;&gt;INT('CF_I'!E186),LEN(TEXT(ABS('CF_I'!E186),"0"))&gt;12),TRUE)),1,0)</f>
        <v/>
      </c>
      <c r="F186">
        <f>IF(AND('CF_I'!F186&lt;&gt;"",OR(LEN('CF_I'!F186)&gt;3,COUNTIF(CL_MONEDA_ISO,'CF_I'!F186)=0)),1,0)</f>
        <v/>
      </c>
      <c r="G186">
        <f>IF(AND('CF_I'!G186&lt;&gt;"",LEN('CF_I'!G186)&gt;6),1,0)</f>
        <v/>
      </c>
      <c r="H186">
        <f>IF(AND('CF_I'!H186&lt;&gt;"",LEN('CF_I'!H186)&gt;34),1,0)</f>
        <v/>
      </c>
      <c r="I186">
        <f>IF(AND('CF_I'!I186&lt;&gt;"",COUNTIF(CL_TIPO_RELACION_ACREDITADO,'CF_I'!I186)=0),1,0)</f>
        <v/>
      </c>
    </row>
    <row r="187">
      <c r="A187">
        <f>IF(AND('CF_I'!A187&lt;&gt;"",COUNTIF(CL_TIPO_OPERACION_CF_I,'CF_I'!A187)=0),1,0)</f>
        <v/>
      </c>
      <c r="B187">
        <f>IF(AND('CF_I'!B187&lt;&gt;"",COUNTIF(CL_TIPO_FONDEO_CF_I,'CF_I'!B187)=0),1,0)</f>
        <v/>
      </c>
      <c r="C187">
        <f>IF(AND('CF_I'!C187&lt;&gt;"",NOT(ISNUMBER('CF_I'!C187))),1,0)</f>
        <v/>
      </c>
      <c r="D187">
        <f>IF(AND('CF_I'!D187&lt;&gt;"",NOT(ISNUMBER('CF_I'!D187))),1,0)</f>
        <v/>
      </c>
      <c r="E187">
        <f>IF(AND('CF_I'!E187&lt;&gt;"",IF(ISNUMBER('CF_I'!E187),OR('CF_I'!E187&lt;&gt;INT('CF_I'!E187),LEN(TEXT(ABS('CF_I'!E187),"0"))&gt;12),TRUE)),1,0)</f>
        <v/>
      </c>
      <c r="F187">
        <f>IF(AND('CF_I'!F187&lt;&gt;"",OR(LEN('CF_I'!F187)&gt;3,COUNTIF(CL_MONEDA_ISO,'CF_I'!F187)=0)),1,0)</f>
        <v/>
      </c>
      <c r="G187">
        <f>IF(AND('CF_I'!G187&lt;&gt;"",LEN('CF_I'!G187)&gt;6),1,0)</f>
        <v/>
      </c>
      <c r="H187">
        <f>IF(AND('CF_I'!H187&lt;&gt;"",LEN('CF_I'!H187)&gt;34),1,0)</f>
        <v/>
      </c>
      <c r="I187">
        <f>IF(AND('CF_I'!I187&lt;&gt;"",COUNTIF(CL_TIPO_RELACION_ACREDITADO,'CF_I'!I187)=0),1,0)</f>
        <v/>
      </c>
    </row>
    <row r="188">
      <c r="A188">
        <f>IF(AND('CF_I'!A188&lt;&gt;"",COUNTIF(CL_TIPO_OPERACION_CF_I,'CF_I'!A188)=0),1,0)</f>
        <v/>
      </c>
      <c r="B188">
        <f>IF(AND('CF_I'!B188&lt;&gt;"",COUNTIF(CL_TIPO_FONDEO_CF_I,'CF_I'!B188)=0),1,0)</f>
        <v/>
      </c>
      <c r="C188">
        <f>IF(AND('CF_I'!C188&lt;&gt;"",NOT(ISNUMBER('CF_I'!C188))),1,0)</f>
        <v/>
      </c>
      <c r="D188">
        <f>IF(AND('CF_I'!D188&lt;&gt;"",NOT(ISNUMBER('CF_I'!D188))),1,0)</f>
        <v/>
      </c>
      <c r="E188">
        <f>IF(AND('CF_I'!E188&lt;&gt;"",IF(ISNUMBER('CF_I'!E188),OR('CF_I'!E188&lt;&gt;INT('CF_I'!E188),LEN(TEXT(ABS('CF_I'!E188),"0"))&gt;12),TRUE)),1,0)</f>
        <v/>
      </c>
      <c r="F188">
        <f>IF(AND('CF_I'!F188&lt;&gt;"",OR(LEN('CF_I'!F188)&gt;3,COUNTIF(CL_MONEDA_ISO,'CF_I'!F188)=0)),1,0)</f>
        <v/>
      </c>
      <c r="G188">
        <f>IF(AND('CF_I'!G188&lt;&gt;"",LEN('CF_I'!G188)&gt;6),1,0)</f>
        <v/>
      </c>
      <c r="H188">
        <f>IF(AND('CF_I'!H188&lt;&gt;"",LEN('CF_I'!H188)&gt;34),1,0)</f>
        <v/>
      </c>
      <c r="I188">
        <f>IF(AND('CF_I'!I188&lt;&gt;"",COUNTIF(CL_TIPO_RELACION_ACREDITADO,'CF_I'!I188)=0),1,0)</f>
        <v/>
      </c>
    </row>
    <row r="189">
      <c r="A189">
        <f>IF(AND('CF_I'!A189&lt;&gt;"",COUNTIF(CL_TIPO_OPERACION_CF_I,'CF_I'!A189)=0),1,0)</f>
        <v/>
      </c>
      <c r="B189">
        <f>IF(AND('CF_I'!B189&lt;&gt;"",COUNTIF(CL_TIPO_FONDEO_CF_I,'CF_I'!B189)=0),1,0)</f>
        <v/>
      </c>
      <c r="C189">
        <f>IF(AND('CF_I'!C189&lt;&gt;"",NOT(ISNUMBER('CF_I'!C189))),1,0)</f>
        <v/>
      </c>
      <c r="D189">
        <f>IF(AND('CF_I'!D189&lt;&gt;"",NOT(ISNUMBER('CF_I'!D189))),1,0)</f>
        <v/>
      </c>
      <c r="E189">
        <f>IF(AND('CF_I'!E189&lt;&gt;"",IF(ISNUMBER('CF_I'!E189),OR('CF_I'!E189&lt;&gt;INT('CF_I'!E189),LEN(TEXT(ABS('CF_I'!E189),"0"))&gt;12),TRUE)),1,0)</f>
        <v/>
      </c>
      <c r="F189">
        <f>IF(AND('CF_I'!F189&lt;&gt;"",OR(LEN('CF_I'!F189)&gt;3,COUNTIF(CL_MONEDA_ISO,'CF_I'!F189)=0)),1,0)</f>
        <v/>
      </c>
      <c r="G189">
        <f>IF(AND('CF_I'!G189&lt;&gt;"",LEN('CF_I'!G189)&gt;6),1,0)</f>
        <v/>
      </c>
      <c r="H189">
        <f>IF(AND('CF_I'!H189&lt;&gt;"",LEN('CF_I'!H189)&gt;34),1,0)</f>
        <v/>
      </c>
      <c r="I189">
        <f>IF(AND('CF_I'!I189&lt;&gt;"",COUNTIF(CL_TIPO_RELACION_ACREDITADO,'CF_I'!I189)=0),1,0)</f>
        <v/>
      </c>
    </row>
    <row r="190">
      <c r="A190">
        <f>IF(AND('CF_I'!A190&lt;&gt;"",COUNTIF(CL_TIPO_OPERACION_CF_I,'CF_I'!A190)=0),1,0)</f>
        <v/>
      </c>
      <c r="B190">
        <f>IF(AND('CF_I'!B190&lt;&gt;"",COUNTIF(CL_TIPO_FONDEO_CF_I,'CF_I'!B190)=0),1,0)</f>
        <v/>
      </c>
      <c r="C190">
        <f>IF(AND('CF_I'!C190&lt;&gt;"",NOT(ISNUMBER('CF_I'!C190))),1,0)</f>
        <v/>
      </c>
      <c r="D190">
        <f>IF(AND('CF_I'!D190&lt;&gt;"",NOT(ISNUMBER('CF_I'!D190))),1,0)</f>
        <v/>
      </c>
      <c r="E190">
        <f>IF(AND('CF_I'!E190&lt;&gt;"",IF(ISNUMBER('CF_I'!E190),OR('CF_I'!E190&lt;&gt;INT('CF_I'!E190),LEN(TEXT(ABS('CF_I'!E190),"0"))&gt;12),TRUE)),1,0)</f>
        <v/>
      </c>
      <c r="F190">
        <f>IF(AND('CF_I'!F190&lt;&gt;"",OR(LEN('CF_I'!F190)&gt;3,COUNTIF(CL_MONEDA_ISO,'CF_I'!F190)=0)),1,0)</f>
        <v/>
      </c>
      <c r="G190">
        <f>IF(AND('CF_I'!G190&lt;&gt;"",LEN('CF_I'!G190)&gt;6),1,0)</f>
        <v/>
      </c>
      <c r="H190">
        <f>IF(AND('CF_I'!H190&lt;&gt;"",LEN('CF_I'!H190)&gt;34),1,0)</f>
        <v/>
      </c>
      <c r="I190">
        <f>IF(AND('CF_I'!I190&lt;&gt;"",COUNTIF(CL_TIPO_RELACION_ACREDITADO,'CF_I'!I190)=0),1,0)</f>
        <v/>
      </c>
    </row>
    <row r="191">
      <c r="A191">
        <f>IF(AND('CF_I'!A191&lt;&gt;"",COUNTIF(CL_TIPO_OPERACION_CF_I,'CF_I'!A191)=0),1,0)</f>
        <v/>
      </c>
      <c r="B191">
        <f>IF(AND('CF_I'!B191&lt;&gt;"",COUNTIF(CL_TIPO_FONDEO_CF_I,'CF_I'!B191)=0),1,0)</f>
        <v/>
      </c>
      <c r="C191">
        <f>IF(AND('CF_I'!C191&lt;&gt;"",NOT(ISNUMBER('CF_I'!C191))),1,0)</f>
        <v/>
      </c>
      <c r="D191">
        <f>IF(AND('CF_I'!D191&lt;&gt;"",NOT(ISNUMBER('CF_I'!D191))),1,0)</f>
        <v/>
      </c>
      <c r="E191">
        <f>IF(AND('CF_I'!E191&lt;&gt;"",IF(ISNUMBER('CF_I'!E191),OR('CF_I'!E191&lt;&gt;INT('CF_I'!E191),LEN(TEXT(ABS('CF_I'!E191),"0"))&gt;12),TRUE)),1,0)</f>
        <v/>
      </c>
      <c r="F191">
        <f>IF(AND('CF_I'!F191&lt;&gt;"",OR(LEN('CF_I'!F191)&gt;3,COUNTIF(CL_MONEDA_ISO,'CF_I'!F191)=0)),1,0)</f>
        <v/>
      </c>
      <c r="G191">
        <f>IF(AND('CF_I'!G191&lt;&gt;"",LEN('CF_I'!G191)&gt;6),1,0)</f>
        <v/>
      </c>
      <c r="H191">
        <f>IF(AND('CF_I'!H191&lt;&gt;"",LEN('CF_I'!H191)&gt;34),1,0)</f>
        <v/>
      </c>
      <c r="I191">
        <f>IF(AND('CF_I'!I191&lt;&gt;"",COUNTIF(CL_TIPO_RELACION_ACREDITADO,'CF_I'!I191)=0),1,0)</f>
        <v/>
      </c>
    </row>
    <row r="192">
      <c r="A192">
        <f>IF(AND('CF_I'!A192&lt;&gt;"",COUNTIF(CL_TIPO_OPERACION_CF_I,'CF_I'!A192)=0),1,0)</f>
        <v/>
      </c>
      <c r="B192">
        <f>IF(AND('CF_I'!B192&lt;&gt;"",COUNTIF(CL_TIPO_FONDEO_CF_I,'CF_I'!B192)=0),1,0)</f>
        <v/>
      </c>
      <c r="C192">
        <f>IF(AND('CF_I'!C192&lt;&gt;"",NOT(ISNUMBER('CF_I'!C192))),1,0)</f>
        <v/>
      </c>
      <c r="D192">
        <f>IF(AND('CF_I'!D192&lt;&gt;"",NOT(ISNUMBER('CF_I'!D192))),1,0)</f>
        <v/>
      </c>
      <c r="E192">
        <f>IF(AND('CF_I'!E192&lt;&gt;"",IF(ISNUMBER('CF_I'!E192),OR('CF_I'!E192&lt;&gt;INT('CF_I'!E192),LEN(TEXT(ABS('CF_I'!E192),"0"))&gt;12),TRUE)),1,0)</f>
        <v/>
      </c>
      <c r="F192">
        <f>IF(AND('CF_I'!F192&lt;&gt;"",OR(LEN('CF_I'!F192)&gt;3,COUNTIF(CL_MONEDA_ISO,'CF_I'!F192)=0)),1,0)</f>
        <v/>
      </c>
      <c r="G192">
        <f>IF(AND('CF_I'!G192&lt;&gt;"",LEN('CF_I'!G192)&gt;6),1,0)</f>
        <v/>
      </c>
      <c r="H192">
        <f>IF(AND('CF_I'!H192&lt;&gt;"",LEN('CF_I'!H192)&gt;34),1,0)</f>
        <v/>
      </c>
      <c r="I192">
        <f>IF(AND('CF_I'!I192&lt;&gt;"",COUNTIF(CL_TIPO_RELACION_ACREDITADO,'CF_I'!I192)=0),1,0)</f>
        <v/>
      </c>
    </row>
    <row r="193">
      <c r="A193">
        <f>IF(AND('CF_I'!A193&lt;&gt;"",COUNTIF(CL_TIPO_OPERACION_CF_I,'CF_I'!A193)=0),1,0)</f>
        <v/>
      </c>
      <c r="B193">
        <f>IF(AND('CF_I'!B193&lt;&gt;"",COUNTIF(CL_TIPO_FONDEO_CF_I,'CF_I'!B193)=0),1,0)</f>
        <v/>
      </c>
      <c r="C193">
        <f>IF(AND('CF_I'!C193&lt;&gt;"",NOT(ISNUMBER('CF_I'!C193))),1,0)</f>
        <v/>
      </c>
      <c r="D193">
        <f>IF(AND('CF_I'!D193&lt;&gt;"",NOT(ISNUMBER('CF_I'!D193))),1,0)</f>
        <v/>
      </c>
      <c r="E193">
        <f>IF(AND('CF_I'!E193&lt;&gt;"",IF(ISNUMBER('CF_I'!E193),OR('CF_I'!E193&lt;&gt;INT('CF_I'!E193),LEN(TEXT(ABS('CF_I'!E193),"0"))&gt;12),TRUE)),1,0)</f>
        <v/>
      </c>
      <c r="F193">
        <f>IF(AND('CF_I'!F193&lt;&gt;"",OR(LEN('CF_I'!F193)&gt;3,COUNTIF(CL_MONEDA_ISO,'CF_I'!F193)=0)),1,0)</f>
        <v/>
      </c>
      <c r="G193">
        <f>IF(AND('CF_I'!G193&lt;&gt;"",LEN('CF_I'!G193)&gt;6),1,0)</f>
        <v/>
      </c>
      <c r="H193">
        <f>IF(AND('CF_I'!H193&lt;&gt;"",LEN('CF_I'!H193)&gt;34),1,0)</f>
        <v/>
      </c>
      <c r="I193">
        <f>IF(AND('CF_I'!I193&lt;&gt;"",COUNTIF(CL_TIPO_RELACION_ACREDITADO,'CF_I'!I193)=0),1,0)</f>
        <v/>
      </c>
    </row>
    <row r="194">
      <c r="A194">
        <f>IF(AND('CF_I'!A194&lt;&gt;"",COUNTIF(CL_TIPO_OPERACION_CF_I,'CF_I'!A194)=0),1,0)</f>
        <v/>
      </c>
      <c r="B194">
        <f>IF(AND('CF_I'!B194&lt;&gt;"",COUNTIF(CL_TIPO_FONDEO_CF_I,'CF_I'!B194)=0),1,0)</f>
        <v/>
      </c>
      <c r="C194">
        <f>IF(AND('CF_I'!C194&lt;&gt;"",NOT(ISNUMBER('CF_I'!C194))),1,0)</f>
        <v/>
      </c>
      <c r="D194">
        <f>IF(AND('CF_I'!D194&lt;&gt;"",NOT(ISNUMBER('CF_I'!D194))),1,0)</f>
        <v/>
      </c>
      <c r="E194">
        <f>IF(AND('CF_I'!E194&lt;&gt;"",IF(ISNUMBER('CF_I'!E194),OR('CF_I'!E194&lt;&gt;INT('CF_I'!E194),LEN(TEXT(ABS('CF_I'!E194),"0"))&gt;12),TRUE)),1,0)</f>
        <v/>
      </c>
      <c r="F194">
        <f>IF(AND('CF_I'!F194&lt;&gt;"",OR(LEN('CF_I'!F194)&gt;3,COUNTIF(CL_MONEDA_ISO,'CF_I'!F194)=0)),1,0)</f>
        <v/>
      </c>
      <c r="G194">
        <f>IF(AND('CF_I'!G194&lt;&gt;"",LEN('CF_I'!G194)&gt;6),1,0)</f>
        <v/>
      </c>
      <c r="H194">
        <f>IF(AND('CF_I'!H194&lt;&gt;"",LEN('CF_I'!H194)&gt;34),1,0)</f>
        <v/>
      </c>
      <c r="I194">
        <f>IF(AND('CF_I'!I194&lt;&gt;"",COUNTIF(CL_TIPO_RELACION_ACREDITADO,'CF_I'!I194)=0),1,0)</f>
        <v/>
      </c>
    </row>
    <row r="195">
      <c r="A195">
        <f>IF(AND('CF_I'!A195&lt;&gt;"",COUNTIF(CL_TIPO_OPERACION_CF_I,'CF_I'!A195)=0),1,0)</f>
        <v/>
      </c>
      <c r="B195">
        <f>IF(AND('CF_I'!B195&lt;&gt;"",COUNTIF(CL_TIPO_FONDEO_CF_I,'CF_I'!B195)=0),1,0)</f>
        <v/>
      </c>
      <c r="C195">
        <f>IF(AND('CF_I'!C195&lt;&gt;"",NOT(ISNUMBER('CF_I'!C195))),1,0)</f>
        <v/>
      </c>
      <c r="D195">
        <f>IF(AND('CF_I'!D195&lt;&gt;"",NOT(ISNUMBER('CF_I'!D195))),1,0)</f>
        <v/>
      </c>
      <c r="E195">
        <f>IF(AND('CF_I'!E195&lt;&gt;"",IF(ISNUMBER('CF_I'!E195),OR('CF_I'!E195&lt;&gt;INT('CF_I'!E195),LEN(TEXT(ABS('CF_I'!E195),"0"))&gt;12),TRUE)),1,0)</f>
        <v/>
      </c>
      <c r="F195">
        <f>IF(AND('CF_I'!F195&lt;&gt;"",OR(LEN('CF_I'!F195)&gt;3,COUNTIF(CL_MONEDA_ISO,'CF_I'!F195)=0)),1,0)</f>
        <v/>
      </c>
      <c r="G195">
        <f>IF(AND('CF_I'!G195&lt;&gt;"",LEN('CF_I'!G195)&gt;6),1,0)</f>
        <v/>
      </c>
      <c r="H195">
        <f>IF(AND('CF_I'!H195&lt;&gt;"",LEN('CF_I'!H195)&gt;34),1,0)</f>
        <v/>
      </c>
      <c r="I195">
        <f>IF(AND('CF_I'!I195&lt;&gt;"",COUNTIF(CL_TIPO_RELACION_ACREDITADO,'CF_I'!I195)=0),1,0)</f>
        <v/>
      </c>
    </row>
    <row r="196">
      <c r="A196">
        <f>IF(AND('CF_I'!A196&lt;&gt;"",COUNTIF(CL_TIPO_OPERACION_CF_I,'CF_I'!A196)=0),1,0)</f>
        <v/>
      </c>
      <c r="B196">
        <f>IF(AND('CF_I'!B196&lt;&gt;"",COUNTIF(CL_TIPO_FONDEO_CF_I,'CF_I'!B196)=0),1,0)</f>
        <v/>
      </c>
      <c r="C196">
        <f>IF(AND('CF_I'!C196&lt;&gt;"",NOT(ISNUMBER('CF_I'!C196))),1,0)</f>
        <v/>
      </c>
      <c r="D196">
        <f>IF(AND('CF_I'!D196&lt;&gt;"",NOT(ISNUMBER('CF_I'!D196))),1,0)</f>
        <v/>
      </c>
      <c r="E196">
        <f>IF(AND('CF_I'!E196&lt;&gt;"",IF(ISNUMBER('CF_I'!E196),OR('CF_I'!E196&lt;&gt;INT('CF_I'!E196),LEN(TEXT(ABS('CF_I'!E196),"0"))&gt;12),TRUE)),1,0)</f>
        <v/>
      </c>
      <c r="F196">
        <f>IF(AND('CF_I'!F196&lt;&gt;"",OR(LEN('CF_I'!F196)&gt;3,COUNTIF(CL_MONEDA_ISO,'CF_I'!F196)=0)),1,0)</f>
        <v/>
      </c>
      <c r="G196">
        <f>IF(AND('CF_I'!G196&lt;&gt;"",LEN('CF_I'!G196)&gt;6),1,0)</f>
        <v/>
      </c>
      <c r="H196">
        <f>IF(AND('CF_I'!H196&lt;&gt;"",LEN('CF_I'!H196)&gt;34),1,0)</f>
        <v/>
      </c>
      <c r="I196">
        <f>IF(AND('CF_I'!I196&lt;&gt;"",COUNTIF(CL_TIPO_RELACION_ACREDITADO,'CF_I'!I196)=0),1,0)</f>
        <v/>
      </c>
    </row>
    <row r="197">
      <c r="A197">
        <f>IF(AND('CF_I'!A197&lt;&gt;"",COUNTIF(CL_TIPO_OPERACION_CF_I,'CF_I'!A197)=0),1,0)</f>
        <v/>
      </c>
      <c r="B197">
        <f>IF(AND('CF_I'!B197&lt;&gt;"",COUNTIF(CL_TIPO_FONDEO_CF_I,'CF_I'!B197)=0),1,0)</f>
        <v/>
      </c>
      <c r="C197">
        <f>IF(AND('CF_I'!C197&lt;&gt;"",NOT(ISNUMBER('CF_I'!C197))),1,0)</f>
        <v/>
      </c>
      <c r="D197">
        <f>IF(AND('CF_I'!D197&lt;&gt;"",NOT(ISNUMBER('CF_I'!D197))),1,0)</f>
        <v/>
      </c>
      <c r="E197">
        <f>IF(AND('CF_I'!E197&lt;&gt;"",IF(ISNUMBER('CF_I'!E197),OR('CF_I'!E197&lt;&gt;INT('CF_I'!E197),LEN(TEXT(ABS('CF_I'!E197),"0"))&gt;12),TRUE)),1,0)</f>
        <v/>
      </c>
      <c r="F197">
        <f>IF(AND('CF_I'!F197&lt;&gt;"",OR(LEN('CF_I'!F197)&gt;3,COUNTIF(CL_MONEDA_ISO,'CF_I'!F197)=0)),1,0)</f>
        <v/>
      </c>
      <c r="G197">
        <f>IF(AND('CF_I'!G197&lt;&gt;"",LEN('CF_I'!G197)&gt;6),1,0)</f>
        <v/>
      </c>
      <c r="H197">
        <f>IF(AND('CF_I'!H197&lt;&gt;"",LEN('CF_I'!H197)&gt;34),1,0)</f>
        <v/>
      </c>
      <c r="I197">
        <f>IF(AND('CF_I'!I197&lt;&gt;"",COUNTIF(CL_TIPO_RELACION_ACREDITADO,'CF_I'!I197)=0),1,0)</f>
        <v/>
      </c>
    </row>
    <row r="198">
      <c r="A198">
        <f>IF(AND('CF_I'!A198&lt;&gt;"",COUNTIF(CL_TIPO_OPERACION_CF_I,'CF_I'!A198)=0),1,0)</f>
        <v/>
      </c>
      <c r="B198">
        <f>IF(AND('CF_I'!B198&lt;&gt;"",COUNTIF(CL_TIPO_FONDEO_CF_I,'CF_I'!B198)=0),1,0)</f>
        <v/>
      </c>
      <c r="C198">
        <f>IF(AND('CF_I'!C198&lt;&gt;"",NOT(ISNUMBER('CF_I'!C198))),1,0)</f>
        <v/>
      </c>
      <c r="D198">
        <f>IF(AND('CF_I'!D198&lt;&gt;"",NOT(ISNUMBER('CF_I'!D198))),1,0)</f>
        <v/>
      </c>
      <c r="E198">
        <f>IF(AND('CF_I'!E198&lt;&gt;"",IF(ISNUMBER('CF_I'!E198),OR('CF_I'!E198&lt;&gt;INT('CF_I'!E198),LEN(TEXT(ABS('CF_I'!E198),"0"))&gt;12),TRUE)),1,0)</f>
        <v/>
      </c>
      <c r="F198">
        <f>IF(AND('CF_I'!F198&lt;&gt;"",OR(LEN('CF_I'!F198)&gt;3,COUNTIF(CL_MONEDA_ISO,'CF_I'!F198)=0)),1,0)</f>
        <v/>
      </c>
      <c r="G198">
        <f>IF(AND('CF_I'!G198&lt;&gt;"",LEN('CF_I'!G198)&gt;6),1,0)</f>
        <v/>
      </c>
      <c r="H198">
        <f>IF(AND('CF_I'!H198&lt;&gt;"",LEN('CF_I'!H198)&gt;34),1,0)</f>
        <v/>
      </c>
      <c r="I198">
        <f>IF(AND('CF_I'!I198&lt;&gt;"",COUNTIF(CL_TIPO_RELACION_ACREDITADO,'CF_I'!I198)=0),1,0)</f>
        <v/>
      </c>
    </row>
    <row r="199">
      <c r="A199">
        <f>IF(AND('CF_I'!A199&lt;&gt;"",COUNTIF(CL_TIPO_OPERACION_CF_I,'CF_I'!A199)=0),1,0)</f>
        <v/>
      </c>
      <c r="B199">
        <f>IF(AND('CF_I'!B199&lt;&gt;"",COUNTIF(CL_TIPO_FONDEO_CF_I,'CF_I'!B199)=0),1,0)</f>
        <v/>
      </c>
      <c r="C199">
        <f>IF(AND('CF_I'!C199&lt;&gt;"",NOT(ISNUMBER('CF_I'!C199))),1,0)</f>
        <v/>
      </c>
      <c r="D199">
        <f>IF(AND('CF_I'!D199&lt;&gt;"",NOT(ISNUMBER('CF_I'!D199))),1,0)</f>
        <v/>
      </c>
      <c r="E199">
        <f>IF(AND('CF_I'!E199&lt;&gt;"",IF(ISNUMBER('CF_I'!E199),OR('CF_I'!E199&lt;&gt;INT('CF_I'!E199),LEN(TEXT(ABS('CF_I'!E199),"0"))&gt;12),TRUE)),1,0)</f>
        <v/>
      </c>
      <c r="F199">
        <f>IF(AND('CF_I'!F199&lt;&gt;"",OR(LEN('CF_I'!F199)&gt;3,COUNTIF(CL_MONEDA_ISO,'CF_I'!F199)=0)),1,0)</f>
        <v/>
      </c>
      <c r="G199">
        <f>IF(AND('CF_I'!G199&lt;&gt;"",LEN('CF_I'!G199)&gt;6),1,0)</f>
        <v/>
      </c>
      <c r="H199">
        <f>IF(AND('CF_I'!H199&lt;&gt;"",LEN('CF_I'!H199)&gt;34),1,0)</f>
        <v/>
      </c>
      <c r="I199">
        <f>IF(AND('CF_I'!I199&lt;&gt;"",COUNTIF(CL_TIPO_RELACION_ACREDITADO,'CF_I'!I199)=0),1,0)</f>
        <v/>
      </c>
    </row>
    <row r="200">
      <c r="A200">
        <f>IF(AND('CF_I'!A200&lt;&gt;"",COUNTIF(CL_TIPO_OPERACION_CF_I,'CF_I'!A200)=0),1,0)</f>
        <v/>
      </c>
      <c r="B200">
        <f>IF(AND('CF_I'!B200&lt;&gt;"",COUNTIF(CL_TIPO_FONDEO_CF_I,'CF_I'!B200)=0),1,0)</f>
        <v/>
      </c>
      <c r="C200">
        <f>IF(AND('CF_I'!C200&lt;&gt;"",NOT(ISNUMBER('CF_I'!C200))),1,0)</f>
        <v/>
      </c>
      <c r="D200">
        <f>IF(AND('CF_I'!D200&lt;&gt;"",NOT(ISNUMBER('CF_I'!D200))),1,0)</f>
        <v/>
      </c>
      <c r="E200">
        <f>IF(AND('CF_I'!E200&lt;&gt;"",IF(ISNUMBER('CF_I'!E200),OR('CF_I'!E200&lt;&gt;INT('CF_I'!E200),LEN(TEXT(ABS('CF_I'!E200),"0"))&gt;12),TRUE)),1,0)</f>
        <v/>
      </c>
      <c r="F200">
        <f>IF(AND('CF_I'!F200&lt;&gt;"",OR(LEN('CF_I'!F200)&gt;3,COUNTIF(CL_MONEDA_ISO,'CF_I'!F200)=0)),1,0)</f>
        <v/>
      </c>
      <c r="G200">
        <f>IF(AND('CF_I'!G200&lt;&gt;"",LEN('CF_I'!G200)&gt;6),1,0)</f>
        <v/>
      </c>
      <c r="H200">
        <f>IF(AND('CF_I'!H200&lt;&gt;"",LEN('CF_I'!H200)&gt;34),1,0)</f>
        <v/>
      </c>
      <c r="I200">
        <f>IF(AND('CF_I'!I200&lt;&gt;"",COUNTIF(CL_TIPO_RELACION_ACREDITADO,'CF_I'!I200)=0),1,0)</f>
        <v/>
      </c>
    </row>
    <row r="201">
      <c r="A201">
        <f>IF(AND('CF_I'!A201&lt;&gt;"",COUNTIF(CL_TIPO_OPERACION_CF_I,'CF_I'!A201)=0),1,0)</f>
        <v/>
      </c>
      <c r="B201">
        <f>IF(AND('CF_I'!B201&lt;&gt;"",COUNTIF(CL_TIPO_FONDEO_CF_I,'CF_I'!B201)=0),1,0)</f>
        <v/>
      </c>
      <c r="C201">
        <f>IF(AND('CF_I'!C201&lt;&gt;"",NOT(ISNUMBER('CF_I'!C201))),1,0)</f>
        <v/>
      </c>
      <c r="D201">
        <f>IF(AND('CF_I'!D201&lt;&gt;"",NOT(ISNUMBER('CF_I'!D201))),1,0)</f>
        <v/>
      </c>
      <c r="E201">
        <f>IF(AND('CF_I'!E201&lt;&gt;"",IF(ISNUMBER('CF_I'!E201),OR('CF_I'!E201&lt;&gt;INT('CF_I'!E201),LEN(TEXT(ABS('CF_I'!E201),"0"))&gt;12),TRUE)),1,0)</f>
        <v/>
      </c>
      <c r="F201">
        <f>IF(AND('CF_I'!F201&lt;&gt;"",OR(LEN('CF_I'!F201)&gt;3,COUNTIF(CL_MONEDA_ISO,'CF_I'!F201)=0)),1,0)</f>
        <v/>
      </c>
      <c r="G201">
        <f>IF(AND('CF_I'!G201&lt;&gt;"",LEN('CF_I'!G201)&gt;6),1,0)</f>
        <v/>
      </c>
      <c r="H201">
        <f>IF(AND('CF_I'!H201&lt;&gt;"",LEN('CF_I'!H201)&gt;34),1,0)</f>
        <v/>
      </c>
      <c r="I201">
        <f>IF(AND('CF_I'!I201&lt;&gt;"",COUNTIF(CL_TIPO_RELACION_ACREDITADO,'CF_I'!I201)=0),1,0)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2026-07-14T15:36:15Z</dcterms:created>
  <dcterms:modified xsi:type="dcterms:W3CDTF">2026-07-14T15:36:15Z</dcterms:modified>
</cp:coreProperties>
</file>