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LID_LIQUIDACIONES" sheetId="2" state="visible" r:id="rId2"/>
    <sheet name="CAT_TIPO_VALOR" sheetId="3" state="hidden" r:id="rId3"/>
    <sheet name="CAT_TIPO_OBLIGACI_N" sheetId="4" state="hidden" r:id="rId4"/>
    <sheet name="CAT_MONEDA" sheetId="5" state="hidden" r:id="rId5"/>
    <sheet name="CAT_ID_PAGOS" sheetId="6" state="hidden" r:id="rId6"/>
    <sheet name="CAT_FLAG_HORARIO" sheetId="7" state="hidden" r:id="rId7"/>
    <sheet name="CAT_CAT_ID_PAGOS_RET" sheetId="8" state="hidden" r:id="rId8"/>
    <sheet name="CAT_CAT_MOTIVO_RET" sheetId="9" state="hidden" r:id="rId9"/>
    <sheet name="CAT_CARACT_LIQ" sheetId="10" state="hidden" r:id="rId10"/>
    <sheet name="CHK" sheetId="11" state="hidden" r:id="rId11"/>
  </sheets>
  <definedNames>
    <definedName name="CL_TIPO_VALOR">CAT_TIPO_VALOR!$A$2:$A$5</definedName>
    <definedName name="CL_TIPO_OBLIGACI_N">CAT_TIPO_OBLIGACI_N!$A$2:$A$15</definedName>
    <definedName name="CL_MONEDA">CAT_MONEDA!$A$2:$A$171</definedName>
    <definedName name="CL_ID_PAGOS">CAT_ID_PAGOS!$A$2:$A$3</definedName>
    <definedName name="CL_FLAG_HORARIO">CAT_FLAG_HORARIO!$A$2:$A$3</definedName>
    <definedName name="CL_CAT_ID_PAGOS_RET">CAT_CAT_ID_PAGOS_RET!$A$2:$A$3</definedName>
    <definedName name="CL_CAT_MOTIVO_RET">CAT_CAT_MOTIVO_RET!$A$2:$A$8</definedName>
    <definedName name="CL_CARACT_LIQ">CAT_CARACT_LIQ!$A$2:$A$4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Fecha en la que se realizó la liquidación del pago o del total de pagos de obligaciones saldadas en una hora específica del día.</t>
      </text>
    </comment>
    <comment ref="B1" authorId="0" shapeId="0">
      <text>
        <t>DESCRIPCION:
Hora del día en que la obligación de pago se liquidó. (Para la clave 10 de TIPO_VALOR este campo deberá reportarse con "0")</t>
      </text>
    </comment>
    <comment ref="C1" authorId="0" shapeId="0">
      <text>
        <t>DESCRIPCION:
Indicar el valor del registro de acuerdo al catálogo.</t>
      </text>
    </comment>
    <comment ref="D1" authorId="0" shapeId="0">
      <text>
        <t>DESCRIPCION:
Indica el tipo de obligación de pago a la que corresponden los tres máximos valores alcanzados en el día. (Para la clave 10 de TIPO_VALOR este campo deberá reportarse vacío)</t>
      </text>
    </comment>
    <comment ref="E1" authorId="0" shapeId="0">
      <text>
        <t>DESCRIPCION:
Monto total o montos máximos de las obligaciones de pago saldadas en una hora específica del día.</t>
      </text>
    </comment>
    <comment ref="F1" authorId="0" shapeId="0">
      <text>
        <t>DESCRIPCION:
Moneda en la que se efectuó el pago (en caso de TIPO_VALOR = 10, este registro deberá reportarse con MXN, y en el caso que el campo ID_PAGOS sea = 0 este campo deberá ser vacío)</t>
      </text>
    </comment>
    <comment ref="G1" authorId="0" shapeId="0">
      <text>
        <t>DESCRIPCION:
Identificador de pagos realizados, en el caso de no tener pagos realizados se debe poner 0, en caso contrario, unicamente  los registros que indican un pago deben tener 1</t>
      </text>
    </comment>
    <comment ref="H1" authorId="0" shapeId="0">
      <text>
        <t>DESCRIPCION:
Indicador si la obligacion retrasada tenía un horario para su pago o no</t>
      </text>
    </comment>
    <comment ref="I1" authorId="0" shapeId="0">
      <text>
        <t>DESCRIPCION:
Indicador si la obligación fue realizada con atraso o no fue realizada</t>
      </text>
    </comment>
    <comment ref="J1" authorId="0" shapeId="0">
      <text>
        <t>DESCRIPCION:
Fecha en la que se pactó la liquidación de la obligación de pago</t>
      </text>
    </comment>
    <comment ref="K1" authorId="0" shapeId="0">
      <text>
        <t>DESCRIPCION:
Hora en la que se pactó la liquidación de la obligación de pago.</t>
      </text>
    </comment>
    <comment ref="L1" authorId="0" shapeId="0">
      <text>
        <t>DESCRIPCION:
Monto de la penalización por no cumplir con la hora pactada de la obligación de pago, o por no llevar a cabo la liquidación</t>
      </text>
    </comment>
    <comment ref="M1" authorId="0" shapeId="0">
      <text>
        <t>DESCRIPCION:
Motivo por el que la liquidación de la operación no se llevó a cabo en la hora establecida o se encuentra pendiente de liquidar de acuerdo al catalogo</t>
      </text>
    </comment>
    <comment ref="N1" authorId="0" shapeId="0">
      <text>
        <t>DESCRIPCION:
Identificador de la operación asignado por la institución</t>
      </text>
    </comment>
    <comment ref="O1" authorId="0" shapeId="0">
      <text>
        <t>DESCRIPCION:
Codigo que identifica el tipo de liquidacion realizada</t>
      </text>
    </comment>
    <comment ref="P1" authorId="0" shapeId="0">
      <text>
        <t>DESCRIPCION:
Fecha a la que corresponde la información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SUM(CHK!A2:P201)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FECHA_LIQ</t>
        </is>
      </c>
      <c r="C6" t="inlineStr">
        <is>
          <t>FECHA</t>
        </is>
      </c>
      <c r="D6" t="inlineStr">
        <is>
          <t>AAAA/MM/DD</t>
        </is>
      </c>
      <c r="E6" t="inlineStr">
        <is>
          <t>—</t>
        </is>
      </c>
      <c r="F6">
        <f>SUM(CHK!A2:A201)</f>
        <v/>
      </c>
      <c r="G6">
        <f>COUNTBLANK('LID_LIQUIDACIONES'!A2:A201)</f>
        <v/>
      </c>
    </row>
    <row r="7">
      <c r="A7" t="n">
        <v>2</v>
      </c>
      <c r="B7" t="inlineStr">
        <is>
          <t>HORA_LIQ</t>
        </is>
      </c>
      <c r="C7" t="inlineStr">
        <is>
          <t>TEXTO</t>
        </is>
      </c>
      <c r="D7" t="inlineStr">
        <is>
          <t>5</t>
        </is>
      </c>
      <c r="E7" t="inlineStr">
        <is>
          <t>—</t>
        </is>
      </c>
      <c r="F7">
        <f>SUM(CHK!B2:B201)</f>
        <v/>
      </c>
      <c r="G7">
        <f>COUNTBLANK('LID_LIQUIDACIONES'!B2:B201)</f>
        <v/>
      </c>
    </row>
    <row r="8">
      <c r="A8" t="n">
        <v>3</v>
      </c>
      <c r="B8" t="inlineStr">
        <is>
          <t>TIPO_VALOR</t>
        </is>
      </c>
      <c r="C8" t="inlineStr">
        <is>
          <t>NUMERICO</t>
        </is>
      </c>
      <c r="D8" t="inlineStr">
        <is>
          <t>2,0</t>
        </is>
      </c>
      <c r="E8" t="inlineStr">
        <is>
          <t>Tipo_Valor</t>
        </is>
      </c>
      <c r="F8">
        <f>SUM(CHK!C2:C201)</f>
        <v/>
      </c>
      <c r="G8">
        <f>COUNTBLANK('LID_LIQUIDACIONES'!C2:C201)</f>
        <v/>
      </c>
    </row>
    <row r="9">
      <c r="A9" t="n">
        <v>4</v>
      </c>
      <c r="B9" t="inlineStr">
        <is>
          <t>TIPO_OBLIGACION</t>
        </is>
      </c>
      <c r="C9" t="inlineStr">
        <is>
          <t>NUMERICO</t>
        </is>
      </c>
      <c r="D9" t="inlineStr">
        <is>
          <t>2,0</t>
        </is>
      </c>
      <c r="E9" t="inlineStr">
        <is>
          <t>Tipo_Obligación</t>
        </is>
      </c>
      <c r="F9">
        <f>SUM(CHK!D2:D201)</f>
        <v/>
      </c>
      <c r="G9">
        <f>COUNTBLANK('LID_LIQUIDACIONES'!D2:D201)</f>
        <v/>
      </c>
    </row>
    <row r="10">
      <c r="A10" t="n">
        <v>5</v>
      </c>
      <c r="B10" t="inlineStr">
        <is>
          <t>MONTO_PAGOS</t>
        </is>
      </c>
      <c r="C10" t="inlineStr">
        <is>
          <t>NUMERICO</t>
        </is>
      </c>
      <c r="D10" t="inlineStr">
        <is>
          <t>12,0</t>
        </is>
      </c>
      <c r="E10" t="inlineStr">
        <is>
          <t>—</t>
        </is>
      </c>
      <c r="F10">
        <f>SUM(CHK!E2:E201)</f>
        <v/>
      </c>
      <c r="G10">
        <f>COUNTBLANK('LID_LIQUIDACIONES'!E2:E201)</f>
        <v/>
      </c>
    </row>
    <row r="11">
      <c r="A11" t="n">
        <v>6</v>
      </c>
      <c r="B11" t="inlineStr">
        <is>
          <t>MONEDA</t>
        </is>
      </c>
      <c r="C11" t="inlineStr">
        <is>
          <t>TEXTO</t>
        </is>
      </c>
      <c r="D11" t="inlineStr">
        <is>
          <t>3</t>
        </is>
      </c>
      <c r="E11" t="inlineStr">
        <is>
          <t>Moneda</t>
        </is>
      </c>
      <c r="F11">
        <f>SUM(CHK!F2:F201)</f>
        <v/>
      </c>
      <c r="G11">
        <f>COUNTBLANK('LID_LIQUIDACIONES'!F2:F201)</f>
        <v/>
      </c>
    </row>
    <row r="12">
      <c r="A12" t="n">
        <v>7</v>
      </c>
      <c r="B12" t="inlineStr">
        <is>
          <t>ID_PAGOS</t>
        </is>
      </c>
      <c r="C12" t="inlineStr">
        <is>
          <t>NUMERICO</t>
        </is>
      </c>
      <c r="D12" t="inlineStr">
        <is>
          <t>1,0</t>
        </is>
      </c>
      <c r="E12" t="inlineStr">
        <is>
          <t>Id_Pagos</t>
        </is>
      </c>
      <c r="F12">
        <f>SUM(CHK!G2:G201)</f>
        <v/>
      </c>
      <c r="G12">
        <f>COUNTBLANK('LID_LIQUIDACIONES'!G2:G201)</f>
        <v/>
      </c>
    </row>
    <row r="13">
      <c r="A13" t="n">
        <v>8</v>
      </c>
      <c r="B13" t="inlineStr">
        <is>
          <t>FLAG_HORARIO</t>
        </is>
      </c>
      <c r="C13" t="inlineStr">
        <is>
          <t>NUMERICO</t>
        </is>
      </c>
      <c r="D13" t="inlineStr">
        <is>
          <t>1,0</t>
        </is>
      </c>
      <c r="E13" t="inlineStr">
        <is>
          <t>Flag_Horario</t>
        </is>
      </c>
      <c r="F13">
        <f>SUM(CHK!H2:H201)</f>
        <v/>
      </c>
      <c r="G13">
        <f>COUNTBLANK('LID_LIQUIDACIONES'!H2:H201)</f>
        <v/>
      </c>
    </row>
    <row r="14">
      <c r="A14" t="n">
        <v>9</v>
      </c>
      <c r="B14" t="inlineStr">
        <is>
          <t>ID_PAGOS_RET</t>
        </is>
      </c>
      <c r="C14" t="inlineStr">
        <is>
          <t>NUMERICO</t>
        </is>
      </c>
      <c r="D14" t="inlineStr">
        <is>
          <t>1,0</t>
        </is>
      </c>
      <c r="E14" t="inlineStr">
        <is>
          <t>CAT_ID_PAGOS_RET</t>
        </is>
      </c>
      <c r="F14">
        <f>SUM(CHK!I2:I201)</f>
        <v/>
      </c>
      <c r="G14">
        <f>COUNTBLANK('LID_LIQUIDACIONES'!I2:I201)</f>
        <v/>
      </c>
    </row>
    <row r="15">
      <c r="A15" t="n">
        <v>10</v>
      </c>
      <c r="B15" t="inlineStr">
        <is>
          <t>FECHA_EST_PAGO</t>
        </is>
      </c>
      <c r="C15" t="inlineStr">
        <is>
          <t>FECHA</t>
        </is>
      </c>
      <c r="D15" t="inlineStr">
        <is>
          <t>AAAA/MM/DD</t>
        </is>
      </c>
      <c r="E15" t="inlineStr">
        <is>
          <t>—</t>
        </is>
      </c>
      <c r="F15">
        <f>SUM(CHK!J2:J201)</f>
        <v/>
      </c>
      <c r="G15">
        <f>COUNTBLANK('LID_LIQUIDACIONES'!J2:J201)</f>
        <v/>
      </c>
    </row>
    <row r="16">
      <c r="A16" t="n">
        <v>11</v>
      </c>
      <c r="B16" t="inlineStr">
        <is>
          <t>HORA_EST_PAGO</t>
        </is>
      </c>
      <c r="C16" t="inlineStr">
        <is>
          <t>TEXTO</t>
        </is>
      </c>
      <c r="D16" t="inlineStr">
        <is>
          <t>5</t>
        </is>
      </c>
      <c r="E16" t="inlineStr">
        <is>
          <t>—</t>
        </is>
      </c>
      <c r="F16">
        <f>SUM(CHK!K2:K201)</f>
        <v/>
      </c>
      <c r="G16">
        <f>COUNTBLANK('LID_LIQUIDACIONES'!K2:K201)</f>
        <v/>
      </c>
    </row>
    <row r="17">
      <c r="A17" t="n">
        <v>12</v>
      </c>
      <c r="B17" t="inlineStr">
        <is>
          <t>PENALIZACION</t>
        </is>
      </c>
      <c r="C17" t="inlineStr">
        <is>
          <t>NUMERICO</t>
        </is>
      </c>
      <c r="D17" t="inlineStr">
        <is>
          <t>12,0</t>
        </is>
      </c>
      <c r="E17" t="inlineStr">
        <is>
          <t>—</t>
        </is>
      </c>
      <c r="F17">
        <f>SUM(CHK!L2:L201)</f>
        <v/>
      </c>
      <c r="G17">
        <f>COUNTBLANK('LID_LIQUIDACIONES'!L2:L201)</f>
        <v/>
      </c>
    </row>
    <row r="18">
      <c r="A18" t="n">
        <v>13</v>
      </c>
      <c r="B18" t="inlineStr">
        <is>
          <t>MOTIVO_RET</t>
        </is>
      </c>
      <c r="C18" t="inlineStr">
        <is>
          <t>NUMERICO</t>
        </is>
      </c>
      <c r="D18" t="inlineStr">
        <is>
          <t>2,0</t>
        </is>
      </c>
      <c r="E18" t="inlineStr">
        <is>
          <t>CAT_MOTIVO_RET</t>
        </is>
      </c>
      <c r="F18">
        <f>SUM(CHK!M2:M201)</f>
        <v/>
      </c>
      <c r="G18">
        <f>COUNTBLANK('LID_LIQUIDACIONES'!M2:M201)</f>
        <v/>
      </c>
    </row>
    <row r="19">
      <c r="A19" t="n">
        <v>14</v>
      </c>
      <c r="B19" t="inlineStr">
        <is>
          <t>ID_OPERACION</t>
        </is>
      </c>
      <c r="C19" t="inlineStr">
        <is>
          <t>TEXTO</t>
        </is>
      </c>
      <c r="D19" t="inlineStr">
        <is>
          <t>50</t>
        </is>
      </c>
      <c r="E19" t="inlineStr">
        <is>
          <t>—</t>
        </is>
      </c>
      <c r="F19">
        <f>SUM(CHK!N2:N201)</f>
        <v/>
      </c>
      <c r="G19">
        <f>COUNTBLANK('LID_LIQUIDACIONES'!N2:N201)</f>
        <v/>
      </c>
    </row>
    <row r="20">
      <c r="A20" t="n">
        <v>15</v>
      </c>
      <c r="B20" t="inlineStr">
        <is>
          <t>CARACT_LIQUIDACION</t>
        </is>
      </c>
      <c r="C20" t="inlineStr">
        <is>
          <t>NUMERICO</t>
        </is>
      </c>
      <c r="D20" t="inlineStr">
        <is>
          <t>2,0</t>
        </is>
      </c>
      <c r="E20" t="inlineStr">
        <is>
          <t>Caract_liq</t>
        </is>
      </c>
      <c r="F20">
        <f>SUM(CHK!O2:O201)</f>
        <v/>
      </c>
      <c r="G20">
        <f>COUNTBLANK('LID_LIQUIDACIONES'!O2:O201)</f>
        <v/>
      </c>
    </row>
    <row r="21">
      <c r="A21" t="n">
        <v>16</v>
      </c>
      <c r="B21" t="inlineStr">
        <is>
          <t>FECHA_INFO</t>
        </is>
      </c>
      <c r="C21" t="inlineStr">
        <is>
          <t>FECHA</t>
        </is>
      </c>
      <c r="D21" t="inlineStr">
        <is>
          <t>AAAA/MM/DD</t>
        </is>
      </c>
      <c r="E21" t="inlineStr">
        <is>
          <t>—</t>
        </is>
      </c>
      <c r="F21">
        <f>SUM(CHK!P2:P201)</f>
        <v/>
      </c>
      <c r="G21">
        <f>COUNTBLANK('LID_LIQUIDACIONES'!P2:P201)</f>
        <v/>
      </c>
    </row>
  </sheetData>
  <conditionalFormatting sqref="F6:F21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30" customWidth="1" min="14" max="14"/>
    <col width="14" customWidth="1" min="15" max="15"/>
    <col width="14" customWidth="1" min="16" max="16"/>
  </cols>
  <sheetData>
    <row r="1" ht="30" customHeight="1">
      <c r="A1" s="4" t="inlineStr">
        <is>
          <t>FECHA_LIQ</t>
        </is>
      </c>
      <c r="B1" s="4" t="inlineStr">
        <is>
          <t>HORA_LIQ</t>
        </is>
      </c>
      <c r="C1" s="4" t="inlineStr">
        <is>
          <t>TIPO_VALOR</t>
        </is>
      </c>
      <c r="D1" s="4" t="inlineStr">
        <is>
          <t>TIPO_OBLIGACION</t>
        </is>
      </c>
      <c r="E1" s="4" t="inlineStr">
        <is>
          <t>MONTO_PAGOS</t>
        </is>
      </c>
      <c r="F1" s="4" t="inlineStr">
        <is>
          <t>MONEDA</t>
        </is>
      </c>
      <c r="G1" s="4" t="inlineStr">
        <is>
          <t>ID_PAGOS</t>
        </is>
      </c>
      <c r="H1" s="4" t="inlineStr">
        <is>
          <t>FLAG_HORARIO</t>
        </is>
      </c>
      <c r="I1" s="4" t="inlineStr">
        <is>
          <t>ID_PAGOS_RET</t>
        </is>
      </c>
      <c r="J1" s="4" t="inlineStr">
        <is>
          <t>FECHA_EST_PAGO</t>
        </is>
      </c>
      <c r="K1" s="4" t="inlineStr">
        <is>
          <t>HORA_EST_PAGO</t>
        </is>
      </c>
      <c r="L1" s="4" t="inlineStr">
        <is>
          <t>PENALIZACION</t>
        </is>
      </c>
      <c r="M1" s="4" t="inlineStr">
        <is>
          <t>MOTIVO_RET</t>
        </is>
      </c>
      <c r="N1" s="4" t="inlineStr">
        <is>
          <t>ID_OPERACION</t>
        </is>
      </c>
      <c r="O1" s="4" t="inlineStr">
        <is>
          <t>CARACT_LIQUIDACION</t>
        </is>
      </c>
      <c r="P1" s="4" t="inlineStr">
        <is>
          <t>FECHA_INFO</t>
        </is>
      </c>
    </row>
    <row r="2">
      <c r="A2" s="5" t="n"/>
      <c r="B2" s="6" t="n"/>
      <c r="C2" s="7" t="n"/>
      <c r="D2" s="7" t="n"/>
      <c r="E2" s="7" t="n"/>
      <c r="F2" s="6" t="n"/>
      <c r="G2" s="7" t="n"/>
      <c r="H2" s="7" t="n"/>
      <c r="I2" s="7" t="n"/>
      <c r="J2" s="5" t="n"/>
      <c r="K2" s="6" t="n"/>
      <c r="L2" s="7" t="n"/>
      <c r="M2" s="7" t="n"/>
      <c r="N2" s="6" t="n"/>
      <c r="O2" s="7" t="n"/>
      <c r="P2" s="5" t="n"/>
    </row>
    <row r="3">
      <c r="A3" s="5" t="n"/>
      <c r="B3" s="6" t="n"/>
      <c r="C3" s="7" t="n"/>
      <c r="D3" s="7" t="n"/>
      <c r="E3" s="7" t="n"/>
      <c r="F3" s="6" t="n"/>
      <c r="G3" s="7" t="n"/>
      <c r="H3" s="7" t="n"/>
      <c r="I3" s="7" t="n"/>
      <c r="J3" s="5" t="n"/>
      <c r="K3" s="6" t="n"/>
      <c r="L3" s="7" t="n"/>
      <c r="M3" s="7" t="n"/>
      <c r="N3" s="6" t="n"/>
      <c r="O3" s="7" t="n"/>
      <c r="P3" s="5" t="n"/>
    </row>
    <row r="4">
      <c r="A4" s="5" t="n"/>
      <c r="B4" s="6" t="n"/>
      <c r="C4" s="7" t="n"/>
      <c r="D4" s="7" t="n"/>
      <c r="E4" s="7" t="n"/>
      <c r="F4" s="6" t="n"/>
      <c r="G4" s="7" t="n"/>
      <c r="H4" s="7" t="n"/>
      <c r="I4" s="7" t="n"/>
      <c r="J4" s="5" t="n"/>
      <c r="K4" s="6" t="n"/>
      <c r="L4" s="7" t="n"/>
      <c r="M4" s="7" t="n"/>
      <c r="N4" s="6" t="n"/>
      <c r="O4" s="7" t="n"/>
      <c r="P4" s="5" t="n"/>
    </row>
    <row r="5">
      <c r="A5" s="5" t="n"/>
      <c r="B5" s="6" t="n"/>
      <c r="C5" s="7" t="n"/>
      <c r="D5" s="7" t="n"/>
      <c r="E5" s="7" t="n"/>
      <c r="F5" s="6" t="n"/>
      <c r="G5" s="7" t="n"/>
      <c r="H5" s="7" t="n"/>
      <c r="I5" s="7" t="n"/>
      <c r="J5" s="5" t="n"/>
      <c r="K5" s="6" t="n"/>
      <c r="L5" s="7" t="n"/>
      <c r="M5" s="7" t="n"/>
      <c r="N5" s="6" t="n"/>
      <c r="O5" s="7" t="n"/>
      <c r="P5" s="5" t="n"/>
    </row>
    <row r="6">
      <c r="A6" s="5" t="n"/>
      <c r="B6" s="6" t="n"/>
      <c r="C6" s="7" t="n"/>
      <c r="D6" s="7" t="n"/>
      <c r="E6" s="7" t="n"/>
      <c r="F6" s="6" t="n"/>
      <c r="G6" s="7" t="n"/>
      <c r="H6" s="7" t="n"/>
      <c r="I6" s="7" t="n"/>
      <c r="J6" s="5" t="n"/>
      <c r="K6" s="6" t="n"/>
      <c r="L6" s="7" t="n"/>
      <c r="M6" s="7" t="n"/>
      <c r="N6" s="6" t="n"/>
      <c r="O6" s="7" t="n"/>
      <c r="P6" s="5" t="n"/>
    </row>
    <row r="7">
      <c r="A7" s="5" t="n"/>
      <c r="B7" s="6" t="n"/>
      <c r="C7" s="7" t="n"/>
      <c r="D7" s="7" t="n"/>
      <c r="E7" s="7" t="n"/>
      <c r="F7" s="6" t="n"/>
      <c r="G7" s="7" t="n"/>
      <c r="H7" s="7" t="n"/>
      <c r="I7" s="7" t="n"/>
      <c r="J7" s="5" t="n"/>
      <c r="K7" s="6" t="n"/>
      <c r="L7" s="7" t="n"/>
      <c r="M7" s="7" t="n"/>
      <c r="N7" s="6" t="n"/>
      <c r="O7" s="7" t="n"/>
      <c r="P7" s="5" t="n"/>
    </row>
    <row r="8">
      <c r="A8" s="5" t="n"/>
      <c r="B8" s="6" t="n"/>
      <c r="C8" s="7" t="n"/>
      <c r="D8" s="7" t="n"/>
      <c r="E8" s="7" t="n"/>
      <c r="F8" s="6" t="n"/>
      <c r="G8" s="7" t="n"/>
      <c r="H8" s="7" t="n"/>
      <c r="I8" s="7" t="n"/>
      <c r="J8" s="5" t="n"/>
      <c r="K8" s="6" t="n"/>
      <c r="L8" s="7" t="n"/>
      <c r="M8" s="7" t="n"/>
      <c r="N8" s="6" t="n"/>
      <c r="O8" s="7" t="n"/>
      <c r="P8" s="5" t="n"/>
    </row>
    <row r="9">
      <c r="A9" s="5" t="n"/>
      <c r="B9" s="6" t="n"/>
      <c r="C9" s="7" t="n"/>
      <c r="D9" s="7" t="n"/>
      <c r="E9" s="7" t="n"/>
      <c r="F9" s="6" t="n"/>
      <c r="G9" s="7" t="n"/>
      <c r="H9" s="7" t="n"/>
      <c r="I9" s="7" t="n"/>
      <c r="J9" s="5" t="n"/>
      <c r="K9" s="6" t="n"/>
      <c r="L9" s="7" t="n"/>
      <c r="M9" s="7" t="n"/>
      <c r="N9" s="6" t="n"/>
      <c r="O9" s="7" t="n"/>
      <c r="P9" s="5" t="n"/>
    </row>
    <row r="10">
      <c r="A10" s="5" t="n"/>
      <c r="B10" s="6" t="n"/>
      <c r="C10" s="7" t="n"/>
      <c r="D10" s="7" t="n"/>
      <c r="E10" s="7" t="n"/>
      <c r="F10" s="6" t="n"/>
      <c r="G10" s="7" t="n"/>
      <c r="H10" s="7" t="n"/>
      <c r="I10" s="7" t="n"/>
      <c r="J10" s="5" t="n"/>
      <c r="K10" s="6" t="n"/>
      <c r="L10" s="7" t="n"/>
      <c r="M10" s="7" t="n"/>
      <c r="N10" s="6" t="n"/>
      <c r="O10" s="7" t="n"/>
      <c r="P10" s="5" t="n"/>
    </row>
    <row r="11">
      <c r="A11" s="5" t="n"/>
      <c r="B11" s="6" t="n"/>
      <c r="C11" s="7" t="n"/>
      <c r="D11" s="7" t="n"/>
      <c r="E11" s="7" t="n"/>
      <c r="F11" s="6" t="n"/>
      <c r="G11" s="7" t="n"/>
      <c r="H11" s="7" t="n"/>
      <c r="I11" s="7" t="n"/>
      <c r="J11" s="5" t="n"/>
      <c r="K11" s="6" t="n"/>
      <c r="L11" s="7" t="n"/>
      <c r="M11" s="7" t="n"/>
      <c r="N11" s="6" t="n"/>
      <c r="O11" s="7" t="n"/>
      <c r="P11" s="5" t="n"/>
    </row>
    <row r="12">
      <c r="A12" s="5" t="n"/>
      <c r="B12" s="6" t="n"/>
      <c r="C12" s="7" t="n"/>
      <c r="D12" s="7" t="n"/>
      <c r="E12" s="7" t="n"/>
      <c r="F12" s="6" t="n"/>
      <c r="G12" s="7" t="n"/>
      <c r="H12" s="7" t="n"/>
      <c r="I12" s="7" t="n"/>
      <c r="J12" s="5" t="n"/>
      <c r="K12" s="6" t="n"/>
      <c r="L12" s="7" t="n"/>
      <c r="M12" s="7" t="n"/>
      <c r="N12" s="6" t="n"/>
      <c r="O12" s="7" t="n"/>
      <c r="P12" s="5" t="n"/>
    </row>
    <row r="13">
      <c r="A13" s="5" t="n"/>
      <c r="B13" s="6" t="n"/>
      <c r="C13" s="7" t="n"/>
      <c r="D13" s="7" t="n"/>
      <c r="E13" s="7" t="n"/>
      <c r="F13" s="6" t="n"/>
      <c r="G13" s="7" t="n"/>
      <c r="H13" s="7" t="n"/>
      <c r="I13" s="7" t="n"/>
      <c r="J13" s="5" t="n"/>
      <c r="K13" s="6" t="n"/>
      <c r="L13" s="7" t="n"/>
      <c r="M13" s="7" t="n"/>
      <c r="N13" s="6" t="n"/>
      <c r="O13" s="7" t="n"/>
      <c r="P13" s="5" t="n"/>
    </row>
    <row r="14">
      <c r="A14" s="5" t="n"/>
      <c r="B14" s="6" t="n"/>
      <c r="C14" s="7" t="n"/>
      <c r="D14" s="7" t="n"/>
      <c r="E14" s="7" t="n"/>
      <c r="F14" s="6" t="n"/>
      <c r="G14" s="7" t="n"/>
      <c r="H14" s="7" t="n"/>
      <c r="I14" s="7" t="n"/>
      <c r="J14" s="5" t="n"/>
      <c r="K14" s="6" t="n"/>
      <c r="L14" s="7" t="n"/>
      <c r="M14" s="7" t="n"/>
      <c r="N14" s="6" t="n"/>
      <c r="O14" s="7" t="n"/>
      <c r="P14" s="5" t="n"/>
    </row>
    <row r="15">
      <c r="A15" s="5" t="n"/>
      <c r="B15" s="6" t="n"/>
      <c r="C15" s="7" t="n"/>
      <c r="D15" s="7" t="n"/>
      <c r="E15" s="7" t="n"/>
      <c r="F15" s="6" t="n"/>
      <c r="G15" s="7" t="n"/>
      <c r="H15" s="7" t="n"/>
      <c r="I15" s="7" t="n"/>
      <c r="J15" s="5" t="n"/>
      <c r="K15" s="6" t="n"/>
      <c r="L15" s="7" t="n"/>
      <c r="M15" s="7" t="n"/>
      <c r="N15" s="6" t="n"/>
      <c r="O15" s="7" t="n"/>
      <c r="P15" s="5" t="n"/>
    </row>
    <row r="16">
      <c r="A16" s="5" t="n"/>
      <c r="B16" s="6" t="n"/>
      <c r="C16" s="7" t="n"/>
      <c r="D16" s="7" t="n"/>
      <c r="E16" s="7" t="n"/>
      <c r="F16" s="6" t="n"/>
      <c r="G16" s="7" t="n"/>
      <c r="H16" s="7" t="n"/>
      <c r="I16" s="7" t="n"/>
      <c r="J16" s="5" t="n"/>
      <c r="K16" s="6" t="n"/>
      <c r="L16" s="7" t="n"/>
      <c r="M16" s="7" t="n"/>
      <c r="N16" s="6" t="n"/>
      <c r="O16" s="7" t="n"/>
      <c r="P16" s="5" t="n"/>
    </row>
    <row r="17">
      <c r="A17" s="5" t="n"/>
      <c r="B17" s="6" t="n"/>
      <c r="C17" s="7" t="n"/>
      <c r="D17" s="7" t="n"/>
      <c r="E17" s="7" t="n"/>
      <c r="F17" s="6" t="n"/>
      <c r="G17" s="7" t="n"/>
      <c r="H17" s="7" t="n"/>
      <c r="I17" s="7" t="n"/>
      <c r="J17" s="5" t="n"/>
      <c r="K17" s="6" t="n"/>
      <c r="L17" s="7" t="n"/>
      <c r="M17" s="7" t="n"/>
      <c r="N17" s="6" t="n"/>
      <c r="O17" s="7" t="n"/>
      <c r="P17" s="5" t="n"/>
    </row>
    <row r="18">
      <c r="A18" s="5" t="n"/>
      <c r="B18" s="6" t="n"/>
      <c r="C18" s="7" t="n"/>
      <c r="D18" s="7" t="n"/>
      <c r="E18" s="7" t="n"/>
      <c r="F18" s="6" t="n"/>
      <c r="G18" s="7" t="n"/>
      <c r="H18" s="7" t="n"/>
      <c r="I18" s="7" t="n"/>
      <c r="J18" s="5" t="n"/>
      <c r="K18" s="6" t="n"/>
      <c r="L18" s="7" t="n"/>
      <c r="M18" s="7" t="n"/>
      <c r="N18" s="6" t="n"/>
      <c r="O18" s="7" t="n"/>
      <c r="P18" s="5" t="n"/>
    </row>
    <row r="19">
      <c r="A19" s="5" t="n"/>
      <c r="B19" s="6" t="n"/>
      <c r="C19" s="7" t="n"/>
      <c r="D19" s="7" t="n"/>
      <c r="E19" s="7" t="n"/>
      <c r="F19" s="6" t="n"/>
      <c r="G19" s="7" t="n"/>
      <c r="H19" s="7" t="n"/>
      <c r="I19" s="7" t="n"/>
      <c r="J19" s="5" t="n"/>
      <c r="K19" s="6" t="n"/>
      <c r="L19" s="7" t="n"/>
      <c r="M19" s="7" t="n"/>
      <c r="N19" s="6" t="n"/>
      <c r="O19" s="7" t="n"/>
      <c r="P19" s="5" t="n"/>
    </row>
    <row r="20">
      <c r="A20" s="5" t="n"/>
      <c r="B20" s="6" t="n"/>
      <c r="C20" s="7" t="n"/>
      <c r="D20" s="7" t="n"/>
      <c r="E20" s="7" t="n"/>
      <c r="F20" s="6" t="n"/>
      <c r="G20" s="7" t="n"/>
      <c r="H20" s="7" t="n"/>
      <c r="I20" s="7" t="n"/>
      <c r="J20" s="5" t="n"/>
      <c r="K20" s="6" t="n"/>
      <c r="L20" s="7" t="n"/>
      <c r="M20" s="7" t="n"/>
      <c r="N20" s="6" t="n"/>
      <c r="O20" s="7" t="n"/>
      <c r="P20" s="5" t="n"/>
    </row>
    <row r="21">
      <c r="A21" s="5" t="n"/>
      <c r="B21" s="6" t="n"/>
      <c r="C21" s="7" t="n"/>
      <c r="D21" s="7" t="n"/>
      <c r="E21" s="7" t="n"/>
      <c r="F21" s="6" t="n"/>
      <c r="G21" s="7" t="n"/>
      <c r="H21" s="7" t="n"/>
      <c r="I21" s="7" t="n"/>
      <c r="J21" s="5" t="n"/>
      <c r="K21" s="6" t="n"/>
      <c r="L21" s="7" t="n"/>
      <c r="M21" s="7" t="n"/>
      <c r="N21" s="6" t="n"/>
      <c r="O21" s="7" t="n"/>
      <c r="P21" s="5" t="n"/>
    </row>
    <row r="22">
      <c r="A22" s="5" t="n"/>
      <c r="B22" s="6" t="n"/>
      <c r="C22" s="7" t="n"/>
      <c r="D22" s="7" t="n"/>
      <c r="E22" s="7" t="n"/>
      <c r="F22" s="6" t="n"/>
      <c r="G22" s="7" t="n"/>
      <c r="H22" s="7" t="n"/>
      <c r="I22" s="7" t="n"/>
      <c r="J22" s="5" t="n"/>
      <c r="K22" s="6" t="n"/>
      <c r="L22" s="7" t="n"/>
      <c r="M22" s="7" t="n"/>
      <c r="N22" s="6" t="n"/>
      <c r="O22" s="7" t="n"/>
      <c r="P22" s="5" t="n"/>
    </row>
    <row r="23">
      <c r="A23" s="5" t="n"/>
      <c r="B23" s="6" t="n"/>
      <c r="C23" s="7" t="n"/>
      <c r="D23" s="7" t="n"/>
      <c r="E23" s="7" t="n"/>
      <c r="F23" s="6" t="n"/>
      <c r="G23" s="7" t="n"/>
      <c r="H23" s="7" t="n"/>
      <c r="I23" s="7" t="n"/>
      <c r="J23" s="5" t="n"/>
      <c r="K23" s="6" t="n"/>
      <c r="L23" s="7" t="n"/>
      <c r="M23" s="7" t="n"/>
      <c r="N23" s="6" t="n"/>
      <c r="O23" s="7" t="n"/>
      <c r="P23" s="5" t="n"/>
    </row>
    <row r="24">
      <c r="A24" s="5" t="n"/>
      <c r="B24" s="6" t="n"/>
      <c r="C24" s="7" t="n"/>
      <c r="D24" s="7" t="n"/>
      <c r="E24" s="7" t="n"/>
      <c r="F24" s="6" t="n"/>
      <c r="G24" s="7" t="n"/>
      <c r="H24" s="7" t="n"/>
      <c r="I24" s="7" t="n"/>
      <c r="J24" s="5" t="n"/>
      <c r="K24" s="6" t="n"/>
      <c r="L24" s="7" t="n"/>
      <c r="M24" s="7" t="n"/>
      <c r="N24" s="6" t="n"/>
      <c r="O24" s="7" t="n"/>
      <c r="P24" s="5" t="n"/>
    </row>
    <row r="25">
      <c r="A25" s="5" t="n"/>
      <c r="B25" s="6" t="n"/>
      <c r="C25" s="7" t="n"/>
      <c r="D25" s="7" t="n"/>
      <c r="E25" s="7" t="n"/>
      <c r="F25" s="6" t="n"/>
      <c r="G25" s="7" t="n"/>
      <c r="H25" s="7" t="n"/>
      <c r="I25" s="7" t="n"/>
      <c r="J25" s="5" t="n"/>
      <c r="K25" s="6" t="n"/>
      <c r="L25" s="7" t="n"/>
      <c r="M25" s="7" t="n"/>
      <c r="N25" s="6" t="n"/>
      <c r="O25" s="7" t="n"/>
      <c r="P25" s="5" t="n"/>
    </row>
    <row r="26">
      <c r="A26" s="5" t="n"/>
      <c r="B26" s="6" t="n"/>
      <c r="C26" s="7" t="n"/>
      <c r="D26" s="7" t="n"/>
      <c r="E26" s="7" t="n"/>
      <c r="F26" s="6" t="n"/>
      <c r="G26" s="7" t="n"/>
      <c r="H26" s="7" t="n"/>
      <c r="I26" s="7" t="n"/>
      <c r="J26" s="5" t="n"/>
      <c r="K26" s="6" t="n"/>
      <c r="L26" s="7" t="n"/>
      <c r="M26" s="7" t="n"/>
      <c r="N26" s="6" t="n"/>
      <c r="O26" s="7" t="n"/>
      <c r="P26" s="5" t="n"/>
    </row>
    <row r="27">
      <c r="A27" s="5" t="n"/>
      <c r="B27" s="6" t="n"/>
      <c r="C27" s="7" t="n"/>
      <c r="D27" s="7" t="n"/>
      <c r="E27" s="7" t="n"/>
      <c r="F27" s="6" t="n"/>
      <c r="G27" s="7" t="n"/>
      <c r="H27" s="7" t="n"/>
      <c r="I27" s="7" t="n"/>
      <c r="J27" s="5" t="n"/>
      <c r="K27" s="6" t="n"/>
      <c r="L27" s="7" t="n"/>
      <c r="M27" s="7" t="n"/>
      <c r="N27" s="6" t="n"/>
      <c r="O27" s="7" t="n"/>
      <c r="P27" s="5" t="n"/>
    </row>
    <row r="28">
      <c r="A28" s="5" t="n"/>
      <c r="B28" s="6" t="n"/>
      <c r="C28" s="7" t="n"/>
      <c r="D28" s="7" t="n"/>
      <c r="E28" s="7" t="n"/>
      <c r="F28" s="6" t="n"/>
      <c r="G28" s="7" t="n"/>
      <c r="H28" s="7" t="n"/>
      <c r="I28" s="7" t="n"/>
      <c r="J28" s="5" t="n"/>
      <c r="K28" s="6" t="n"/>
      <c r="L28" s="7" t="n"/>
      <c r="M28" s="7" t="n"/>
      <c r="N28" s="6" t="n"/>
      <c r="O28" s="7" t="n"/>
      <c r="P28" s="5" t="n"/>
    </row>
    <row r="29">
      <c r="A29" s="5" t="n"/>
      <c r="B29" s="6" t="n"/>
      <c r="C29" s="7" t="n"/>
      <c r="D29" s="7" t="n"/>
      <c r="E29" s="7" t="n"/>
      <c r="F29" s="6" t="n"/>
      <c r="G29" s="7" t="n"/>
      <c r="H29" s="7" t="n"/>
      <c r="I29" s="7" t="n"/>
      <c r="J29" s="5" t="n"/>
      <c r="K29" s="6" t="n"/>
      <c r="L29" s="7" t="n"/>
      <c r="M29" s="7" t="n"/>
      <c r="N29" s="6" t="n"/>
      <c r="O29" s="7" t="n"/>
      <c r="P29" s="5" t="n"/>
    </row>
    <row r="30">
      <c r="A30" s="5" t="n"/>
      <c r="B30" s="6" t="n"/>
      <c r="C30" s="7" t="n"/>
      <c r="D30" s="7" t="n"/>
      <c r="E30" s="7" t="n"/>
      <c r="F30" s="6" t="n"/>
      <c r="G30" s="7" t="n"/>
      <c r="H30" s="7" t="n"/>
      <c r="I30" s="7" t="n"/>
      <c r="J30" s="5" t="n"/>
      <c r="K30" s="6" t="n"/>
      <c r="L30" s="7" t="n"/>
      <c r="M30" s="7" t="n"/>
      <c r="N30" s="6" t="n"/>
      <c r="O30" s="7" t="n"/>
      <c r="P30" s="5" t="n"/>
    </row>
    <row r="31">
      <c r="A31" s="5" t="n"/>
      <c r="B31" s="6" t="n"/>
      <c r="C31" s="7" t="n"/>
      <c r="D31" s="7" t="n"/>
      <c r="E31" s="7" t="n"/>
      <c r="F31" s="6" t="n"/>
      <c r="G31" s="7" t="n"/>
      <c r="H31" s="7" t="n"/>
      <c r="I31" s="7" t="n"/>
      <c r="J31" s="5" t="n"/>
      <c r="K31" s="6" t="n"/>
      <c r="L31" s="7" t="n"/>
      <c r="M31" s="7" t="n"/>
      <c r="N31" s="6" t="n"/>
      <c r="O31" s="7" t="n"/>
      <c r="P31" s="5" t="n"/>
    </row>
    <row r="32">
      <c r="A32" s="5" t="n"/>
      <c r="B32" s="6" t="n"/>
      <c r="C32" s="7" t="n"/>
      <c r="D32" s="7" t="n"/>
      <c r="E32" s="7" t="n"/>
      <c r="F32" s="6" t="n"/>
      <c r="G32" s="7" t="n"/>
      <c r="H32" s="7" t="n"/>
      <c r="I32" s="7" t="n"/>
      <c r="J32" s="5" t="n"/>
      <c r="K32" s="6" t="n"/>
      <c r="L32" s="7" t="n"/>
      <c r="M32" s="7" t="n"/>
      <c r="N32" s="6" t="n"/>
      <c r="O32" s="7" t="n"/>
      <c r="P32" s="5" t="n"/>
    </row>
    <row r="33">
      <c r="A33" s="5" t="n"/>
      <c r="B33" s="6" t="n"/>
      <c r="C33" s="7" t="n"/>
      <c r="D33" s="7" t="n"/>
      <c r="E33" s="7" t="n"/>
      <c r="F33" s="6" t="n"/>
      <c r="G33" s="7" t="n"/>
      <c r="H33" s="7" t="n"/>
      <c r="I33" s="7" t="n"/>
      <c r="J33" s="5" t="n"/>
      <c r="K33" s="6" t="n"/>
      <c r="L33" s="7" t="n"/>
      <c r="M33" s="7" t="n"/>
      <c r="N33" s="6" t="n"/>
      <c r="O33" s="7" t="n"/>
      <c r="P33" s="5" t="n"/>
    </row>
    <row r="34">
      <c r="A34" s="5" t="n"/>
      <c r="B34" s="6" t="n"/>
      <c r="C34" s="7" t="n"/>
      <c r="D34" s="7" t="n"/>
      <c r="E34" s="7" t="n"/>
      <c r="F34" s="6" t="n"/>
      <c r="G34" s="7" t="n"/>
      <c r="H34" s="7" t="n"/>
      <c r="I34" s="7" t="n"/>
      <c r="J34" s="5" t="n"/>
      <c r="K34" s="6" t="n"/>
      <c r="L34" s="7" t="n"/>
      <c r="M34" s="7" t="n"/>
      <c r="N34" s="6" t="n"/>
      <c r="O34" s="7" t="n"/>
      <c r="P34" s="5" t="n"/>
    </row>
    <row r="35">
      <c r="A35" s="5" t="n"/>
      <c r="B35" s="6" t="n"/>
      <c r="C35" s="7" t="n"/>
      <c r="D35" s="7" t="n"/>
      <c r="E35" s="7" t="n"/>
      <c r="F35" s="6" t="n"/>
      <c r="G35" s="7" t="n"/>
      <c r="H35" s="7" t="n"/>
      <c r="I35" s="7" t="n"/>
      <c r="J35" s="5" t="n"/>
      <c r="K35" s="6" t="n"/>
      <c r="L35" s="7" t="n"/>
      <c r="M35" s="7" t="n"/>
      <c r="N35" s="6" t="n"/>
      <c r="O35" s="7" t="n"/>
      <c r="P35" s="5" t="n"/>
    </row>
    <row r="36">
      <c r="A36" s="5" t="n"/>
      <c r="B36" s="6" t="n"/>
      <c r="C36" s="7" t="n"/>
      <c r="D36" s="7" t="n"/>
      <c r="E36" s="7" t="n"/>
      <c r="F36" s="6" t="n"/>
      <c r="G36" s="7" t="n"/>
      <c r="H36" s="7" t="n"/>
      <c r="I36" s="7" t="n"/>
      <c r="J36" s="5" t="n"/>
      <c r="K36" s="6" t="n"/>
      <c r="L36" s="7" t="n"/>
      <c r="M36" s="7" t="n"/>
      <c r="N36" s="6" t="n"/>
      <c r="O36" s="7" t="n"/>
      <c r="P36" s="5" t="n"/>
    </row>
    <row r="37">
      <c r="A37" s="5" t="n"/>
      <c r="B37" s="6" t="n"/>
      <c r="C37" s="7" t="n"/>
      <c r="D37" s="7" t="n"/>
      <c r="E37" s="7" t="n"/>
      <c r="F37" s="6" t="n"/>
      <c r="G37" s="7" t="n"/>
      <c r="H37" s="7" t="n"/>
      <c r="I37" s="7" t="n"/>
      <c r="J37" s="5" t="n"/>
      <c r="K37" s="6" t="n"/>
      <c r="L37" s="7" t="n"/>
      <c r="M37" s="7" t="n"/>
      <c r="N37" s="6" t="n"/>
      <c r="O37" s="7" t="n"/>
      <c r="P37" s="5" t="n"/>
    </row>
    <row r="38">
      <c r="A38" s="5" t="n"/>
      <c r="B38" s="6" t="n"/>
      <c r="C38" s="7" t="n"/>
      <c r="D38" s="7" t="n"/>
      <c r="E38" s="7" t="n"/>
      <c r="F38" s="6" t="n"/>
      <c r="G38" s="7" t="n"/>
      <c r="H38" s="7" t="n"/>
      <c r="I38" s="7" t="n"/>
      <c r="J38" s="5" t="n"/>
      <c r="K38" s="6" t="n"/>
      <c r="L38" s="7" t="n"/>
      <c r="M38" s="7" t="n"/>
      <c r="N38" s="6" t="n"/>
      <c r="O38" s="7" t="n"/>
      <c r="P38" s="5" t="n"/>
    </row>
    <row r="39">
      <c r="A39" s="5" t="n"/>
      <c r="B39" s="6" t="n"/>
      <c r="C39" s="7" t="n"/>
      <c r="D39" s="7" t="n"/>
      <c r="E39" s="7" t="n"/>
      <c r="F39" s="6" t="n"/>
      <c r="G39" s="7" t="n"/>
      <c r="H39" s="7" t="n"/>
      <c r="I39" s="7" t="n"/>
      <c r="J39" s="5" t="n"/>
      <c r="K39" s="6" t="n"/>
      <c r="L39" s="7" t="n"/>
      <c r="M39" s="7" t="n"/>
      <c r="N39" s="6" t="n"/>
      <c r="O39" s="7" t="n"/>
      <c r="P39" s="5" t="n"/>
    </row>
    <row r="40">
      <c r="A40" s="5" t="n"/>
      <c r="B40" s="6" t="n"/>
      <c r="C40" s="7" t="n"/>
      <c r="D40" s="7" t="n"/>
      <c r="E40" s="7" t="n"/>
      <c r="F40" s="6" t="n"/>
      <c r="G40" s="7" t="n"/>
      <c r="H40" s="7" t="n"/>
      <c r="I40" s="7" t="n"/>
      <c r="J40" s="5" t="n"/>
      <c r="K40" s="6" t="n"/>
      <c r="L40" s="7" t="n"/>
      <c r="M40" s="7" t="n"/>
      <c r="N40" s="6" t="n"/>
      <c r="O40" s="7" t="n"/>
      <c r="P40" s="5" t="n"/>
    </row>
    <row r="41">
      <c r="A41" s="5" t="n"/>
      <c r="B41" s="6" t="n"/>
      <c r="C41" s="7" t="n"/>
      <c r="D41" s="7" t="n"/>
      <c r="E41" s="7" t="n"/>
      <c r="F41" s="6" t="n"/>
      <c r="G41" s="7" t="n"/>
      <c r="H41" s="7" t="n"/>
      <c r="I41" s="7" t="n"/>
      <c r="J41" s="5" t="n"/>
      <c r="K41" s="6" t="n"/>
      <c r="L41" s="7" t="n"/>
      <c r="M41" s="7" t="n"/>
      <c r="N41" s="6" t="n"/>
      <c r="O41" s="7" t="n"/>
      <c r="P41" s="5" t="n"/>
    </row>
    <row r="42">
      <c r="A42" s="5" t="n"/>
      <c r="B42" s="6" t="n"/>
      <c r="C42" s="7" t="n"/>
      <c r="D42" s="7" t="n"/>
      <c r="E42" s="7" t="n"/>
      <c r="F42" s="6" t="n"/>
      <c r="G42" s="7" t="n"/>
      <c r="H42" s="7" t="n"/>
      <c r="I42" s="7" t="n"/>
      <c r="J42" s="5" t="n"/>
      <c r="K42" s="6" t="n"/>
      <c r="L42" s="7" t="n"/>
      <c r="M42" s="7" t="n"/>
      <c r="N42" s="6" t="n"/>
      <c r="O42" s="7" t="n"/>
      <c r="P42" s="5" t="n"/>
    </row>
    <row r="43">
      <c r="A43" s="5" t="n"/>
      <c r="B43" s="6" t="n"/>
      <c r="C43" s="7" t="n"/>
      <c r="D43" s="7" t="n"/>
      <c r="E43" s="7" t="n"/>
      <c r="F43" s="6" t="n"/>
      <c r="G43" s="7" t="n"/>
      <c r="H43" s="7" t="n"/>
      <c r="I43" s="7" t="n"/>
      <c r="J43" s="5" t="n"/>
      <c r="K43" s="6" t="n"/>
      <c r="L43" s="7" t="n"/>
      <c r="M43" s="7" t="n"/>
      <c r="N43" s="6" t="n"/>
      <c r="O43" s="7" t="n"/>
      <c r="P43" s="5" t="n"/>
    </row>
    <row r="44">
      <c r="A44" s="5" t="n"/>
      <c r="B44" s="6" t="n"/>
      <c r="C44" s="7" t="n"/>
      <c r="D44" s="7" t="n"/>
      <c r="E44" s="7" t="n"/>
      <c r="F44" s="6" t="n"/>
      <c r="G44" s="7" t="n"/>
      <c r="H44" s="7" t="n"/>
      <c r="I44" s="7" t="n"/>
      <c r="J44" s="5" t="n"/>
      <c r="K44" s="6" t="n"/>
      <c r="L44" s="7" t="n"/>
      <c r="M44" s="7" t="n"/>
      <c r="N44" s="6" t="n"/>
      <c r="O44" s="7" t="n"/>
      <c r="P44" s="5" t="n"/>
    </row>
    <row r="45">
      <c r="A45" s="5" t="n"/>
      <c r="B45" s="6" t="n"/>
      <c r="C45" s="7" t="n"/>
      <c r="D45" s="7" t="n"/>
      <c r="E45" s="7" t="n"/>
      <c r="F45" s="6" t="n"/>
      <c r="G45" s="7" t="n"/>
      <c r="H45" s="7" t="n"/>
      <c r="I45" s="7" t="n"/>
      <c r="J45" s="5" t="n"/>
      <c r="K45" s="6" t="n"/>
      <c r="L45" s="7" t="n"/>
      <c r="M45" s="7" t="n"/>
      <c r="N45" s="6" t="n"/>
      <c r="O45" s="7" t="n"/>
      <c r="P45" s="5" t="n"/>
    </row>
    <row r="46">
      <c r="A46" s="5" t="n"/>
      <c r="B46" s="6" t="n"/>
      <c r="C46" s="7" t="n"/>
      <c r="D46" s="7" t="n"/>
      <c r="E46" s="7" t="n"/>
      <c r="F46" s="6" t="n"/>
      <c r="G46" s="7" t="n"/>
      <c r="H46" s="7" t="n"/>
      <c r="I46" s="7" t="n"/>
      <c r="J46" s="5" t="n"/>
      <c r="K46" s="6" t="n"/>
      <c r="L46" s="7" t="n"/>
      <c r="M46" s="7" t="n"/>
      <c r="N46" s="6" t="n"/>
      <c r="O46" s="7" t="n"/>
      <c r="P46" s="5" t="n"/>
    </row>
    <row r="47">
      <c r="A47" s="5" t="n"/>
      <c r="B47" s="6" t="n"/>
      <c r="C47" s="7" t="n"/>
      <c r="D47" s="7" t="n"/>
      <c r="E47" s="7" t="n"/>
      <c r="F47" s="6" t="n"/>
      <c r="G47" s="7" t="n"/>
      <c r="H47" s="7" t="n"/>
      <c r="I47" s="7" t="n"/>
      <c r="J47" s="5" t="n"/>
      <c r="K47" s="6" t="n"/>
      <c r="L47" s="7" t="n"/>
      <c r="M47" s="7" t="n"/>
      <c r="N47" s="6" t="n"/>
      <c r="O47" s="7" t="n"/>
      <c r="P47" s="5" t="n"/>
    </row>
    <row r="48">
      <c r="A48" s="5" t="n"/>
      <c r="B48" s="6" t="n"/>
      <c r="C48" s="7" t="n"/>
      <c r="D48" s="7" t="n"/>
      <c r="E48" s="7" t="n"/>
      <c r="F48" s="6" t="n"/>
      <c r="G48" s="7" t="n"/>
      <c r="H48" s="7" t="n"/>
      <c r="I48" s="7" t="n"/>
      <c r="J48" s="5" t="n"/>
      <c r="K48" s="6" t="n"/>
      <c r="L48" s="7" t="n"/>
      <c r="M48" s="7" t="n"/>
      <c r="N48" s="6" t="n"/>
      <c r="O48" s="7" t="n"/>
      <c r="P48" s="5" t="n"/>
    </row>
    <row r="49">
      <c r="A49" s="5" t="n"/>
      <c r="B49" s="6" t="n"/>
      <c r="C49" s="7" t="n"/>
      <c r="D49" s="7" t="n"/>
      <c r="E49" s="7" t="n"/>
      <c r="F49" s="6" t="n"/>
      <c r="G49" s="7" t="n"/>
      <c r="H49" s="7" t="n"/>
      <c r="I49" s="7" t="n"/>
      <c r="J49" s="5" t="n"/>
      <c r="K49" s="6" t="n"/>
      <c r="L49" s="7" t="n"/>
      <c r="M49" s="7" t="n"/>
      <c r="N49" s="6" t="n"/>
      <c r="O49" s="7" t="n"/>
      <c r="P49" s="5" t="n"/>
    </row>
    <row r="50">
      <c r="A50" s="5" t="n"/>
      <c r="B50" s="6" t="n"/>
      <c r="C50" s="7" t="n"/>
      <c r="D50" s="7" t="n"/>
      <c r="E50" s="7" t="n"/>
      <c r="F50" s="6" t="n"/>
      <c r="G50" s="7" t="n"/>
      <c r="H50" s="7" t="n"/>
      <c r="I50" s="7" t="n"/>
      <c r="J50" s="5" t="n"/>
      <c r="K50" s="6" t="n"/>
      <c r="L50" s="7" t="n"/>
      <c r="M50" s="7" t="n"/>
      <c r="N50" s="6" t="n"/>
      <c r="O50" s="7" t="n"/>
      <c r="P50" s="5" t="n"/>
    </row>
    <row r="51">
      <c r="A51" s="5" t="n"/>
      <c r="B51" s="6" t="n"/>
      <c r="C51" s="7" t="n"/>
      <c r="D51" s="7" t="n"/>
      <c r="E51" s="7" t="n"/>
      <c r="F51" s="6" t="n"/>
      <c r="G51" s="7" t="n"/>
      <c r="H51" s="7" t="n"/>
      <c r="I51" s="7" t="n"/>
      <c r="J51" s="5" t="n"/>
      <c r="K51" s="6" t="n"/>
      <c r="L51" s="7" t="n"/>
      <c r="M51" s="7" t="n"/>
      <c r="N51" s="6" t="n"/>
      <c r="O51" s="7" t="n"/>
      <c r="P51" s="5" t="n"/>
    </row>
    <row r="52">
      <c r="A52" s="5" t="n"/>
      <c r="B52" s="6" t="n"/>
      <c r="C52" s="7" t="n"/>
      <c r="D52" s="7" t="n"/>
      <c r="E52" s="7" t="n"/>
      <c r="F52" s="6" t="n"/>
      <c r="G52" s="7" t="n"/>
      <c r="H52" s="7" t="n"/>
      <c r="I52" s="7" t="n"/>
      <c r="J52" s="5" t="n"/>
      <c r="K52" s="6" t="n"/>
      <c r="L52" s="7" t="n"/>
      <c r="M52" s="7" t="n"/>
      <c r="N52" s="6" t="n"/>
      <c r="O52" s="7" t="n"/>
      <c r="P52" s="5" t="n"/>
    </row>
    <row r="53">
      <c r="A53" s="5" t="n"/>
      <c r="B53" s="6" t="n"/>
      <c r="C53" s="7" t="n"/>
      <c r="D53" s="7" t="n"/>
      <c r="E53" s="7" t="n"/>
      <c r="F53" s="6" t="n"/>
      <c r="G53" s="7" t="n"/>
      <c r="H53" s="7" t="n"/>
      <c r="I53" s="7" t="n"/>
      <c r="J53" s="5" t="n"/>
      <c r="K53" s="6" t="n"/>
      <c r="L53" s="7" t="n"/>
      <c r="M53" s="7" t="n"/>
      <c r="N53" s="6" t="n"/>
      <c r="O53" s="7" t="n"/>
      <c r="P53" s="5" t="n"/>
    </row>
    <row r="54">
      <c r="A54" s="5" t="n"/>
      <c r="B54" s="6" t="n"/>
      <c r="C54" s="7" t="n"/>
      <c r="D54" s="7" t="n"/>
      <c r="E54" s="7" t="n"/>
      <c r="F54" s="6" t="n"/>
      <c r="G54" s="7" t="n"/>
      <c r="H54" s="7" t="n"/>
      <c r="I54" s="7" t="n"/>
      <c r="J54" s="5" t="n"/>
      <c r="K54" s="6" t="n"/>
      <c r="L54" s="7" t="n"/>
      <c r="M54" s="7" t="n"/>
      <c r="N54" s="6" t="n"/>
      <c r="O54" s="7" t="n"/>
      <c r="P54" s="5" t="n"/>
    </row>
    <row r="55">
      <c r="A55" s="5" t="n"/>
      <c r="B55" s="6" t="n"/>
      <c r="C55" s="7" t="n"/>
      <c r="D55" s="7" t="n"/>
      <c r="E55" s="7" t="n"/>
      <c r="F55" s="6" t="n"/>
      <c r="G55" s="7" t="n"/>
      <c r="H55" s="7" t="n"/>
      <c r="I55" s="7" t="n"/>
      <c r="J55" s="5" t="n"/>
      <c r="K55" s="6" t="n"/>
      <c r="L55" s="7" t="n"/>
      <c r="M55" s="7" t="n"/>
      <c r="N55" s="6" t="n"/>
      <c r="O55" s="7" t="n"/>
      <c r="P55" s="5" t="n"/>
    </row>
    <row r="56">
      <c r="A56" s="5" t="n"/>
      <c r="B56" s="6" t="n"/>
      <c r="C56" s="7" t="n"/>
      <c r="D56" s="7" t="n"/>
      <c r="E56" s="7" t="n"/>
      <c r="F56" s="6" t="n"/>
      <c r="G56" s="7" t="n"/>
      <c r="H56" s="7" t="n"/>
      <c r="I56" s="7" t="n"/>
      <c r="J56" s="5" t="n"/>
      <c r="K56" s="6" t="n"/>
      <c r="L56" s="7" t="n"/>
      <c r="M56" s="7" t="n"/>
      <c r="N56" s="6" t="n"/>
      <c r="O56" s="7" t="n"/>
      <c r="P56" s="5" t="n"/>
    </row>
    <row r="57">
      <c r="A57" s="5" t="n"/>
      <c r="B57" s="6" t="n"/>
      <c r="C57" s="7" t="n"/>
      <c r="D57" s="7" t="n"/>
      <c r="E57" s="7" t="n"/>
      <c r="F57" s="6" t="n"/>
      <c r="G57" s="7" t="n"/>
      <c r="H57" s="7" t="n"/>
      <c r="I57" s="7" t="n"/>
      <c r="J57" s="5" t="n"/>
      <c r="K57" s="6" t="n"/>
      <c r="L57" s="7" t="n"/>
      <c r="M57" s="7" t="n"/>
      <c r="N57" s="6" t="n"/>
      <c r="O57" s="7" t="n"/>
      <c r="P57" s="5" t="n"/>
    </row>
    <row r="58">
      <c r="A58" s="5" t="n"/>
      <c r="B58" s="6" t="n"/>
      <c r="C58" s="7" t="n"/>
      <c r="D58" s="7" t="n"/>
      <c r="E58" s="7" t="n"/>
      <c r="F58" s="6" t="n"/>
      <c r="G58" s="7" t="n"/>
      <c r="H58" s="7" t="n"/>
      <c r="I58" s="7" t="n"/>
      <c r="J58" s="5" t="n"/>
      <c r="K58" s="6" t="n"/>
      <c r="L58" s="7" t="n"/>
      <c r="M58" s="7" t="n"/>
      <c r="N58" s="6" t="n"/>
      <c r="O58" s="7" t="n"/>
      <c r="P58" s="5" t="n"/>
    </row>
    <row r="59">
      <c r="A59" s="5" t="n"/>
      <c r="B59" s="6" t="n"/>
      <c r="C59" s="7" t="n"/>
      <c r="D59" s="7" t="n"/>
      <c r="E59" s="7" t="n"/>
      <c r="F59" s="6" t="n"/>
      <c r="G59" s="7" t="n"/>
      <c r="H59" s="7" t="n"/>
      <c r="I59" s="7" t="n"/>
      <c r="J59" s="5" t="n"/>
      <c r="K59" s="6" t="n"/>
      <c r="L59" s="7" t="n"/>
      <c r="M59" s="7" t="n"/>
      <c r="N59" s="6" t="n"/>
      <c r="O59" s="7" t="n"/>
      <c r="P59" s="5" t="n"/>
    </row>
    <row r="60">
      <c r="A60" s="5" t="n"/>
      <c r="B60" s="6" t="n"/>
      <c r="C60" s="7" t="n"/>
      <c r="D60" s="7" t="n"/>
      <c r="E60" s="7" t="n"/>
      <c r="F60" s="6" t="n"/>
      <c r="G60" s="7" t="n"/>
      <c r="H60" s="7" t="n"/>
      <c r="I60" s="7" t="n"/>
      <c r="J60" s="5" t="n"/>
      <c r="K60" s="6" t="n"/>
      <c r="L60" s="7" t="n"/>
      <c r="M60" s="7" t="n"/>
      <c r="N60" s="6" t="n"/>
      <c r="O60" s="7" t="n"/>
      <c r="P60" s="5" t="n"/>
    </row>
    <row r="61">
      <c r="A61" s="5" t="n"/>
      <c r="B61" s="6" t="n"/>
      <c r="C61" s="7" t="n"/>
      <c r="D61" s="7" t="n"/>
      <c r="E61" s="7" t="n"/>
      <c r="F61" s="6" t="n"/>
      <c r="G61" s="7" t="n"/>
      <c r="H61" s="7" t="n"/>
      <c r="I61" s="7" t="n"/>
      <c r="J61" s="5" t="n"/>
      <c r="K61" s="6" t="n"/>
      <c r="L61" s="7" t="n"/>
      <c r="M61" s="7" t="n"/>
      <c r="N61" s="6" t="n"/>
      <c r="O61" s="7" t="n"/>
      <c r="P61" s="5" t="n"/>
    </row>
    <row r="62">
      <c r="A62" s="5" t="n"/>
      <c r="B62" s="6" t="n"/>
      <c r="C62" s="7" t="n"/>
      <c r="D62" s="7" t="n"/>
      <c r="E62" s="7" t="n"/>
      <c r="F62" s="6" t="n"/>
      <c r="G62" s="7" t="n"/>
      <c r="H62" s="7" t="n"/>
      <c r="I62" s="7" t="n"/>
      <c r="J62" s="5" t="n"/>
      <c r="K62" s="6" t="n"/>
      <c r="L62" s="7" t="n"/>
      <c r="M62" s="7" t="n"/>
      <c r="N62" s="6" t="n"/>
      <c r="O62" s="7" t="n"/>
      <c r="P62" s="5" t="n"/>
    </row>
    <row r="63">
      <c r="A63" s="5" t="n"/>
      <c r="B63" s="6" t="n"/>
      <c r="C63" s="7" t="n"/>
      <c r="D63" s="7" t="n"/>
      <c r="E63" s="7" t="n"/>
      <c r="F63" s="6" t="n"/>
      <c r="G63" s="7" t="n"/>
      <c r="H63" s="7" t="n"/>
      <c r="I63" s="7" t="n"/>
      <c r="J63" s="5" t="n"/>
      <c r="K63" s="6" t="n"/>
      <c r="L63" s="7" t="n"/>
      <c r="M63" s="7" t="n"/>
      <c r="N63" s="6" t="n"/>
      <c r="O63" s="7" t="n"/>
      <c r="P63" s="5" t="n"/>
    </row>
    <row r="64">
      <c r="A64" s="5" t="n"/>
      <c r="B64" s="6" t="n"/>
      <c r="C64" s="7" t="n"/>
      <c r="D64" s="7" t="n"/>
      <c r="E64" s="7" t="n"/>
      <c r="F64" s="6" t="n"/>
      <c r="G64" s="7" t="n"/>
      <c r="H64" s="7" t="n"/>
      <c r="I64" s="7" t="n"/>
      <c r="J64" s="5" t="n"/>
      <c r="K64" s="6" t="n"/>
      <c r="L64" s="7" t="n"/>
      <c r="M64" s="7" t="n"/>
      <c r="N64" s="6" t="n"/>
      <c r="O64" s="7" t="n"/>
      <c r="P64" s="5" t="n"/>
    </row>
    <row r="65">
      <c r="A65" s="5" t="n"/>
      <c r="B65" s="6" t="n"/>
      <c r="C65" s="7" t="n"/>
      <c r="D65" s="7" t="n"/>
      <c r="E65" s="7" t="n"/>
      <c r="F65" s="6" t="n"/>
      <c r="G65" s="7" t="n"/>
      <c r="H65" s="7" t="n"/>
      <c r="I65" s="7" t="n"/>
      <c r="J65" s="5" t="n"/>
      <c r="K65" s="6" t="n"/>
      <c r="L65" s="7" t="n"/>
      <c r="M65" s="7" t="n"/>
      <c r="N65" s="6" t="n"/>
      <c r="O65" s="7" t="n"/>
      <c r="P65" s="5" t="n"/>
    </row>
    <row r="66">
      <c r="A66" s="5" t="n"/>
      <c r="B66" s="6" t="n"/>
      <c r="C66" s="7" t="n"/>
      <c r="D66" s="7" t="n"/>
      <c r="E66" s="7" t="n"/>
      <c r="F66" s="6" t="n"/>
      <c r="G66" s="7" t="n"/>
      <c r="H66" s="7" t="n"/>
      <c r="I66" s="7" t="n"/>
      <c r="J66" s="5" t="n"/>
      <c r="K66" s="6" t="n"/>
      <c r="L66" s="7" t="n"/>
      <c r="M66" s="7" t="n"/>
      <c r="N66" s="6" t="n"/>
      <c r="O66" s="7" t="n"/>
      <c r="P66" s="5" t="n"/>
    </row>
    <row r="67">
      <c r="A67" s="5" t="n"/>
      <c r="B67" s="6" t="n"/>
      <c r="C67" s="7" t="n"/>
      <c r="D67" s="7" t="n"/>
      <c r="E67" s="7" t="n"/>
      <c r="F67" s="6" t="n"/>
      <c r="G67" s="7" t="n"/>
      <c r="H67" s="7" t="n"/>
      <c r="I67" s="7" t="n"/>
      <c r="J67" s="5" t="n"/>
      <c r="K67" s="6" t="n"/>
      <c r="L67" s="7" t="n"/>
      <c r="M67" s="7" t="n"/>
      <c r="N67" s="6" t="n"/>
      <c r="O67" s="7" t="n"/>
      <c r="P67" s="5" t="n"/>
    </row>
    <row r="68">
      <c r="A68" s="5" t="n"/>
      <c r="B68" s="6" t="n"/>
      <c r="C68" s="7" t="n"/>
      <c r="D68" s="7" t="n"/>
      <c r="E68" s="7" t="n"/>
      <c r="F68" s="6" t="n"/>
      <c r="G68" s="7" t="n"/>
      <c r="H68" s="7" t="n"/>
      <c r="I68" s="7" t="n"/>
      <c r="J68" s="5" t="n"/>
      <c r="K68" s="6" t="n"/>
      <c r="L68" s="7" t="n"/>
      <c r="M68" s="7" t="n"/>
      <c r="N68" s="6" t="n"/>
      <c r="O68" s="7" t="n"/>
      <c r="P68" s="5" t="n"/>
    </row>
    <row r="69">
      <c r="A69" s="5" t="n"/>
      <c r="B69" s="6" t="n"/>
      <c r="C69" s="7" t="n"/>
      <c r="D69" s="7" t="n"/>
      <c r="E69" s="7" t="n"/>
      <c r="F69" s="6" t="n"/>
      <c r="G69" s="7" t="n"/>
      <c r="H69" s="7" t="n"/>
      <c r="I69" s="7" t="n"/>
      <c r="J69" s="5" t="n"/>
      <c r="K69" s="6" t="n"/>
      <c r="L69" s="7" t="n"/>
      <c r="M69" s="7" t="n"/>
      <c r="N69" s="6" t="n"/>
      <c r="O69" s="7" t="n"/>
      <c r="P69" s="5" t="n"/>
    </row>
    <row r="70">
      <c r="A70" s="5" t="n"/>
      <c r="B70" s="6" t="n"/>
      <c r="C70" s="7" t="n"/>
      <c r="D70" s="7" t="n"/>
      <c r="E70" s="7" t="n"/>
      <c r="F70" s="6" t="n"/>
      <c r="G70" s="7" t="n"/>
      <c r="H70" s="7" t="n"/>
      <c r="I70" s="7" t="n"/>
      <c r="J70" s="5" t="n"/>
      <c r="K70" s="6" t="n"/>
      <c r="L70" s="7" t="n"/>
      <c r="M70" s="7" t="n"/>
      <c r="N70" s="6" t="n"/>
      <c r="O70" s="7" t="n"/>
      <c r="P70" s="5" t="n"/>
    </row>
    <row r="71">
      <c r="A71" s="5" t="n"/>
      <c r="B71" s="6" t="n"/>
      <c r="C71" s="7" t="n"/>
      <c r="D71" s="7" t="n"/>
      <c r="E71" s="7" t="n"/>
      <c r="F71" s="6" t="n"/>
      <c r="G71" s="7" t="n"/>
      <c r="H71" s="7" t="n"/>
      <c r="I71" s="7" t="n"/>
      <c r="J71" s="5" t="n"/>
      <c r="K71" s="6" t="n"/>
      <c r="L71" s="7" t="n"/>
      <c r="M71" s="7" t="n"/>
      <c r="N71" s="6" t="n"/>
      <c r="O71" s="7" t="n"/>
      <c r="P71" s="5" t="n"/>
    </row>
    <row r="72">
      <c r="A72" s="5" t="n"/>
      <c r="B72" s="6" t="n"/>
      <c r="C72" s="7" t="n"/>
      <c r="D72" s="7" t="n"/>
      <c r="E72" s="7" t="n"/>
      <c r="F72" s="6" t="n"/>
      <c r="G72" s="7" t="n"/>
      <c r="H72" s="7" t="n"/>
      <c r="I72" s="7" t="n"/>
      <c r="J72" s="5" t="n"/>
      <c r="K72" s="6" t="n"/>
      <c r="L72" s="7" t="n"/>
      <c r="M72" s="7" t="n"/>
      <c r="N72" s="6" t="n"/>
      <c r="O72" s="7" t="n"/>
      <c r="P72" s="5" t="n"/>
    </row>
    <row r="73">
      <c r="A73" s="5" t="n"/>
      <c r="B73" s="6" t="n"/>
      <c r="C73" s="7" t="n"/>
      <c r="D73" s="7" t="n"/>
      <c r="E73" s="7" t="n"/>
      <c r="F73" s="6" t="n"/>
      <c r="G73" s="7" t="n"/>
      <c r="H73" s="7" t="n"/>
      <c r="I73" s="7" t="n"/>
      <c r="J73" s="5" t="n"/>
      <c r="K73" s="6" t="n"/>
      <c r="L73" s="7" t="n"/>
      <c r="M73" s="7" t="n"/>
      <c r="N73" s="6" t="n"/>
      <c r="O73" s="7" t="n"/>
      <c r="P73" s="5" t="n"/>
    </row>
    <row r="74">
      <c r="A74" s="5" t="n"/>
      <c r="B74" s="6" t="n"/>
      <c r="C74" s="7" t="n"/>
      <c r="D74" s="7" t="n"/>
      <c r="E74" s="7" t="n"/>
      <c r="F74" s="6" t="n"/>
      <c r="G74" s="7" t="n"/>
      <c r="H74" s="7" t="n"/>
      <c r="I74" s="7" t="n"/>
      <c r="J74" s="5" t="n"/>
      <c r="K74" s="6" t="n"/>
      <c r="L74" s="7" t="n"/>
      <c r="M74" s="7" t="n"/>
      <c r="N74" s="6" t="n"/>
      <c r="O74" s="7" t="n"/>
      <c r="P74" s="5" t="n"/>
    </row>
    <row r="75">
      <c r="A75" s="5" t="n"/>
      <c r="B75" s="6" t="n"/>
      <c r="C75" s="7" t="n"/>
      <c r="D75" s="7" t="n"/>
      <c r="E75" s="7" t="n"/>
      <c r="F75" s="6" t="n"/>
      <c r="G75" s="7" t="n"/>
      <c r="H75" s="7" t="n"/>
      <c r="I75" s="7" t="n"/>
      <c r="J75" s="5" t="n"/>
      <c r="K75" s="6" t="n"/>
      <c r="L75" s="7" t="n"/>
      <c r="M75" s="7" t="n"/>
      <c r="N75" s="6" t="n"/>
      <c r="O75" s="7" t="n"/>
      <c r="P75" s="5" t="n"/>
    </row>
    <row r="76">
      <c r="A76" s="5" t="n"/>
      <c r="B76" s="6" t="n"/>
      <c r="C76" s="7" t="n"/>
      <c r="D76" s="7" t="n"/>
      <c r="E76" s="7" t="n"/>
      <c r="F76" s="6" t="n"/>
      <c r="G76" s="7" t="n"/>
      <c r="H76" s="7" t="n"/>
      <c r="I76" s="7" t="n"/>
      <c r="J76" s="5" t="n"/>
      <c r="K76" s="6" t="n"/>
      <c r="L76" s="7" t="n"/>
      <c r="M76" s="7" t="n"/>
      <c r="N76" s="6" t="n"/>
      <c r="O76" s="7" t="n"/>
      <c r="P76" s="5" t="n"/>
    </row>
    <row r="77">
      <c r="A77" s="5" t="n"/>
      <c r="B77" s="6" t="n"/>
      <c r="C77" s="7" t="n"/>
      <c r="D77" s="7" t="n"/>
      <c r="E77" s="7" t="n"/>
      <c r="F77" s="6" t="n"/>
      <c r="G77" s="7" t="n"/>
      <c r="H77" s="7" t="n"/>
      <c r="I77" s="7" t="n"/>
      <c r="J77" s="5" t="n"/>
      <c r="K77" s="6" t="n"/>
      <c r="L77" s="7" t="n"/>
      <c r="M77" s="7" t="n"/>
      <c r="N77" s="6" t="n"/>
      <c r="O77" s="7" t="n"/>
      <c r="P77" s="5" t="n"/>
    </row>
    <row r="78">
      <c r="A78" s="5" t="n"/>
      <c r="B78" s="6" t="n"/>
      <c r="C78" s="7" t="n"/>
      <c r="D78" s="7" t="n"/>
      <c r="E78" s="7" t="n"/>
      <c r="F78" s="6" t="n"/>
      <c r="G78" s="7" t="n"/>
      <c r="H78" s="7" t="n"/>
      <c r="I78" s="7" t="n"/>
      <c r="J78" s="5" t="n"/>
      <c r="K78" s="6" t="n"/>
      <c r="L78" s="7" t="n"/>
      <c r="M78" s="7" t="n"/>
      <c r="N78" s="6" t="n"/>
      <c r="O78" s="7" t="n"/>
      <c r="P78" s="5" t="n"/>
    </row>
    <row r="79">
      <c r="A79" s="5" t="n"/>
      <c r="B79" s="6" t="n"/>
      <c r="C79" s="7" t="n"/>
      <c r="D79" s="7" t="n"/>
      <c r="E79" s="7" t="n"/>
      <c r="F79" s="6" t="n"/>
      <c r="G79" s="7" t="n"/>
      <c r="H79" s="7" t="n"/>
      <c r="I79" s="7" t="n"/>
      <c r="J79" s="5" t="n"/>
      <c r="K79" s="6" t="n"/>
      <c r="L79" s="7" t="n"/>
      <c r="M79" s="7" t="n"/>
      <c r="N79" s="6" t="n"/>
      <c r="O79" s="7" t="n"/>
      <c r="P79" s="5" t="n"/>
    </row>
    <row r="80">
      <c r="A80" s="5" t="n"/>
      <c r="B80" s="6" t="n"/>
      <c r="C80" s="7" t="n"/>
      <c r="D80" s="7" t="n"/>
      <c r="E80" s="7" t="n"/>
      <c r="F80" s="6" t="n"/>
      <c r="G80" s="7" t="n"/>
      <c r="H80" s="7" t="n"/>
      <c r="I80" s="7" t="n"/>
      <c r="J80" s="5" t="n"/>
      <c r="K80" s="6" t="n"/>
      <c r="L80" s="7" t="n"/>
      <c r="M80" s="7" t="n"/>
      <c r="N80" s="6" t="n"/>
      <c r="O80" s="7" t="n"/>
      <c r="P80" s="5" t="n"/>
    </row>
    <row r="81">
      <c r="A81" s="5" t="n"/>
      <c r="B81" s="6" t="n"/>
      <c r="C81" s="7" t="n"/>
      <c r="D81" s="7" t="n"/>
      <c r="E81" s="7" t="n"/>
      <c r="F81" s="6" t="n"/>
      <c r="G81" s="7" t="n"/>
      <c r="H81" s="7" t="n"/>
      <c r="I81" s="7" t="n"/>
      <c r="J81" s="5" t="n"/>
      <c r="K81" s="6" t="n"/>
      <c r="L81" s="7" t="n"/>
      <c r="M81" s="7" t="n"/>
      <c r="N81" s="6" t="n"/>
      <c r="O81" s="7" t="n"/>
      <c r="P81" s="5" t="n"/>
    </row>
    <row r="82">
      <c r="A82" s="5" t="n"/>
      <c r="B82" s="6" t="n"/>
      <c r="C82" s="7" t="n"/>
      <c r="D82" s="7" t="n"/>
      <c r="E82" s="7" t="n"/>
      <c r="F82" s="6" t="n"/>
      <c r="G82" s="7" t="n"/>
      <c r="H82" s="7" t="n"/>
      <c r="I82" s="7" t="n"/>
      <c r="J82" s="5" t="n"/>
      <c r="K82" s="6" t="n"/>
      <c r="L82" s="7" t="n"/>
      <c r="M82" s="7" t="n"/>
      <c r="N82" s="6" t="n"/>
      <c r="O82" s="7" t="n"/>
      <c r="P82" s="5" t="n"/>
    </row>
    <row r="83">
      <c r="A83" s="5" t="n"/>
      <c r="B83" s="6" t="n"/>
      <c r="C83" s="7" t="n"/>
      <c r="D83" s="7" t="n"/>
      <c r="E83" s="7" t="n"/>
      <c r="F83" s="6" t="n"/>
      <c r="G83" s="7" t="n"/>
      <c r="H83" s="7" t="n"/>
      <c r="I83" s="7" t="n"/>
      <c r="J83" s="5" t="n"/>
      <c r="K83" s="6" t="n"/>
      <c r="L83" s="7" t="n"/>
      <c r="M83" s="7" t="n"/>
      <c r="N83" s="6" t="n"/>
      <c r="O83" s="7" t="n"/>
      <c r="P83" s="5" t="n"/>
    </row>
    <row r="84">
      <c r="A84" s="5" t="n"/>
      <c r="B84" s="6" t="n"/>
      <c r="C84" s="7" t="n"/>
      <c r="D84" s="7" t="n"/>
      <c r="E84" s="7" t="n"/>
      <c r="F84" s="6" t="n"/>
      <c r="G84" s="7" t="n"/>
      <c r="H84" s="7" t="n"/>
      <c r="I84" s="7" t="n"/>
      <c r="J84" s="5" t="n"/>
      <c r="K84" s="6" t="n"/>
      <c r="L84" s="7" t="n"/>
      <c r="M84" s="7" t="n"/>
      <c r="N84" s="6" t="n"/>
      <c r="O84" s="7" t="n"/>
      <c r="P84" s="5" t="n"/>
    </row>
    <row r="85">
      <c r="A85" s="5" t="n"/>
      <c r="B85" s="6" t="n"/>
      <c r="C85" s="7" t="n"/>
      <c r="D85" s="7" t="n"/>
      <c r="E85" s="7" t="n"/>
      <c r="F85" s="6" t="n"/>
      <c r="G85" s="7" t="n"/>
      <c r="H85" s="7" t="n"/>
      <c r="I85" s="7" t="n"/>
      <c r="J85" s="5" t="n"/>
      <c r="K85" s="6" t="n"/>
      <c r="L85" s="7" t="n"/>
      <c r="M85" s="7" t="n"/>
      <c r="N85" s="6" t="n"/>
      <c r="O85" s="7" t="n"/>
      <c r="P85" s="5" t="n"/>
    </row>
    <row r="86">
      <c r="A86" s="5" t="n"/>
      <c r="B86" s="6" t="n"/>
      <c r="C86" s="7" t="n"/>
      <c r="D86" s="7" t="n"/>
      <c r="E86" s="7" t="n"/>
      <c r="F86" s="6" t="n"/>
      <c r="G86" s="7" t="n"/>
      <c r="H86" s="7" t="n"/>
      <c r="I86" s="7" t="n"/>
      <c r="J86" s="5" t="n"/>
      <c r="K86" s="6" t="n"/>
      <c r="L86" s="7" t="n"/>
      <c r="M86" s="7" t="n"/>
      <c r="N86" s="6" t="n"/>
      <c r="O86" s="7" t="n"/>
      <c r="P86" s="5" t="n"/>
    </row>
    <row r="87">
      <c r="A87" s="5" t="n"/>
      <c r="B87" s="6" t="n"/>
      <c r="C87" s="7" t="n"/>
      <c r="D87" s="7" t="n"/>
      <c r="E87" s="7" t="n"/>
      <c r="F87" s="6" t="n"/>
      <c r="G87" s="7" t="n"/>
      <c r="H87" s="7" t="n"/>
      <c r="I87" s="7" t="n"/>
      <c r="J87" s="5" t="n"/>
      <c r="K87" s="6" t="n"/>
      <c r="L87" s="7" t="n"/>
      <c r="M87" s="7" t="n"/>
      <c r="N87" s="6" t="n"/>
      <c r="O87" s="7" t="n"/>
      <c r="P87" s="5" t="n"/>
    </row>
    <row r="88">
      <c r="A88" s="5" t="n"/>
      <c r="B88" s="6" t="n"/>
      <c r="C88" s="7" t="n"/>
      <c r="D88" s="7" t="n"/>
      <c r="E88" s="7" t="n"/>
      <c r="F88" s="6" t="n"/>
      <c r="G88" s="7" t="n"/>
      <c r="H88" s="7" t="n"/>
      <c r="I88" s="7" t="n"/>
      <c r="J88" s="5" t="n"/>
      <c r="K88" s="6" t="n"/>
      <c r="L88" s="7" t="n"/>
      <c r="M88" s="7" t="n"/>
      <c r="N88" s="6" t="n"/>
      <c r="O88" s="7" t="n"/>
      <c r="P88" s="5" t="n"/>
    </row>
    <row r="89">
      <c r="A89" s="5" t="n"/>
      <c r="B89" s="6" t="n"/>
      <c r="C89" s="7" t="n"/>
      <c r="D89" s="7" t="n"/>
      <c r="E89" s="7" t="n"/>
      <c r="F89" s="6" t="n"/>
      <c r="G89" s="7" t="n"/>
      <c r="H89" s="7" t="n"/>
      <c r="I89" s="7" t="n"/>
      <c r="J89" s="5" t="n"/>
      <c r="K89" s="6" t="n"/>
      <c r="L89" s="7" t="n"/>
      <c r="M89" s="7" t="n"/>
      <c r="N89" s="6" t="n"/>
      <c r="O89" s="7" t="n"/>
      <c r="P89" s="5" t="n"/>
    </row>
    <row r="90">
      <c r="A90" s="5" t="n"/>
      <c r="B90" s="6" t="n"/>
      <c r="C90" s="7" t="n"/>
      <c r="D90" s="7" t="n"/>
      <c r="E90" s="7" t="n"/>
      <c r="F90" s="6" t="n"/>
      <c r="G90" s="7" t="n"/>
      <c r="H90" s="7" t="n"/>
      <c r="I90" s="7" t="n"/>
      <c r="J90" s="5" t="n"/>
      <c r="K90" s="6" t="n"/>
      <c r="L90" s="7" t="n"/>
      <c r="M90" s="7" t="n"/>
      <c r="N90" s="6" t="n"/>
      <c r="O90" s="7" t="n"/>
      <c r="P90" s="5" t="n"/>
    </row>
    <row r="91">
      <c r="A91" s="5" t="n"/>
      <c r="B91" s="6" t="n"/>
      <c r="C91" s="7" t="n"/>
      <c r="D91" s="7" t="n"/>
      <c r="E91" s="7" t="n"/>
      <c r="F91" s="6" t="n"/>
      <c r="G91" s="7" t="n"/>
      <c r="H91" s="7" t="n"/>
      <c r="I91" s="7" t="n"/>
      <c r="J91" s="5" t="n"/>
      <c r="K91" s="6" t="n"/>
      <c r="L91" s="7" t="n"/>
      <c r="M91" s="7" t="n"/>
      <c r="N91" s="6" t="n"/>
      <c r="O91" s="7" t="n"/>
      <c r="P91" s="5" t="n"/>
    </row>
    <row r="92">
      <c r="A92" s="5" t="n"/>
      <c r="B92" s="6" t="n"/>
      <c r="C92" s="7" t="n"/>
      <c r="D92" s="7" t="n"/>
      <c r="E92" s="7" t="n"/>
      <c r="F92" s="6" t="n"/>
      <c r="G92" s="7" t="n"/>
      <c r="H92" s="7" t="n"/>
      <c r="I92" s="7" t="n"/>
      <c r="J92" s="5" t="n"/>
      <c r="K92" s="6" t="n"/>
      <c r="L92" s="7" t="n"/>
      <c r="M92" s="7" t="n"/>
      <c r="N92" s="6" t="n"/>
      <c r="O92" s="7" t="n"/>
      <c r="P92" s="5" t="n"/>
    </row>
    <row r="93">
      <c r="A93" s="5" t="n"/>
      <c r="B93" s="6" t="n"/>
      <c r="C93" s="7" t="n"/>
      <c r="D93" s="7" t="n"/>
      <c r="E93" s="7" t="n"/>
      <c r="F93" s="6" t="n"/>
      <c r="G93" s="7" t="n"/>
      <c r="H93" s="7" t="n"/>
      <c r="I93" s="7" t="n"/>
      <c r="J93" s="5" t="n"/>
      <c r="K93" s="6" t="n"/>
      <c r="L93" s="7" t="n"/>
      <c r="M93" s="7" t="n"/>
      <c r="N93" s="6" t="n"/>
      <c r="O93" s="7" t="n"/>
      <c r="P93" s="5" t="n"/>
    </row>
    <row r="94">
      <c r="A94" s="5" t="n"/>
      <c r="B94" s="6" t="n"/>
      <c r="C94" s="7" t="n"/>
      <c r="D94" s="7" t="n"/>
      <c r="E94" s="7" t="n"/>
      <c r="F94" s="6" t="n"/>
      <c r="G94" s="7" t="n"/>
      <c r="H94" s="7" t="n"/>
      <c r="I94" s="7" t="n"/>
      <c r="J94" s="5" t="n"/>
      <c r="K94" s="6" t="n"/>
      <c r="L94" s="7" t="n"/>
      <c r="M94" s="7" t="n"/>
      <c r="N94" s="6" t="n"/>
      <c r="O94" s="7" t="n"/>
      <c r="P94" s="5" t="n"/>
    </row>
    <row r="95">
      <c r="A95" s="5" t="n"/>
      <c r="B95" s="6" t="n"/>
      <c r="C95" s="7" t="n"/>
      <c r="D95" s="7" t="n"/>
      <c r="E95" s="7" t="n"/>
      <c r="F95" s="6" t="n"/>
      <c r="G95" s="7" t="n"/>
      <c r="H95" s="7" t="n"/>
      <c r="I95" s="7" t="n"/>
      <c r="J95" s="5" t="n"/>
      <c r="K95" s="6" t="n"/>
      <c r="L95" s="7" t="n"/>
      <c r="M95" s="7" t="n"/>
      <c r="N95" s="6" t="n"/>
      <c r="O95" s="7" t="n"/>
      <c r="P95" s="5" t="n"/>
    </row>
    <row r="96">
      <c r="A96" s="5" t="n"/>
      <c r="B96" s="6" t="n"/>
      <c r="C96" s="7" t="n"/>
      <c r="D96" s="7" t="n"/>
      <c r="E96" s="7" t="n"/>
      <c r="F96" s="6" t="n"/>
      <c r="G96" s="7" t="n"/>
      <c r="H96" s="7" t="n"/>
      <c r="I96" s="7" t="n"/>
      <c r="J96" s="5" t="n"/>
      <c r="K96" s="6" t="n"/>
      <c r="L96" s="7" t="n"/>
      <c r="M96" s="7" t="n"/>
      <c r="N96" s="6" t="n"/>
      <c r="O96" s="7" t="n"/>
      <c r="P96" s="5" t="n"/>
    </row>
    <row r="97">
      <c r="A97" s="5" t="n"/>
      <c r="B97" s="6" t="n"/>
      <c r="C97" s="7" t="n"/>
      <c r="D97" s="7" t="n"/>
      <c r="E97" s="7" t="n"/>
      <c r="F97" s="6" t="n"/>
      <c r="G97" s="7" t="n"/>
      <c r="H97" s="7" t="n"/>
      <c r="I97" s="7" t="n"/>
      <c r="J97" s="5" t="n"/>
      <c r="K97" s="6" t="n"/>
      <c r="L97" s="7" t="n"/>
      <c r="M97" s="7" t="n"/>
      <c r="N97" s="6" t="n"/>
      <c r="O97" s="7" t="n"/>
      <c r="P97" s="5" t="n"/>
    </row>
    <row r="98">
      <c r="A98" s="5" t="n"/>
      <c r="B98" s="6" t="n"/>
      <c r="C98" s="7" t="n"/>
      <c r="D98" s="7" t="n"/>
      <c r="E98" s="7" t="n"/>
      <c r="F98" s="6" t="n"/>
      <c r="G98" s="7" t="n"/>
      <c r="H98" s="7" t="n"/>
      <c r="I98" s="7" t="n"/>
      <c r="J98" s="5" t="n"/>
      <c r="K98" s="6" t="n"/>
      <c r="L98" s="7" t="n"/>
      <c r="M98" s="7" t="n"/>
      <c r="N98" s="6" t="n"/>
      <c r="O98" s="7" t="n"/>
      <c r="P98" s="5" t="n"/>
    </row>
    <row r="99">
      <c r="A99" s="5" t="n"/>
      <c r="B99" s="6" t="n"/>
      <c r="C99" s="7" t="n"/>
      <c r="D99" s="7" t="n"/>
      <c r="E99" s="7" t="n"/>
      <c r="F99" s="6" t="n"/>
      <c r="G99" s="7" t="n"/>
      <c r="H99" s="7" t="n"/>
      <c r="I99" s="7" t="n"/>
      <c r="J99" s="5" t="n"/>
      <c r="K99" s="6" t="n"/>
      <c r="L99" s="7" t="n"/>
      <c r="M99" s="7" t="n"/>
      <c r="N99" s="6" t="n"/>
      <c r="O99" s="7" t="n"/>
      <c r="P99" s="5" t="n"/>
    </row>
    <row r="100">
      <c r="A100" s="5" t="n"/>
      <c r="B100" s="6" t="n"/>
      <c r="C100" s="7" t="n"/>
      <c r="D100" s="7" t="n"/>
      <c r="E100" s="7" t="n"/>
      <c r="F100" s="6" t="n"/>
      <c r="G100" s="7" t="n"/>
      <c r="H100" s="7" t="n"/>
      <c r="I100" s="7" t="n"/>
      <c r="J100" s="5" t="n"/>
      <c r="K100" s="6" t="n"/>
      <c r="L100" s="7" t="n"/>
      <c r="M100" s="7" t="n"/>
      <c r="N100" s="6" t="n"/>
      <c r="O100" s="7" t="n"/>
      <c r="P100" s="5" t="n"/>
    </row>
    <row r="101">
      <c r="A101" s="5" t="n"/>
      <c r="B101" s="6" t="n"/>
      <c r="C101" s="7" t="n"/>
      <c r="D101" s="7" t="n"/>
      <c r="E101" s="7" t="n"/>
      <c r="F101" s="6" t="n"/>
      <c r="G101" s="7" t="n"/>
      <c r="H101" s="7" t="n"/>
      <c r="I101" s="7" t="n"/>
      <c r="J101" s="5" t="n"/>
      <c r="K101" s="6" t="n"/>
      <c r="L101" s="7" t="n"/>
      <c r="M101" s="7" t="n"/>
      <c r="N101" s="6" t="n"/>
      <c r="O101" s="7" t="n"/>
      <c r="P101" s="5" t="n"/>
    </row>
    <row r="102">
      <c r="A102" s="5" t="n"/>
      <c r="B102" s="6" t="n"/>
      <c r="C102" s="7" t="n"/>
      <c r="D102" s="7" t="n"/>
      <c r="E102" s="7" t="n"/>
      <c r="F102" s="6" t="n"/>
      <c r="G102" s="7" t="n"/>
      <c r="H102" s="7" t="n"/>
      <c r="I102" s="7" t="n"/>
      <c r="J102" s="5" t="n"/>
      <c r="K102" s="6" t="n"/>
      <c r="L102" s="7" t="n"/>
      <c r="M102" s="7" t="n"/>
      <c r="N102" s="6" t="n"/>
      <c r="O102" s="7" t="n"/>
      <c r="P102" s="5" t="n"/>
    </row>
    <row r="103">
      <c r="A103" s="5" t="n"/>
      <c r="B103" s="6" t="n"/>
      <c r="C103" s="7" t="n"/>
      <c r="D103" s="7" t="n"/>
      <c r="E103" s="7" t="n"/>
      <c r="F103" s="6" t="n"/>
      <c r="G103" s="7" t="n"/>
      <c r="H103" s="7" t="n"/>
      <c r="I103" s="7" t="n"/>
      <c r="J103" s="5" t="n"/>
      <c r="K103" s="6" t="n"/>
      <c r="L103" s="7" t="n"/>
      <c r="M103" s="7" t="n"/>
      <c r="N103" s="6" t="n"/>
      <c r="O103" s="7" t="n"/>
      <c r="P103" s="5" t="n"/>
    </row>
    <row r="104">
      <c r="A104" s="5" t="n"/>
      <c r="B104" s="6" t="n"/>
      <c r="C104" s="7" t="n"/>
      <c r="D104" s="7" t="n"/>
      <c r="E104" s="7" t="n"/>
      <c r="F104" s="6" t="n"/>
      <c r="G104" s="7" t="n"/>
      <c r="H104" s="7" t="n"/>
      <c r="I104" s="7" t="n"/>
      <c r="J104" s="5" t="n"/>
      <c r="K104" s="6" t="n"/>
      <c r="L104" s="7" t="n"/>
      <c r="M104" s="7" t="n"/>
      <c r="N104" s="6" t="n"/>
      <c r="O104" s="7" t="n"/>
      <c r="P104" s="5" t="n"/>
    </row>
    <row r="105">
      <c r="A105" s="5" t="n"/>
      <c r="B105" s="6" t="n"/>
      <c r="C105" s="7" t="n"/>
      <c r="D105" s="7" t="n"/>
      <c r="E105" s="7" t="n"/>
      <c r="F105" s="6" t="n"/>
      <c r="G105" s="7" t="n"/>
      <c r="H105" s="7" t="n"/>
      <c r="I105" s="7" t="n"/>
      <c r="J105" s="5" t="n"/>
      <c r="K105" s="6" t="n"/>
      <c r="L105" s="7" t="n"/>
      <c r="M105" s="7" t="n"/>
      <c r="N105" s="6" t="n"/>
      <c r="O105" s="7" t="n"/>
      <c r="P105" s="5" t="n"/>
    </row>
    <row r="106">
      <c r="A106" s="5" t="n"/>
      <c r="B106" s="6" t="n"/>
      <c r="C106" s="7" t="n"/>
      <c r="D106" s="7" t="n"/>
      <c r="E106" s="7" t="n"/>
      <c r="F106" s="6" t="n"/>
      <c r="G106" s="7" t="n"/>
      <c r="H106" s="7" t="n"/>
      <c r="I106" s="7" t="n"/>
      <c r="J106" s="5" t="n"/>
      <c r="K106" s="6" t="n"/>
      <c r="L106" s="7" t="n"/>
      <c r="M106" s="7" t="n"/>
      <c r="N106" s="6" t="n"/>
      <c r="O106" s="7" t="n"/>
      <c r="P106" s="5" t="n"/>
    </row>
    <row r="107">
      <c r="A107" s="5" t="n"/>
      <c r="B107" s="6" t="n"/>
      <c r="C107" s="7" t="n"/>
      <c r="D107" s="7" t="n"/>
      <c r="E107" s="7" t="n"/>
      <c r="F107" s="6" t="n"/>
      <c r="G107" s="7" t="n"/>
      <c r="H107" s="7" t="n"/>
      <c r="I107" s="7" t="n"/>
      <c r="J107" s="5" t="n"/>
      <c r="K107" s="6" t="n"/>
      <c r="L107" s="7" t="n"/>
      <c r="M107" s="7" t="n"/>
      <c r="N107" s="6" t="n"/>
      <c r="O107" s="7" t="n"/>
      <c r="P107" s="5" t="n"/>
    </row>
    <row r="108">
      <c r="A108" s="5" t="n"/>
      <c r="B108" s="6" t="n"/>
      <c r="C108" s="7" t="n"/>
      <c r="D108" s="7" t="n"/>
      <c r="E108" s="7" t="n"/>
      <c r="F108" s="6" t="n"/>
      <c r="G108" s="7" t="n"/>
      <c r="H108" s="7" t="n"/>
      <c r="I108" s="7" t="n"/>
      <c r="J108" s="5" t="n"/>
      <c r="K108" s="6" t="n"/>
      <c r="L108" s="7" t="n"/>
      <c r="M108" s="7" t="n"/>
      <c r="N108" s="6" t="n"/>
      <c r="O108" s="7" t="n"/>
      <c r="P108" s="5" t="n"/>
    </row>
    <row r="109">
      <c r="A109" s="5" t="n"/>
      <c r="B109" s="6" t="n"/>
      <c r="C109" s="7" t="n"/>
      <c r="D109" s="7" t="n"/>
      <c r="E109" s="7" t="n"/>
      <c r="F109" s="6" t="n"/>
      <c r="G109" s="7" t="n"/>
      <c r="H109" s="7" t="n"/>
      <c r="I109" s="7" t="n"/>
      <c r="J109" s="5" t="n"/>
      <c r="K109" s="6" t="n"/>
      <c r="L109" s="7" t="n"/>
      <c r="M109" s="7" t="n"/>
      <c r="N109" s="6" t="n"/>
      <c r="O109" s="7" t="n"/>
      <c r="P109" s="5" t="n"/>
    </row>
    <row r="110">
      <c r="A110" s="5" t="n"/>
      <c r="B110" s="6" t="n"/>
      <c r="C110" s="7" t="n"/>
      <c r="D110" s="7" t="n"/>
      <c r="E110" s="7" t="n"/>
      <c r="F110" s="6" t="n"/>
      <c r="G110" s="7" t="n"/>
      <c r="H110" s="7" t="n"/>
      <c r="I110" s="7" t="n"/>
      <c r="J110" s="5" t="n"/>
      <c r="K110" s="6" t="n"/>
      <c r="L110" s="7" t="n"/>
      <c r="M110" s="7" t="n"/>
      <c r="N110" s="6" t="n"/>
      <c r="O110" s="7" t="n"/>
      <c r="P110" s="5" t="n"/>
    </row>
    <row r="111">
      <c r="A111" s="5" t="n"/>
      <c r="B111" s="6" t="n"/>
      <c r="C111" s="7" t="n"/>
      <c r="D111" s="7" t="n"/>
      <c r="E111" s="7" t="n"/>
      <c r="F111" s="6" t="n"/>
      <c r="G111" s="7" t="n"/>
      <c r="H111" s="7" t="n"/>
      <c r="I111" s="7" t="n"/>
      <c r="J111" s="5" t="n"/>
      <c r="K111" s="6" t="n"/>
      <c r="L111" s="7" t="n"/>
      <c r="M111" s="7" t="n"/>
      <c r="N111" s="6" t="n"/>
      <c r="O111" s="7" t="n"/>
      <c r="P111" s="5" t="n"/>
    </row>
    <row r="112">
      <c r="A112" s="5" t="n"/>
      <c r="B112" s="6" t="n"/>
      <c r="C112" s="7" t="n"/>
      <c r="D112" s="7" t="n"/>
      <c r="E112" s="7" t="n"/>
      <c r="F112" s="6" t="n"/>
      <c r="G112" s="7" t="n"/>
      <c r="H112" s="7" t="n"/>
      <c r="I112" s="7" t="n"/>
      <c r="J112" s="5" t="n"/>
      <c r="K112" s="6" t="n"/>
      <c r="L112" s="7" t="n"/>
      <c r="M112" s="7" t="n"/>
      <c r="N112" s="6" t="n"/>
      <c r="O112" s="7" t="n"/>
      <c r="P112" s="5" t="n"/>
    </row>
    <row r="113">
      <c r="A113" s="5" t="n"/>
      <c r="B113" s="6" t="n"/>
      <c r="C113" s="7" t="n"/>
      <c r="D113" s="7" t="n"/>
      <c r="E113" s="7" t="n"/>
      <c r="F113" s="6" t="n"/>
      <c r="G113" s="7" t="n"/>
      <c r="H113" s="7" t="n"/>
      <c r="I113" s="7" t="n"/>
      <c r="J113" s="5" t="n"/>
      <c r="K113" s="6" t="n"/>
      <c r="L113" s="7" t="n"/>
      <c r="M113" s="7" t="n"/>
      <c r="N113" s="6" t="n"/>
      <c r="O113" s="7" t="n"/>
      <c r="P113" s="5" t="n"/>
    </row>
    <row r="114">
      <c r="A114" s="5" t="n"/>
      <c r="B114" s="6" t="n"/>
      <c r="C114" s="7" t="n"/>
      <c r="D114" s="7" t="n"/>
      <c r="E114" s="7" t="n"/>
      <c r="F114" s="6" t="n"/>
      <c r="G114" s="7" t="n"/>
      <c r="H114" s="7" t="n"/>
      <c r="I114" s="7" t="n"/>
      <c r="J114" s="5" t="n"/>
      <c r="K114" s="6" t="n"/>
      <c r="L114" s="7" t="n"/>
      <c r="M114" s="7" t="n"/>
      <c r="N114" s="6" t="n"/>
      <c r="O114" s="7" t="n"/>
      <c r="P114" s="5" t="n"/>
    </row>
    <row r="115">
      <c r="A115" s="5" t="n"/>
      <c r="B115" s="6" t="n"/>
      <c r="C115" s="7" t="n"/>
      <c r="D115" s="7" t="n"/>
      <c r="E115" s="7" t="n"/>
      <c r="F115" s="6" t="n"/>
      <c r="G115" s="7" t="n"/>
      <c r="H115" s="7" t="n"/>
      <c r="I115" s="7" t="n"/>
      <c r="J115" s="5" t="n"/>
      <c r="K115" s="6" t="n"/>
      <c r="L115" s="7" t="n"/>
      <c r="M115" s="7" t="n"/>
      <c r="N115" s="6" t="n"/>
      <c r="O115" s="7" t="n"/>
      <c r="P115" s="5" t="n"/>
    </row>
    <row r="116">
      <c r="A116" s="5" t="n"/>
      <c r="B116" s="6" t="n"/>
      <c r="C116" s="7" t="n"/>
      <c r="D116" s="7" t="n"/>
      <c r="E116" s="7" t="n"/>
      <c r="F116" s="6" t="n"/>
      <c r="G116" s="7" t="n"/>
      <c r="H116" s="7" t="n"/>
      <c r="I116" s="7" t="n"/>
      <c r="J116" s="5" t="n"/>
      <c r="K116" s="6" t="n"/>
      <c r="L116" s="7" t="n"/>
      <c r="M116" s="7" t="n"/>
      <c r="N116" s="6" t="n"/>
      <c r="O116" s="7" t="n"/>
      <c r="P116" s="5" t="n"/>
    </row>
    <row r="117">
      <c r="A117" s="5" t="n"/>
      <c r="B117" s="6" t="n"/>
      <c r="C117" s="7" t="n"/>
      <c r="D117" s="7" t="n"/>
      <c r="E117" s="7" t="n"/>
      <c r="F117" s="6" t="n"/>
      <c r="G117" s="7" t="n"/>
      <c r="H117" s="7" t="n"/>
      <c r="I117" s="7" t="n"/>
      <c r="J117" s="5" t="n"/>
      <c r="K117" s="6" t="n"/>
      <c r="L117" s="7" t="n"/>
      <c r="M117" s="7" t="n"/>
      <c r="N117" s="6" t="n"/>
      <c r="O117" s="7" t="n"/>
      <c r="P117" s="5" t="n"/>
    </row>
    <row r="118">
      <c r="A118" s="5" t="n"/>
      <c r="B118" s="6" t="n"/>
      <c r="C118" s="7" t="n"/>
      <c r="D118" s="7" t="n"/>
      <c r="E118" s="7" t="n"/>
      <c r="F118" s="6" t="n"/>
      <c r="G118" s="7" t="n"/>
      <c r="H118" s="7" t="n"/>
      <c r="I118" s="7" t="n"/>
      <c r="J118" s="5" t="n"/>
      <c r="K118" s="6" t="n"/>
      <c r="L118" s="7" t="n"/>
      <c r="M118" s="7" t="n"/>
      <c r="N118" s="6" t="n"/>
      <c r="O118" s="7" t="n"/>
      <c r="P118" s="5" t="n"/>
    </row>
    <row r="119">
      <c r="A119" s="5" t="n"/>
      <c r="B119" s="6" t="n"/>
      <c r="C119" s="7" t="n"/>
      <c r="D119" s="7" t="n"/>
      <c r="E119" s="7" t="n"/>
      <c r="F119" s="6" t="n"/>
      <c r="G119" s="7" t="n"/>
      <c r="H119" s="7" t="n"/>
      <c r="I119" s="7" t="n"/>
      <c r="J119" s="5" t="n"/>
      <c r="K119" s="6" t="n"/>
      <c r="L119" s="7" t="n"/>
      <c r="M119" s="7" t="n"/>
      <c r="N119" s="6" t="n"/>
      <c r="O119" s="7" t="n"/>
      <c r="P119" s="5" t="n"/>
    </row>
    <row r="120">
      <c r="A120" s="5" t="n"/>
      <c r="B120" s="6" t="n"/>
      <c r="C120" s="7" t="n"/>
      <c r="D120" s="7" t="n"/>
      <c r="E120" s="7" t="n"/>
      <c r="F120" s="6" t="n"/>
      <c r="G120" s="7" t="n"/>
      <c r="H120" s="7" t="n"/>
      <c r="I120" s="7" t="n"/>
      <c r="J120" s="5" t="n"/>
      <c r="K120" s="6" t="n"/>
      <c r="L120" s="7" t="n"/>
      <c r="M120" s="7" t="n"/>
      <c r="N120" s="6" t="n"/>
      <c r="O120" s="7" t="n"/>
      <c r="P120" s="5" t="n"/>
    </row>
    <row r="121">
      <c r="A121" s="5" t="n"/>
      <c r="B121" s="6" t="n"/>
      <c r="C121" s="7" t="n"/>
      <c r="D121" s="7" t="n"/>
      <c r="E121" s="7" t="n"/>
      <c r="F121" s="6" t="n"/>
      <c r="G121" s="7" t="n"/>
      <c r="H121" s="7" t="n"/>
      <c r="I121" s="7" t="n"/>
      <c r="J121" s="5" t="n"/>
      <c r="K121" s="6" t="n"/>
      <c r="L121" s="7" t="n"/>
      <c r="M121" s="7" t="n"/>
      <c r="N121" s="6" t="n"/>
      <c r="O121" s="7" t="n"/>
      <c r="P121" s="5" t="n"/>
    </row>
    <row r="122">
      <c r="A122" s="5" t="n"/>
      <c r="B122" s="6" t="n"/>
      <c r="C122" s="7" t="n"/>
      <c r="D122" s="7" t="n"/>
      <c r="E122" s="7" t="n"/>
      <c r="F122" s="6" t="n"/>
      <c r="G122" s="7" t="n"/>
      <c r="H122" s="7" t="n"/>
      <c r="I122" s="7" t="n"/>
      <c r="J122" s="5" t="n"/>
      <c r="K122" s="6" t="n"/>
      <c r="L122" s="7" t="n"/>
      <c r="M122" s="7" t="n"/>
      <c r="N122" s="6" t="n"/>
      <c r="O122" s="7" t="n"/>
      <c r="P122" s="5" t="n"/>
    </row>
    <row r="123">
      <c r="A123" s="5" t="n"/>
      <c r="B123" s="6" t="n"/>
      <c r="C123" s="7" t="n"/>
      <c r="D123" s="7" t="n"/>
      <c r="E123" s="7" t="n"/>
      <c r="F123" s="6" t="n"/>
      <c r="G123" s="7" t="n"/>
      <c r="H123" s="7" t="n"/>
      <c r="I123" s="7" t="n"/>
      <c r="J123" s="5" t="n"/>
      <c r="K123" s="6" t="n"/>
      <c r="L123" s="7" t="n"/>
      <c r="M123" s="7" t="n"/>
      <c r="N123" s="6" t="n"/>
      <c r="O123" s="7" t="n"/>
      <c r="P123" s="5" t="n"/>
    </row>
    <row r="124">
      <c r="A124" s="5" t="n"/>
      <c r="B124" s="6" t="n"/>
      <c r="C124" s="7" t="n"/>
      <c r="D124" s="7" t="n"/>
      <c r="E124" s="7" t="n"/>
      <c r="F124" s="6" t="n"/>
      <c r="G124" s="7" t="n"/>
      <c r="H124" s="7" t="n"/>
      <c r="I124" s="7" t="n"/>
      <c r="J124" s="5" t="n"/>
      <c r="K124" s="6" t="n"/>
      <c r="L124" s="7" t="n"/>
      <c r="M124" s="7" t="n"/>
      <c r="N124" s="6" t="n"/>
      <c r="O124" s="7" t="n"/>
      <c r="P124" s="5" t="n"/>
    </row>
    <row r="125">
      <c r="A125" s="5" t="n"/>
      <c r="B125" s="6" t="n"/>
      <c r="C125" s="7" t="n"/>
      <c r="D125" s="7" t="n"/>
      <c r="E125" s="7" t="n"/>
      <c r="F125" s="6" t="n"/>
      <c r="G125" s="7" t="n"/>
      <c r="H125" s="7" t="n"/>
      <c r="I125" s="7" t="n"/>
      <c r="J125" s="5" t="n"/>
      <c r="K125" s="6" t="n"/>
      <c r="L125" s="7" t="n"/>
      <c r="M125" s="7" t="n"/>
      <c r="N125" s="6" t="n"/>
      <c r="O125" s="7" t="n"/>
      <c r="P125" s="5" t="n"/>
    </row>
    <row r="126">
      <c r="A126" s="5" t="n"/>
      <c r="B126" s="6" t="n"/>
      <c r="C126" s="7" t="n"/>
      <c r="D126" s="7" t="n"/>
      <c r="E126" s="7" t="n"/>
      <c r="F126" s="6" t="n"/>
      <c r="G126" s="7" t="n"/>
      <c r="H126" s="7" t="n"/>
      <c r="I126" s="7" t="n"/>
      <c r="J126" s="5" t="n"/>
      <c r="K126" s="6" t="n"/>
      <c r="L126" s="7" t="n"/>
      <c r="M126" s="7" t="n"/>
      <c r="N126" s="6" t="n"/>
      <c r="O126" s="7" t="n"/>
      <c r="P126" s="5" t="n"/>
    </row>
    <row r="127">
      <c r="A127" s="5" t="n"/>
      <c r="B127" s="6" t="n"/>
      <c r="C127" s="7" t="n"/>
      <c r="D127" s="7" t="n"/>
      <c r="E127" s="7" t="n"/>
      <c r="F127" s="6" t="n"/>
      <c r="G127" s="7" t="n"/>
      <c r="H127" s="7" t="n"/>
      <c r="I127" s="7" t="n"/>
      <c r="J127" s="5" t="n"/>
      <c r="K127" s="6" t="n"/>
      <c r="L127" s="7" t="n"/>
      <c r="M127" s="7" t="n"/>
      <c r="N127" s="6" t="n"/>
      <c r="O127" s="7" t="n"/>
      <c r="P127" s="5" t="n"/>
    </row>
    <row r="128">
      <c r="A128" s="5" t="n"/>
      <c r="B128" s="6" t="n"/>
      <c r="C128" s="7" t="n"/>
      <c r="D128" s="7" t="n"/>
      <c r="E128" s="7" t="n"/>
      <c r="F128" s="6" t="n"/>
      <c r="G128" s="7" t="n"/>
      <c r="H128" s="7" t="n"/>
      <c r="I128" s="7" t="n"/>
      <c r="J128" s="5" t="n"/>
      <c r="K128" s="6" t="n"/>
      <c r="L128" s="7" t="n"/>
      <c r="M128" s="7" t="n"/>
      <c r="N128" s="6" t="n"/>
      <c r="O128" s="7" t="n"/>
      <c r="P128" s="5" t="n"/>
    </row>
    <row r="129">
      <c r="A129" s="5" t="n"/>
      <c r="B129" s="6" t="n"/>
      <c r="C129" s="7" t="n"/>
      <c r="D129" s="7" t="n"/>
      <c r="E129" s="7" t="n"/>
      <c r="F129" s="6" t="n"/>
      <c r="G129" s="7" t="n"/>
      <c r="H129" s="7" t="n"/>
      <c r="I129" s="7" t="n"/>
      <c r="J129" s="5" t="n"/>
      <c r="K129" s="6" t="n"/>
      <c r="L129" s="7" t="n"/>
      <c r="M129" s="7" t="n"/>
      <c r="N129" s="6" t="n"/>
      <c r="O129" s="7" t="n"/>
      <c r="P129" s="5" t="n"/>
    </row>
    <row r="130">
      <c r="A130" s="5" t="n"/>
      <c r="B130" s="6" t="n"/>
      <c r="C130" s="7" t="n"/>
      <c r="D130" s="7" t="n"/>
      <c r="E130" s="7" t="n"/>
      <c r="F130" s="6" t="n"/>
      <c r="G130" s="7" t="n"/>
      <c r="H130" s="7" t="n"/>
      <c r="I130" s="7" t="n"/>
      <c r="J130" s="5" t="n"/>
      <c r="K130" s="6" t="n"/>
      <c r="L130" s="7" t="n"/>
      <c r="M130" s="7" t="n"/>
      <c r="N130" s="6" t="n"/>
      <c r="O130" s="7" t="n"/>
      <c r="P130" s="5" t="n"/>
    </row>
    <row r="131">
      <c r="A131" s="5" t="n"/>
      <c r="B131" s="6" t="n"/>
      <c r="C131" s="7" t="n"/>
      <c r="D131" s="7" t="n"/>
      <c r="E131" s="7" t="n"/>
      <c r="F131" s="6" t="n"/>
      <c r="G131" s="7" t="n"/>
      <c r="H131" s="7" t="n"/>
      <c r="I131" s="7" t="n"/>
      <c r="J131" s="5" t="n"/>
      <c r="K131" s="6" t="n"/>
      <c r="L131" s="7" t="n"/>
      <c r="M131" s="7" t="n"/>
      <c r="N131" s="6" t="n"/>
      <c r="O131" s="7" t="n"/>
      <c r="P131" s="5" t="n"/>
    </row>
    <row r="132">
      <c r="A132" s="5" t="n"/>
      <c r="B132" s="6" t="n"/>
      <c r="C132" s="7" t="n"/>
      <c r="D132" s="7" t="n"/>
      <c r="E132" s="7" t="n"/>
      <c r="F132" s="6" t="n"/>
      <c r="G132" s="7" t="n"/>
      <c r="H132" s="7" t="n"/>
      <c r="I132" s="7" t="n"/>
      <c r="J132" s="5" t="n"/>
      <c r="K132" s="6" t="n"/>
      <c r="L132" s="7" t="n"/>
      <c r="M132" s="7" t="n"/>
      <c r="N132" s="6" t="n"/>
      <c r="O132" s="7" t="n"/>
      <c r="P132" s="5" t="n"/>
    </row>
    <row r="133">
      <c r="A133" s="5" t="n"/>
      <c r="B133" s="6" t="n"/>
      <c r="C133" s="7" t="n"/>
      <c r="D133" s="7" t="n"/>
      <c r="E133" s="7" t="n"/>
      <c r="F133" s="6" t="n"/>
      <c r="G133" s="7" t="n"/>
      <c r="H133" s="7" t="n"/>
      <c r="I133" s="7" t="n"/>
      <c r="J133" s="5" t="n"/>
      <c r="K133" s="6" t="n"/>
      <c r="L133" s="7" t="n"/>
      <c r="M133" s="7" t="n"/>
      <c r="N133" s="6" t="n"/>
      <c r="O133" s="7" t="n"/>
      <c r="P133" s="5" t="n"/>
    </row>
    <row r="134">
      <c r="A134" s="5" t="n"/>
      <c r="B134" s="6" t="n"/>
      <c r="C134" s="7" t="n"/>
      <c r="D134" s="7" t="n"/>
      <c r="E134" s="7" t="n"/>
      <c r="F134" s="6" t="n"/>
      <c r="G134" s="7" t="n"/>
      <c r="H134" s="7" t="n"/>
      <c r="I134" s="7" t="n"/>
      <c r="J134" s="5" t="n"/>
      <c r="K134" s="6" t="n"/>
      <c r="L134" s="7" t="n"/>
      <c r="M134" s="7" t="n"/>
      <c r="N134" s="6" t="n"/>
      <c r="O134" s="7" t="n"/>
      <c r="P134" s="5" t="n"/>
    </row>
    <row r="135">
      <c r="A135" s="5" t="n"/>
      <c r="B135" s="6" t="n"/>
      <c r="C135" s="7" t="n"/>
      <c r="D135" s="7" t="n"/>
      <c r="E135" s="7" t="n"/>
      <c r="F135" s="6" t="n"/>
      <c r="G135" s="7" t="n"/>
      <c r="H135" s="7" t="n"/>
      <c r="I135" s="7" t="n"/>
      <c r="J135" s="5" t="n"/>
      <c r="K135" s="6" t="n"/>
      <c r="L135" s="7" t="n"/>
      <c r="M135" s="7" t="n"/>
      <c r="N135" s="6" t="n"/>
      <c r="O135" s="7" t="n"/>
      <c r="P135" s="5" t="n"/>
    </row>
    <row r="136">
      <c r="A136" s="5" t="n"/>
      <c r="B136" s="6" t="n"/>
      <c r="C136" s="7" t="n"/>
      <c r="D136" s="7" t="n"/>
      <c r="E136" s="7" t="n"/>
      <c r="F136" s="6" t="n"/>
      <c r="G136" s="7" t="n"/>
      <c r="H136" s="7" t="n"/>
      <c r="I136" s="7" t="n"/>
      <c r="J136" s="5" t="n"/>
      <c r="K136" s="6" t="n"/>
      <c r="L136" s="7" t="n"/>
      <c r="M136" s="7" t="n"/>
      <c r="N136" s="6" t="n"/>
      <c r="O136" s="7" t="n"/>
      <c r="P136" s="5" t="n"/>
    </row>
    <row r="137">
      <c r="A137" s="5" t="n"/>
      <c r="B137" s="6" t="n"/>
      <c r="C137" s="7" t="n"/>
      <c r="D137" s="7" t="n"/>
      <c r="E137" s="7" t="n"/>
      <c r="F137" s="6" t="n"/>
      <c r="G137" s="7" t="n"/>
      <c r="H137" s="7" t="n"/>
      <c r="I137" s="7" t="n"/>
      <c r="J137" s="5" t="n"/>
      <c r="K137" s="6" t="n"/>
      <c r="L137" s="7" t="n"/>
      <c r="M137" s="7" t="n"/>
      <c r="N137" s="6" t="n"/>
      <c r="O137" s="7" t="n"/>
      <c r="P137" s="5" t="n"/>
    </row>
    <row r="138">
      <c r="A138" s="5" t="n"/>
      <c r="B138" s="6" t="n"/>
      <c r="C138" s="7" t="n"/>
      <c r="D138" s="7" t="n"/>
      <c r="E138" s="7" t="n"/>
      <c r="F138" s="6" t="n"/>
      <c r="G138" s="7" t="n"/>
      <c r="H138" s="7" t="n"/>
      <c r="I138" s="7" t="n"/>
      <c r="J138" s="5" t="n"/>
      <c r="K138" s="6" t="n"/>
      <c r="L138" s="7" t="n"/>
      <c r="M138" s="7" t="n"/>
      <c r="N138" s="6" t="n"/>
      <c r="O138" s="7" t="n"/>
      <c r="P138" s="5" t="n"/>
    </row>
    <row r="139">
      <c r="A139" s="5" t="n"/>
      <c r="B139" s="6" t="n"/>
      <c r="C139" s="7" t="n"/>
      <c r="D139" s="7" t="n"/>
      <c r="E139" s="7" t="n"/>
      <c r="F139" s="6" t="n"/>
      <c r="G139" s="7" t="n"/>
      <c r="H139" s="7" t="n"/>
      <c r="I139" s="7" t="n"/>
      <c r="J139" s="5" t="n"/>
      <c r="K139" s="6" t="n"/>
      <c r="L139" s="7" t="n"/>
      <c r="M139" s="7" t="n"/>
      <c r="N139" s="6" t="n"/>
      <c r="O139" s="7" t="n"/>
      <c r="P139" s="5" t="n"/>
    </row>
    <row r="140">
      <c r="A140" s="5" t="n"/>
      <c r="B140" s="6" t="n"/>
      <c r="C140" s="7" t="n"/>
      <c r="D140" s="7" t="n"/>
      <c r="E140" s="7" t="n"/>
      <c r="F140" s="6" t="n"/>
      <c r="G140" s="7" t="n"/>
      <c r="H140" s="7" t="n"/>
      <c r="I140" s="7" t="n"/>
      <c r="J140" s="5" t="n"/>
      <c r="K140" s="6" t="n"/>
      <c r="L140" s="7" t="n"/>
      <c r="M140" s="7" t="n"/>
      <c r="N140" s="6" t="n"/>
      <c r="O140" s="7" t="n"/>
      <c r="P140" s="5" t="n"/>
    </row>
    <row r="141">
      <c r="A141" s="5" t="n"/>
      <c r="B141" s="6" t="n"/>
      <c r="C141" s="7" t="n"/>
      <c r="D141" s="7" t="n"/>
      <c r="E141" s="7" t="n"/>
      <c r="F141" s="6" t="n"/>
      <c r="G141" s="7" t="n"/>
      <c r="H141" s="7" t="n"/>
      <c r="I141" s="7" t="n"/>
      <c r="J141" s="5" t="n"/>
      <c r="K141" s="6" t="n"/>
      <c r="L141" s="7" t="n"/>
      <c r="M141" s="7" t="n"/>
      <c r="N141" s="6" t="n"/>
      <c r="O141" s="7" t="n"/>
      <c r="P141" s="5" t="n"/>
    </row>
    <row r="142">
      <c r="A142" s="5" t="n"/>
      <c r="B142" s="6" t="n"/>
      <c r="C142" s="7" t="n"/>
      <c r="D142" s="7" t="n"/>
      <c r="E142" s="7" t="n"/>
      <c r="F142" s="6" t="n"/>
      <c r="G142" s="7" t="n"/>
      <c r="H142" s="7" t="n"/>
      <c r="I142" s="7" t="n"/>
      <c r="J142" s="5" t="n"/>
      <c r="K142" s="6" t="n"/>
      <c r="L142" s="7" t="n"/>
      <c r="M142" s="7" t="n"/>
      <c r="N142" s="6" t="n"/>
      <c r="O142" s="7" t="n"/>
      <c r="P142" s="5" t="n"/>
    </row>
    <row r="143">
      <c r="A143" s="5" t="n"/>
      <c r="B143" s="6" t="n"/>
      <c r="C143" s="7" t="n"/>
      <c r="D143" s="7" t="n"/>
      <c r="E143" s="7" t="n"/>
      <c r="F143" s="6" t="n"/>
      <c r="G143" s="7" t="n"/>
      <c r="H143" s="7" t="n"/>
      <c r="I143" s="7" t="n"/>
      <c r="J143" s="5" t="n"/>
      <c r="K143" s="6" t="n"/>
      <c r="L143" s="7" t="n"/>
      <c r="M143" s="7" t="n"/>
      <c r="N143" s="6" t="n"/>
      <c r="O143" s="7" t="n"/>
      <c r="P143" s="5" t="n"/>
    </row>
    <row r="144">
      <c r="A144" s="5" t="n"/>
      <c r="B144" s="6" t="n"/>
      <c r="C144" s="7" t="n"/>
      <c r="D144" s="7" t="n"/>
      <c r="E144" s="7" t="n"/>
      <c r="F144" s="6" t="n"/>
      <c r="G144" s="7" t="n"/>
      <c r="H144" s="7" t="n"/>
      <c r="I144" s="7" t="n"/>
      <c r="J144" s="5" t="n"/>
      <c r="K144" s="6" t="n"/>
      <c r="L144" s="7" t="n"/>
      <c r="M144" s="7" t="n"/>
      <c r="N144" s="6" t="n"/>
      <c r="O144" s="7" t="n"/>
      <c r="P144" s="5" t="n"/>
    </row>
    <row r="145">
      <c r="A145" s="5" t="n"/>
      <c r="B145" s="6" t="n"/>
      <c r="C145" s="7" t="n"/>
      <c r="D145" s="7" t="n"/>
      <c r="E145" s="7" t="n"/>
      <c r="F145" s="6" t="n"/>
      <c r="G145" s="7" t="n"/>
      <c r="H145" s="7" t="n"/>
      <c r="I145" s="7" t="n"/>
      <c r="J145" s="5" t="n"/>
      <c r="K145" s="6" t="n"/>
      <c r="L145" s="7" t="n"/>
      <c r="M145" s="7" t="n"/>
      <c r="N145" s="6" t="n"/>
      <c r="O145" s="7" t="n"/>
      <c r="P145" s="5" t="n"/>
    </row>
    <row r="146">
      <c r="A146" s="5" t="n"/>
      <c r="B146" s="6" t="n"/>
      <c r="C146" s="7" t="n"/>
      <c r="D146" s="7" t="n"/>
      <c r="E146" s="7" t="n"/>
      <c r="F146" s="6" t="n"/>
      <c r="G146" s="7" t="n"/>
      <c r="H146" s="7" t="n"/>
      <c r="I146" s="7" t="n"/>
      <c r="J146" s="5" t="n"/>
      <c r="K146" s="6" t="n"/>
      <c r="L146" s="7" t="n"/>
      <c r="M146" s="7" t="n"/>
      <c r="N146" s="6" t="n"/>
      <c r="O146" s="7" t="n"/>
      <c r="P146" s="5" t="n"/>
    </row>
    <row r="147">
      <c r="A147" s="5" t="n"/>
      <c r="B147" s="6" t="n"/>
      <c r="C147" s="7" t="n"/>
      <c r="D147" s="7" t="n"/>
      <c r="E147" s="7" t="n"/>
      <c r="F147" s="6" t="n"/>
      <c r="G147" s="7" t="n"/>
      <c r="H147" s="7" t="n"/>
      <c r="I147" s="7" t="n"/>
      <c r="J147" s="5" t="n"/>
      <c r="K147" s="6" t="n"/>
      <c r="L147" s="7" t="n"/>
      <c r="M147" s="7" t="n"/>
      <c r="N147" s="6" t="n"/>
      <c r="O147" s="7" t="n"/>
      <c r="P147" s="5" t="n"/>
    </row>
    <row r="148">
      <c r="A148" s="5" t="n"/>
      <c r="B148" s="6" t="n"/>
      <c r="C148" s="7" t="n"/>
      <c r="D148" s="7" t="n"/>
      <c r="E148" s="7" t="n"/>
      <c r="F148" s="6" t="n"/>
      <c r="G148" s="7" t="n"/>
      <c r="H148" s="7" t="n"/>
      <c r="I148" s="7" t="n"/>
      <c r="J148" s="5" t="n"/>
      <c r="K148" s="6" t="n"/>
      <c r="L148" s="7" t="n"/>
      <c r="M148" s="7" t="n"/>
      <c r="N148" s="6" t="n"/>
      <c r="O148" s="7" t="n"/>
      <c r="P148" s="5" t="n"/>
    </row>
    <row r="149">
      <c r="A149" s="5" t="n"/>
      <c r="B149" s="6" t="n"/>
      <c r="C149" s="7" t="n"/>
      <c r="D149" s="7" t="n"/>
      <c r="E149" s="7" t="n"/>
      <c r="F149" s="6" t="n"/>
      <c r="G149" s="7" t="n"/>
      <c r="H149" s="7" t="n"/>
      <c r="I149" s="7" t="n"/>
      <c r="J149" s="5" t="n"/>
      <c r="K149" s="6" t="n"/>
      <c r="L149" s="7" t="n"/>
      <c r="M149" s="7" t="n"/>
      <c r="N149" s="6" t="n"/>
      <c r="O149" s="7" t="n"/>
      <c r="P149" s="5" t="n"/>
    </row>
    <row r="150">
      <c r="A150" s="5" t="n"/>
      <c r="B150" s="6" t="n"/>
      <c r="C150" s="7" t="n"/>
      <c r="D150" s="7" t="n"/>
      <c r="E150" s="7" t="n"/>
      <c r="F150" s="6" t="n"/>
      <c r="G150" s="7" t="n"/>
      <c r="H150" s="7" t="n"/>
      <c r="I150" s="7" t="n"/>
      <c r="J150" s="5" t="n"/>
      <c r="K150" s="6" t="n"/>
      <c r="L150" s="7" t="n"/>
      <c r="M150" s="7" t="n"/>
      <c r="N150" s="6" t="n"/>
      <c r="O150" s="7" t="n"/>
      <c r="P150" s="5" t="n"/>
    </row>
    <row r="151">
      <c r="A151" s="5" t="n"/>
      <c r="B151" s="6" t="n"/>
      <c r="C151" s="7" t="n"/>
      <c r="D151" s="7" t="n"/>
      <c r="E151" s="7" t="n"/>
      <c r="F151" s="6" t="n"/>
      <c r="G151" s="7" t="n"/>
      <c r="H151" s="7" t="n"/>
      <c r="I151" s="7" t="n"/>
      <c r="J151" s="5" t="n"/>
      <c r="K151" s="6" t="n"/>
      <c r="L151" s="7" t="n"/>
      <c r="M151" s="7" t="n"/>
      <c r="N151" s="6" t="n"/>
      <c r="O151" s="7" t="n"/>
      <c r="P151" s="5" t="n"/>
    </row>
    <row r="152">
      <c r="A152" s="5" t="n"/>
      <c r="B152" s="6" t="n"/>
      <c r="C152" s="7" t="n"/>
      <c r="D152" s="7" t="n"/>
      <c r="E152" s="7" t="n"/>
      <c r="F152" s="6" t="n"/>
      <c r="G152" s="7" t="n"/>
      <c r="H152" s="7" t="n"/>
      <c r="I152" s="7" t="n"/>
      <c r="J152" s="5" t="n"/>
      <c r="K152" s="6" t="n"/>
      <c r="L152" s="7" t="n"/>
      <c r="M152" s="7" t="n"/>
      <c r="N152" s="6" t="n"/>
      <c r="O152" s="7" t="n"/>
      <c r="P152" s="5" t="n"/>
    </row>
    <row r="153">
      <c r="A153" s="5" t="n"/>
      <c r="B153" s="6" t="n"/>
      <c r="C153" s="7" t="n"/>
      <c r="D153" s="7" t="n"/>
      <c r="E153" s="7" t="n"/>
      <c r="F153" s="6" t="n"/>
      <c r="G153" s="7" t="n"/>
      <c r="H153" s="7" t="n"/>
      <c r="I153" s="7" t="n"/>
      <c r="J153" s="5" t="n"/>
      <c r="K153" s="6" t="n"/>
      <c r="L153" s="7" t="n"/>
      <c r="M153" s="7" t="n"/>
      <c r="N153" s="6" t="n"/>
      <c r="O153" s="7" t="n"/>
      <c r="P153" s="5" t="n"/>
    </row>
    <row r="154">
      <c r="A154" s="5" t="n"/>
      <c r="B154" s="6" t="n"/>
      <c r="C154" s="7" t="n"/>
      <c r="D154" s="7" t="n"/>
      <c r="E154" s="7" t="n"/>
      <c r="F154" s="6" t="n"/>
      <c r="G154" s="7" t="n"/>
      <c r="H154" s="7" t="n"/>
      <c r="I154" s="7" t="n"/>
      <c r="J154" s="5" t="n"/>
      <c r="K154" s="6" t="n"/>
      <c r="L154" s="7" t="n"/>
      <c r="M154" s="7" t="n"/>
      <c r="N154" s="6" t="n"/>
      <c r="O154" s="7" t="n"/>
      <c r="P154" s="5" t="n"/>
    </row>
    <row r="155">
      <c r="A155" s="5" t="n"/>
      <c r="B155" s="6" t="n"/>
      <c r="C155" s="7" t="n"/>
      <c r="D155" s="7" t="n"/>
      <c r="E155" s="7" t="n"/>
      <c r="F155" s="6" t="n"/>
      <c r="G155" s="7" t="n"/>
      <c r="H155" s="7" t="n"/>
      <c r="I155" s="7" t="n"/>
      <c r="J155" s="5" t="n"/>
      <c r="K155" s="6" t="n"/>
      <c r="L155" s="7" t="n"/>
      <c r="M155" s="7" t="n"/>
      <c r="N155" s="6" t="n"/>
      <c r="O155" s="7" t="n"/>
      <c r="P155" s="5" t="n"/>
    </row>
    <row r="156">
      <c r="A156" s="5" t="n"/>
      <c r="B156" s="6" t="n"/>
      <c r="C156" s="7" t="n"/>
      <c r="D156" s="7" t="n"/>
      <c r="E156" s="7" t="n"/>
      <c r="F156" s="6" t="n"/>
      <c r="G156" s="7" t="n"/>
      <c r="H156" s="7" t="n"/>
      <c r="I156" s="7" t="n"/>
      <c r="J156" s="5" t="n"/>
      <c r="K156" s="6" t="n"/>
      <c r="L156" s="7" t="n"/>
      <c r="M156" s="7" t="n"/>
      <c r="N156" s="6" t="n"/>
      <c r="O156" s="7" t="n"/>
      <c r="P156" s="5" t="n"/>
    </row>
    <row r="157">
      <c r="A157" s="5" t="n"/>
      <c r="B157" s="6" t="n"/>
      <c r="C157" s="7" t="n"/>
      <c r="D157" s="7" t="n"/>
      <c r="E157" s="7" t="n"/>
      <c r="F157" s="6" t="n"/>
      <c r="G157" s="7" t="n"/>
      <c r="H157" s="7" t="n"/>
      <c r="I157" s="7" t="n"/>
      <c r="J157" s="5" t="n"/>
      <c r="K157" s="6" t="n"/>
      <c r="L157" s="7" t="n"/>
      <c r="M157" s="7" t="n"/>
      <c r="N157" s="6" t="n"/>
      <c r="O157" s="7" t="n"/>
      <c r="P157" s="5" t="n"/>
    </row>
    <row r="158">
      <c r="A158" s="5" t="n"/>
      <c r="B158" s="6" t="n"/>
      <c r="C158" s="7" t="n"/>
      <c r="D158" s="7" t="n"/>
      <c r="E158" s="7" t="n"/>
      <c r="F158" s="6" t="n"/>
      <c r="G158" s="7" t="n"/>
      <c r="H158" s="7" t="n"/>
      <c r="I158" s="7" t="n"/>
      <c r="J158" s="5" t="n"/>
      <c r="K158" s="6" t="n"/>
      <c r="L158" s="7" t="n"/>
      <c r="M158" s="7" t="n"/>
      <c r="N158" s="6" t="n"/>
      <c r="O158" s="7" t="n"/>
      <c r="P158" s="5" t="n"/>
    </row>
    <row r="159">
      <c r="A159" s="5" t="n"/>
      <c r="B159" s="6" t="n"/>
      <c r="C159" s="7" t="n"/>
      <c r="D159" s="7" t="n"/>
      <c r="E159" s="7" t="n"/>
      <c r="F159" s="6" t="n"/>
      <c r="G159" s="7" t="n"/>
      <c r="H159" s="7" t="n"/>
      <c r="I159" s="7" t="n"/>
      <c r="J159" s="5" t="n"/>
      <c r="K159" s="6" t="n"/>
      <c r="L159" s="7" t="n"/>
      <c r="M159" s="7" t="n"/>
      <c r="N159" s="6" t="n"/>
      <c r="O159" s="7" t="n"/>
      <c r="P159" s="5" t="n"/>
    </row>
    <row r="160">
      <c r="A160" s="5" t="n"/>
      <c r="B160" s="6" t="n"/>
      <c r="C160" s="7" t="n"/>
      <c r="D160" s="7" t="n"/>
      <c r="E160" s="7" t="n"/>
      <c r="F160" s="6" t="n"/>
      <c r="G160" s="7" t="n"/>
      <c r="H160" s="7" t="n"/>
      <c r="I160" s="7" t="n"/>
      <c r="J160" s="5" t="n"/>
      <c r="K160" s="6" t="n"/>
      <c r="L160" s="7" t="n"/>
      <c r="M160" s="7" t="n"/>
      <c r="N160" s="6" t="n"/>
      <c r="O160" s="7" t="n"/>
      <c r="P160" s="5" t="n"/>
    </row>
    <row r="161">
      <c r="A161" s="5" t="n"/>
      <c r="B161" s="6" t="n"/>
      <c r="C161" s="7" t="n"/>
      <c r="D161" s="7" t="n"/>
      <c r="E161" s="7" t="n"/>
      <c r="F161" s="6" t="n"/>
      <c r="G161" s="7" t="n"/>
      <c r="H161" s="7" t="n"/>
      <c r="I161" s="7" t="n"/>
      <c r="J161" s="5" t="n"/>
      <c r="K161" s="6" t="n"/>
      <c r="L161" s="7" t="n"/>
      <c r="M161" s="7" t="n"/>
      <c r="N161" s="6" t="n"/>
      <c r="O161" s="7" t="n"/>
      <c r="P161" s="5" t="n"/>
    </row>
    <row r="162">
      <c r="A162" s="5" t="n"/>
      <c r="B162" s="6" t="n"/>
      <c r="C162" s="7" t="n"/>
      <c r="D162" s="7" t="n"/>
      <c r="E162" s="7" t="n"/>
      <c r="F162" s="6" t="n"/>
      <c r="G162" s="7" t="n"/>
      <c r="H162" s="7" t="n"/>
      <c r="I162" s="7" t="n"/>
      <c r="J162" s="5" t="n"/>
      <c r="K162" s="6" t="n"/>
      <c r="L162" s="7" t="n"/>
      <c r="M162" s="7" t="n"/>
      <c r="N162" s="6" t="n"/>
      <c r="O162" s="7" t="n"/>
      <c r="P162" s="5" t="n"/>
    </row>
    <row r="163">
      <c r="A163" s="5" t="n"/>
      <c r="B163" s="6" t="n"/>
      <c r="C163" s="7" t="n"/>
      <c r="D163" s="7" t="n"/>
      <c r="E163" s="7" t="n"/>
      <c r="F163" s="6" t="n"/>
      <c r="G163" s="7" t="n"/>
      <c r="H163" s="7" t="n"/>
      <c r="I163" s="7" t="n"/>
      <c r="J163" s="5" t="n"/>
      <c r="K163" s="6" t="n"/>
      <c r="L163" s="7" t="n"/>
      <c r="M163" s="7" t="n"/>
      <c r="N163" s="6" t="n"/>
      <c r="O163" s="7" t="n"/>
      <c r="P163" s="5" t="n"/>
    </row>
    <row r="164">
      <c r="A164" s="5" t="n"/>
      <c r="B164" s="6" t="n"/>
      <c r="C164" s="7" t="n"/>
      <c r="D164" s="7" t="n"/>
      <c r="E164" s="7" t="n"/>
      <c r="F164" s="6" t="n"/>
      <c r="G164" s="7" t="n"/>
      <c r="H164" s="7" t="n"/>
      <c r="I164" s="7" t="n"/>
      <c r="J164" s="5" t="n"/>
      <c r="K164" s="6" t="n"/>
      <c r="L164" s="7" t="n"/>
      <c r="M164" s="7" t="n"/>
      <c r="N164" s="6" t="n"/>
      <c r="O164" s="7" t="n"/>
      <c r="P164" s="5" t="n"/>
    </row>
    <row r="165">
      <c r="A165" s="5" t="n"/>
      <c r="B165" s="6" t="n"/>
      <c r="C165" s="7" t="n"/>
      <c r="D165" s="7" t="n"/>
      <c r="E165" s="7" t="n"/>
      <c r="F165" s="6" t="n"/>
      <c r="G165" s="7" t="n"/>
      <c r="H165" s="7" t="n"/>
      <c r="I165" s="7" t="n"/>
      <c r="J165" s="5" t="n"/>
      <c r="K165" s="6" t="n"/>
      <c r="L165" s="7" t="n"/>
      <c r="M165" s="7" t="n"/>
      <c r="N165" s="6" t="n"/>
      <c r="O165" s="7" t="n"/>
      <c r="P165" s="5" t="n"/>
    </row>
    <row r="166">
      <c r="A166" s="5" t="n"/>
      <c r="B166" s="6" t="n"/>
      <c r="C166" s="7" t="n"/>
      <c r="D166" s="7" t="n"/>
      <c r="E166" s="7" t="n"/>
      <c r="F166" s="6" t="n"/>
      <c r="G166" s="7" t="n"/>
      <c r="H166" s="7" t="n"/>
      <c r="I166" s="7" t="n"/>
      <c r="J166" s="5" t="n"/>
      <c r="K166" s="6" t="n"/>
      <c r="L166" s="7" t="n"/>
      <c r="M166" s="7" t="n"/>
      <c r="N166" s="6" t="n"/>
      <c r="O166" s="7" t="n"/>
      <c r="P166" s="5" t="n"/>
    </row>
    <row r="167">
      <c r="A167" s="5" t="n"/>
      <c r="B167" s="6" t="n"/>
      <c r="C167" s="7" t="n"/>
      <c r="D167" s="7" t="n"/>
      <c r="E167" s="7" t="n"/>
      <c r="F167" s="6" t="n"/>
      <c r="G167" s="7" t="n"/>
      <c r="H167" s="7" t="n"/>
      <c r="I167" s="7" t="n"/>
      <c r="J167" s="5" t="n"/>
      <c r="K167" s="6" t="n"/>
      <c r="L167" s="7" t="n"/>
      <c r="M167" s="7" t="n"/>
      <c r="N167" s="6" t="n"/>
      <c r="O167" s="7" t="n"/>
      <c r="P167" s="5" t="n"/>
    </row>
    <row r="168">
      <c r="A168" s="5" t="n"/>
      <c r="B168" s="6" t="n"/>
      <c r="C168" s="7" t="n"/>
      <c r="D168" s="7" t="n"/>
      <c r="E168" s="7" t="n"/>
      <c r="F168" s="6" t="n"/>
      <c r="G168" s="7" t="n"/>
      <c r="H168" s="7" t="n"/>
      <c r="I168" s="7" t="n"/>
      <c r="J168" s="5" t="n"/>
      <c r="K168" s="6" t="n"/>
      <c r="L168" s="7" t="n"/>
      <c r="M168" s="7" t="n"/>
      <c r="N168" s="6" t="n"/>
      <c r="O168" s="7" t="n"/>
      <c r="P168" s="5" t="n"/>
    </row>
    <row r="169">
      <c r="A169" s="5" t="n"/>
      <c r="B169" s="6" t="n"/>
      <c r="C169" s="7" t="n"/>
      <c r="D169" s="7" t="n"/>
      <c r="E169" s="7" t="n"/>
      <c r="F169" s="6" t="n"/>
      <c r="G169" s="7" t="n"/>
      <c r="H169" s="7" t="n"/>
      <c r="I169" s="7" t="n"/>
      <c r="J169" s="5" t="n"/>
      <c r="K169" s="6" t="n"/>
      <c r="L169" s="7" t="n"/>
      <c r="M169" s="7" t="n"/>
      <c r="N169" s="6" t="n"/>
      <c r="O169" s="7" t="n"/>
      <c r="P169" s="5" t="n"/>
    </row>
    <row r="170">
      <c r="A170" s="5" t="n"/>
      <c r="B170" s="6" t="n"/>
      <c r="C170" s="7" t="n"/>
      <c r="D170" s="7" t="n"/>
      <c r="E170" s="7" t="n"/>
      <c r="F170" s="6" t="n"/>
      <c r="G170" s="7" t="n"/>
      <c r="H170" s="7" t="n"/>
      <c r="I170" s="7" t="n"/>
      <c r="J170" s="5" t="n"/>
      <c r="K170" s="6" t="n"/>
      <c r="L170" s="7" t="n"/>
      <c r="M170" s="7" t="n"/>
      <c r="N170" s="6" t="n"/>
      <c r="O170" s="7" t="n"/>
      <c r="P170" s="5" t="n"/>
    </row>
    <row r="171">
      <c r="A171" s="5" t="n"/>
      <c r="B171" s="6" t="n"/>
      <c r="C171" s="7" t="n"/>
      <c r="D171" s="7" t="n"/>
      <c r="E171" s="7" t="n"/>
      <c r="F171" s="6" t="n"/>
      <c r="G171" s="7" t="n"/>
      <c r="H171" s="7" t="n"/>
      <c r="I171" s="7" t="n"/>
      <c r="J171" s="5" t="n"/>
      <c r="K171" s="6" t="n"/>
      <c r="L171" s="7" t="n"/>
      <c r="M171" s="7" t="n"/>
      <c r="N171" s="6" t="n"/>
      <c r="O171" s="7" t="n"/>
      <c r="P171" s="5" t="n"/>
    </row>
    <row r="172">
      <c r="A172" s="5" t="n"/>
      <c r="B172" s="6" t="n"/>
      <c r="C172" s="7" t="n"/>
      <c r="D172" s="7" t="n"/>
      <c r="E172" s="7" t="n"/>
      <c r="F172" s="6" t="n"/>
      <c r="G172" s="7" t="n"/>
      <c r="H172" s="7" t="n"/>
      <c r="I172" s="7" t="n"/>
      <c r="J172" s="5" t="n"/>
      <c r="K172" s="6" t="n"/>
      <c r="L172" s="7" t="n"/>
      <c r="M172" s="7" t="n"/>
      <c r="N172" s="6" t="n"/>
      <c r="O172" s="7" t="n"/>
      <c r="P172" s="5" t="n"/>
    </row>
    <row r="173">
      <c r="A173" s="5" t="n"/>
      <c r="B173" s="6" t="n"/>
      <c r="C173" s="7" t="n"/>
      <c r="D173" s="7" t="n"/>
      <c r="E173" s="7" t="n"/>
      <c r="F173" s="6" t="n"/>
      <c r="G173" s="7" t="n"/>
      <c r="H173" s="7" t="n"/>
      <c r="I173" s="7" t="n"/>
      <c r="J173" s="5" t="n"/>
      <c r="K173" s="6" t="n"/>
      <c r="L173" s="7" t="n"/>
      <c r="M173" s="7" t="n"/>
      <c r="N173" s="6" t="n"/>
      <c r="O173" s="7" t="n"/>
      <c r="P173" s="5" t="n"/>
    </row>
    <row r="174">
      <c r="A174" s="5" t="n"/>
      <c r="B174" s="6" t="n"/>
      <c r="C174" s="7" t="n"/>
      <c r="D174" s="7" t="n"/>
      <c r="E174" s="7" t="n"/>
      <c r="F174" s="6" t="n"/>
      <c r="G174" s="7" t="n"/>
      <c r="H174" s="7" t="n"/>
      <c r="I174" s="7" t="n"/>
      <c r="J174" s="5" t="n"/>
      <c r="K174" s="6" t="n"/>
      <c r="L174" s="7" t="n"/>
      <c r="M174" s="7" t="n"/>
      <c r="N174" s="6" t="n"/>
      <c r="O174" s="7" t="n"/>
      <c r="P174" s="5" t="n"/>
    </row>
    <row r="175">
      <c r="A175" s="5" t="n"/>
      <c r="B175" s="6" t="n"/>
      <c r="C175" s="7" t="n"/>
      <c r="D175" s="7" t="n"/>
      <c r="E175" s="7" t="n"/>
      <c r="F175" s="6" t="n"/>
      <c r="G175" s="7" t="n"/>
      <c r="H175" s="7" t="n"/>
      <c r="I175" s="7" t="n"/>
      <c r="J175" s="5" t="n"/>
      <c r="K175" s="6" t="n"/>
      <c r="L175" s="7" t="n"/>
      <c r="M175" s="7" t="n"/>
      <c r="N175" s="6" t="n"/>
      <c r="O175" s="7" t="n"/>
      <c r="P175" s="5" t="n"/>
    </row>
    <row r="176">
      <c r="A176" s="5" t="n"/>
      <c r="B176" s="6" t="n"/>
      <c r="C176" s="7" t="n"/>
      <c r="D176" s="7" t="n"/>
      <c r="E176" s="7" t="n"/>
      <c r="F176" s="6" t="n"/>
      <c r="G176" s="7" t="n"/>
      <c r="H176" s="7" t="n"/>
      <c r="I176" s="7" t="n"/>
      <c r="J176" s="5" t="n"/>
      <c r="K176" s="6" t="n"/>
      <c r="L176" s="7" t="n"/>
      <c r="M176" s="7" t="n"/>
      <c r="N176" s="6" t="n"/>
      <c r="O176" s="7" t="n"/>
      <c r="P176" s="5" t="n"/>
    </row>
    <row r="177">
      <c r="A177" s="5" t="n"/>
      <c r="B177" s="6" t="n"/>
      <c r="C177" s="7" t="n"/>
      <c r="D177" s="7" t="n"/>
      <c r="E177" s="7" t="n"/>
      <c r="F177" s="6" t="n"/>
      <c r="G177" s="7" t="n"/>
      <c r="H177" s="7" t="n"/>
      <c r="I177" s="7" t="n"/>
      <c r="J177" s="5" t="n"/>
      <c r="K177" s="6" t="n"/>
      <c r="L177" s="7" t="n"/>
      <c r="M177" s="7" t="n"/>
      <c r="N177" s="6" t="n"/>
      <c r="O177" s="7" t="n"/>
      <c r="P177" s="5" t="n"/>
    </row>
    <row r="178">
      <c r="A178" s="5" t="n"/>
      <c r="B178" s="6" t="n"/>
      <c r="C178" s="7" t="n"/>
      <c r="D178" s="7" t="n"/>
      <c r="E178" s="7" t="n"/>
      <c r="F178" s="6" t="n"/>
      <c r="G178" s="7" t="n"/>
      <c r="H178" s="7" t="n"/>
      <c r="I178" s="7" t="n"/>
      <c r="J178" s="5" t="n"/>
      <c r="K178" s="6" t="n"/>
      <c r="L178" s="7" t="n"/>
      <c r="M178" s="7" t="n"/>
      <c r="N178" s="6" t="n"/>
      <c r="O178" s="7" t="n"/>
      <c r="P178" s="5" t="n"/>
    </row>
    <row r="179">
      <c r="A179" s="5" t="n"/>
      <c r="B179" s="6" t="n"/>
      <c r="C179" s="7" t="n"/>
      <c r="D179" s="7" t="n"/>
      <c r="E179" s="7" t="n"/>
      <c r="F179" s="6" t="n"/>
      <c r="G179" s="7" t="n"/>
      <c r="H179" s="7" t="n"/>
      <c r="I179" s="7" t="n"/>
      <c r="J179" s="5" t="n"/>
      <c r="K179" s="6" t="n"/>
      <c r="L179" s="7" t="n"/>
      <c r="M179" s="7" t="n"/>
      <c r="N179" s="6" t="n"/>
      <c r="O179" s="7" t="n"/>
      <c r="P179" s="5" t="n"/>
    </row>
    <row r="180">
      <c r="A180" s="5" t="n"/>
      <c r="B180" s="6" t="n"/>
      <c r="C180" s="7" t="n"/>
      <c r="D180" s="7" t="n"/>
      <c r="E180" s="7" t="n"/>
      <c r="F180" s="6" t="n"/>
      <c r="G180" s="7" t="n"/>
      <c r="H180" s="7" t="n"/>
      <c r="I180" s="7" t="n"/>
      <c r="J180" s="5" t="n"/>
      <c r="K180" s="6" t="n"/>
      <c r="L180" s="7" t="n"/>
      <c r="M180" s="7" t="n"/>
      <c r="N180" s="6" t="n"/>
      <c r="O180" s="7" t="n"/>
      <c r="P180" s="5" t="n"/>
    </row>
    <row r="181">
      <c r="A181" s="5" t="n"/>
      <c r="B181" s="6" t="n"/>
      <c r="C181" s="7" t="n"/>
      <c r="D181" s="7" t="n"/>
      <c r="E181" s="7" t="n"/>
      <c r="F181" s="6" t="n"/>
      <c r="G181" s="7" t="n"/>
      <c r="H181" s="7" t="n"/>
      <c r="I181" s="7" t="n"/>
      <c r="J181" s="5" t="n"/>
      <c r="K181" s="6" t="n"/>
      <c r="L181" s="7" t="n"/>
      <c r="M181" s="7" t="n"/>
      <c r="N181" s="6" t="n"/>
      <c r="O181" s="7" t="n"/>
      <c r="P181" s="5" t="n"/>
    </row>
    <row r="182">
      <c r="A182" s="5" t="n"/>
      <c r="B182" s="6" t="n"/>
      <c r="C182" s="7" t="n"/>
      <c r="D182" s="7" t="n"/>
      <c r="E182" s="7" t="n"/>
      <c r="F182" s="6" t="n"/>
      <c r="G182" s="7" t="n"/>
      <c r="H182" s="7" t="n"/>
      <c r="I182" s="7" t="n"/>
      <c r="J182" s="5" t="n"/>
      <c r="K182" s="6" t="n"/>
      <c r="L182" s="7" t="n"/>
      <c r="M182" s="7" t="n"/>
      <c r="N182" s="6" t="n"/>
      <c r="O182" s="7" t="n"/>
      <c r="P182" s="5" t="n"/>
    </row>
    <row r="183">
      <c r="A183" s="5" t="n"/>
      <c r="B183" s="6" t="n"/>
      <c r="C183" s="7" t="n"/>
      <c r="D183" s="7" t="n"/>
      <c r="E183" s="7" t="n"/>
      <c r="F183" s="6" t="n"/>
      <c r="G183" s="7" t="n"/>
      <c r="H183" s="7" t="n"/>
      <c r="I183" s="7" t="n"/>
      <c r="J183" s="5" t="n"/>
      <c r="K183" s="6" t="n"/>
      <c r="L183" s="7" t="n"/>
      <c r="M183" s="7" t="n"/>
      <c r="N183" s="6" t="n"/>
      <c r="O183" s="7" t="n"/>
      <c r="P183" s="5" t="n"/>
    </row>
    <row r="184">
      <c r="A184" s="5" t="n"/>
      <c r="B184" s="6" t="n"/>
      <c r="C184" s="7" t="n"/>
      <c r="D184" s="7" t="n"/>
      <c r="E184" s="7" t="n"/>
      <c r="F184" s="6" t="n"/>
      <c r="G184" s="7" t="n"/>
      <c r="H184" s="7" t="n"/>
      <c r="I184" s="7" t="n"/>
      <c r="J184" s="5" t="n"/>
      <c r="K184" s="6" t="n"/>
      <c r="L184" s="7" t="n"/>
      <c r="M184" s="7" t="n"/>
      <c r="N184" s="6" t="n"/>
      <c r="O184" s="7" t="n"/>
      <c r="P184" s="5" t="n"/>
    </row>
    <row r="185">
      <c r="A185" s="5" t="n"/>
      <c r="B185" s="6" t="n"/>
      <c r="C185" s="7" t="n"/>
      <c r="D185" s="7" t="n"/>
      <c r="E185" s="7" t="n"/>
      <c r="F185" s="6" t="n"/>
      <c r="G185" s="7" t="n"/>
      <c r="H185" s="7" t="n"/>
      <c r="I185" s="7" t="n"/>
      <c r="J185" s="5" t="n"/>
      <c r="K185" s="6" t="n"/>
      <c r="L185" s="7" t="n"/>
      <c r="M185" s="7" t="n"/>
      <c r="N185" s="6" t="n"/>
      <c r="O185" s="7" t="n"/>
      <c r="P185" s="5" t="n"/>
    </row>
    <row r="186">
      <c r="A186" s="5" t="n"/>
      <c r="B186" s="6" t="n"/>
      <c r="C186" s="7" t="n"/>
      <c r="D186" s="7" t="n"/>
      <c r="E186" s="7" t="n"/>
      <c r="F186" s="6" t="n"/>
      <c r="G186" s="7" t="n"/>
      <c r="H186" s="7" t="n"/>
      <c r="I186" s="7" t="n"/>
      <c r="J186" s="5" t="n"/>
      <c r="K186" s="6" t="n"/>
      <c r="L186" s="7" t="n"/>
      <c r="M186" s="7" t="n"/>
      <c r="N186" s="6" t="n"/>
      <c r="O186" s="7" t="n"/>
      <c r="P186" s="5" t="n"/>
    </row>
    <row r="187">
      <c r="A187" s="5" t="n"/>
      <c r="B187" s="6" t="n"/>
      <c r="C187" s="7" t="n"/>
      <c r="D187" s="7" t="n"/>
      <c r="E187" s="7" t="n"/>
      <c r="F187" s="6" t="n"/>
      <c r="G187" s="7" t="n"/>
      <c r="H187" s="7" t="n"/>
      <c r="I187" s="7" t="n"/>
      <c r="J187" s="5" t="n"/>
      <c r="K187" s="6" t="n"/>
      <c r="L187" s="7" t="n"/>
      <c r="M187" s="7" t="n"/>
      <c r="N187" s="6" t="n"/>
      <c r="O187" s="7" t="n"/>
      <c r="P187" s="5" t="n"/>
    </row>
    <row r="188">
      <c r="A188" s="5" t="n"/>
      <c r="B188" s="6" t="n"/>
      <c r="C188" s="7" t="n"/>
      <c r="D188" s="7" t="n"/>
      <c r="E188" s="7" t="n"/>
      <c r="F188" s="6" t="n"/>
      <c r="G188" s="7" t="n"/>
      <c r="H188" s="7" t="n"/>
      <c r="I188" s="7" t="n"/>
      <c r="J188" s="5" t="n"/>
      <c r="K188" s="6" t="n"/>
      <c r="L188" s="7" t="n"/>
      <c r="M188" s="7" t="n"/>
      <c r="N188" s="6" t="n"/>
      <c r="O188" s="7" t="n"/>
      <c r="P188" s="5" t="n"/>
    </row>
    <row r="189">
      <c r="A189" s="5" t="n"/>
      <c r="B189" s="6" t="n"/>
      <c r="C189" s="7" t="n"/>
      <c r="D189" s="7" t="n"/>
      <c r="E189" s="7" t="n"/>
      <c r="F189" s="6" t="n"/>
      <c r="G189" s="7" t="n"/>
      <c r="H189" s="7" t="n"/>
      <c r="I189" s="7" t="n"/>
      <c r="J189" s="5" t="n"/>
      <c r="K189" s="6" t="n"/>
      <c r="L189" s="7" t="n"/>
      <c r="M189" s="7" t="n"/>
      <c r="N189" s="6" t="n"/>
      <c r="O189" s="7" t="n"/>
      <c r="P189" s="5" t="n"/>
    </row>
    <row r="190">
      <c r="A190" s="5" t="n"/>
      <c r="B190" s="6" t="n"/>
      <c r="C190" s="7" t="n"/>
      <c r="D190" s="7" t="n"/>
      <c r="E190" s="7" t="n"/>
      <c r="F190" s="6" t="n"/>
      <c r="G190" s="7" t="n"/>
      <c r="H190" s="7" t="n"/>
      <c r="I190" s="7" t="n"/>
      <c r="J190" s="5" t="n"/>
      <c r="K190" s="6" t="n"/>
      <c r="L190" s="7" t="n"/>
      <c r="M190" s="7" t="n"/>
      <c r="N190" s="6" t="n"/>
      <c r="O190" s="7" t="n"/>
      <c r="P190" s="5" t="n"/>
    </row>
    <row r="191">
      <c r="A191" s="5" t="n"/>
      <c r="B191" s="6" t="n"/>
      <c r="C191" s="7" t="n"/>
      <c r="D191" s="7" t="n"/>
      <c r="E191" s="7" t="n"/>
      <c r="F191" s="6" t="n"/>
      <c r="G191" s="7" t="n"/>
      <c r="H191" s="7" t="n"/>
      <c r="I191" s="7" t="n"/>
      <c r="J191" s="5" t="n"/>
      <c r="K191" s="6" t="n"/>
      <c r="L191" s="7" t="n"/>
      <c r="M191" s="7" t="n"/>
      <c r="N191" s="6" t="n"/>
      <c r="O191" s="7" t="n"/>
      <c r="P191" s="5" t="n"/>
    </row>
    <row r="192">
      <c r="A192" s="5" t="n"/>
      <c r="B192" s="6" t="n"/>
      <c r="C192" s="7" t="n"/>
      <c r="D192" s="7" t="n"/>
      <c r="E192" s="7" t="n"/>
      <c r="F192" s="6" t="n"/>
      <c r="G192" s="7" t="n"/>
      <c r="H192" s="7" t="n"/>
      <c r="I192" s="7" t="n"/>
      <c r="J192" s="5" t="n"/>
      <c r="K192" s="6" t="n"/>
      <c r="L192" s="7" t="n"/>
      <c r="M192" s="7" t="n"/>
      <c r="N192" s="6" t="n"/>
      <c r="O192" s="7" t="n"/>
      <c r="P192" s="5" t="n"/>
    </row>
    <row r="193">
      <c r="A193" s="5" t="n"/>
      <c r="B193" s="6" t="n"/>
      <c r="C193" s="7" t="n"/>
      <c r="D193" s="7" t="n"/>
      <c r="E193" s="7" t="n"/>
      <c r="F193" s="6" t="n"/>
      <c r="G193" s="7" t="n"/>
      <c r="H193" s="7" t="n"/>
      <c r="I193" s="7" t="n"/>
      <c r="J193" s="5" t="n"/>
      <c r="K193" s="6" t="n"/>
      <c r="L193" s="7" t="n"/>
      <c r="M193" s="7" t="n"/>
      <c r="N193" s="6" t="n"/>
      <c r="O193" s="7" t="n"/>
      <c r="P193" s="5" t="n"/>
    </row>
    <row r="194">
      <c r="A194" s="5" t="n"/>
      <c r="B194" s="6" t="n"/>
      <c r="C194" s="7" t="n"/>
      <c r="D194" s="7" t="n"/>
      <c r="E194" s="7" t="n"/>
      <c r="F194" s="6" t="n"/>
      <c r="G194" s="7" t="n"/>
      <c r="H194" s="7" t="n"/>
      <c r="I194" s="7" t="n"/>
      <c r="J194" s="5" t="n"/>
      <c r="K194" s="6" t="n"/>
      <c r="L194" s="7" t="n"/>
      <c r="M194" s="7" t="n"/>
      <c r="N194" s="6" t="n"/>
      <c r="O194" s="7" t="n"/>
      <c r="P194" s="5" t="n"/>
    </row>
    <row r="195">
      <c r="A195" s="5" t="n"/>
      <c r="B195" s="6" t="n"/>
      <c r="C195" s="7" t="n"/>
      <c r="D195" s="7" t="n"/>
      <c r="E195" s="7" t="n"/>
      <c r="F195" s="6" t="n"/>
      <c r="G195" s="7" t="n"/>
      <c r="H195" s="7" t="n"/>
      <c r="I195" s="7" t="n"/>
      <c r="J195" s="5" t="n"/>
      <c r="K195" s="6" t="n"/>
      <c r="L195" s="7" t="n"/>
      <c r="M195" s="7" t="n"/>
      <c r="N195" s="6" t="n"/>
      <c r="O195" s="7" t="n"/>
      <c r="P195" s="5" t="n"/>
    </row>
    <row r="196">
      <c r="A196" s="5" t="n"/>
      <c r="B196" s="6" t="n"/>
      <c r="C196" s="7" t="n"/>
      <c r="D196" s="7" t="n"/>
      <c r="E196" s="7" t="n"/>
      <c r="F196" s="6" t="n"/>
      <c r="G196" s="7" t="n"/>
      <c r="H196" s="7" t="n"/>
      <c r="I196" s="7" t="n"/>
      <c r="J196" s="5" t="n"/>
      <c r="K196" s="6" t="n"/>
      <c r="L196" s="7" t="n"/>
      <c r="M196" s="7" t="n"/>
      <c r="N196" s="6" t="n"/>
      <c r="O196" s="7" t="n"/>
      <c r="P196" s="5" t="n"/>
    </row>
    <row r="197">
      <c r="A197" s="5" t="n"/>
      <c r="B197" s="6" t="n"/>
      <c r="C197" s="7" t="n"/>
      <c r="D197" s="7" t="n"/>
      <c r="E197" s="7" t="n"/>
      <c r="F197" s="6" t="n"/>
      <c r="G197" s="7" t="n"/>
      <c r="H197" s="7" t="n"/>
      <c r="I197" s="7" t="n"/>
      <c r="J197" s="5" t="n"/>
      <c r="K197" s="6" t="n"/>
      <c r="L197" s="7" t="n"/>
      <c r="M197" s="7" t="n"/>
      <c r="N197" s="6" t="n"/>
      <c r="O197" s="7" t="n"/>
      <c r="P197" s="5" t="n"/>
    </row>
    <row r="198">
      <c r="A198" s="5" t="n"/>
      <c r="B198" s="6" t="n"/>
      <c r="C198" s="7" t="n"/>
      <c r="D198" s="7" t="n"/>
      <c r="E198" s="7" t="n"/>
      <c r="F198" s="6" t="n"/>
      <c r="G198" s="7" t="n"/>
      <c r="H198" s="7" t="n"/>
      <c r="I198" s="7" t="n"/>
      <c r="J198" s="5" t="n"/>
      <c r="K198" s="6" t="n"/>
      <c r="L198" s="7" t="n"/>
      <c r="M198" s="7" t="n"/>
      <c r="N198" s="6" t="n"/>
      <c r="O198" s="7" t="n"/>
      <c r="P198" s="5" t="n"/>
    </row>
    <row r="199">
      <c r="A199" s="5" t="n"/>
      <c r="B199" s="6" t="n"/>
      <c r="C199" s="7" t="n"/>
      <c r="D199" s="7" t="n"/>
      <c r="E199" s="7" t="n"/>
      <c r="F199" s="6" t="n"/>
      <c r="G199" s="7" t="n"/>
      <c r="H199" s="7" t="n"/>
      <c r="I199" s="7" t="n"/>
      <c r="J199" s="5" t="n"/>
      <c r="K199" s="6" t="n"/>
      <c r="L199" s="7" t="n"/>
      <c r="M199" s="7" t="n"/>
      <c r="N199" s="6" t="n"/>
      <c r="O199" s="7" t="n"/>
      <c r="P199" s="5" t="n"/>
    </row>
    <row r="200">
      <c r="A200" s="5" t="n"/>
      <c r="B200" s="6" t="n"/>
      <c r="C200" s="7" t="n"/>
      <c r="D200" s="7" t="n"/>
      <c r="E200" s="7" t="n"/>
      <c r="F200" s="6" t="n"/>
      <c r="G200" s="7" t="n"/>
      <c r="H200" s="7" t="n"/>
      <c r="I200" s="7" t="n"/>
      <c r="J200" s="5" t="n"/>
      <c r="K200" s="6" t="n"/>
      <c r="L200" s="7" t="n"/>
      <c r="M200" s="7" t="n"/>
      <c r="N200" s="6" t="n"/>
      <c r="O200" s="7" t="n"/>
      <c r="P200" s="5" t="n"/>
    </row>
    <row r="201">
      <c r="A201" s="5" t="n"/>
      <c r="B201" s="6" t="n"/>
      <c r="C201" s="7" t="n"/>
      <c r="D201" s="7" t="n"/>
      <c r="E201" s="7" t="n"/>
      <c r="F201" s="6" t="n"/>
      <c r="G201" s="7" t="n"/>
      <c r="H201" s="7" t="n"/>
      <c r="I201" s="7" t="n"/>
      <c r="J201" s="5" t="n"/>
      <c r="K201" s="6" t="n"/>
      <c r="L201" s="7" t="n"/>
      <c r="M201" s="7" t="n"/>
      <c r="N201" s="6" t="n"/>
      <c r="O201" s="7" t="n"/>
      <c r="P201" s="5" t="n"/>
    </row>
  </sheetData>
  <conditionalFormatting sqref="A2:A201">
    <cfRule type="expression" priority="1" dxfId="0" stopIfTrue="0">
      <formula>AND(A2&lt;&gt;"",NOT(ISNUMBER(A2)))</formula>
    </cfRule>
  </conditionalFormatting>
  <conditionalFormatting sqref="B2:B201">
    <cfRule type="expression" priority="2" dxfId="0" stopIfTrue="0">
      <formula>AND(B2&lt;&gt;"",LEN(B2)&gt;5)</formula>
    </cfRule>
  </conditionalFormatting>
  <conditionalFormatting sqref="C2:C201">
    <cfRule type="expression" priority="3" dxfId="0" stopIfTrue="0">
      <formula>AND(C2&lt;&gt;"",COUNTIF(CL_TIPO_VALOR,C2)=0)</formula>
    </cfRule>
  </conditionalFormatting>
  <conditionalFormatting sqref="D2:D201">
    <cfRule type="expression" priority="4" dxfId="0" stopIfTrue="0">
      <formula>AND(D2&lt;&gt;"",COUNTIF(CL_TIPO_OBLIGACI_N,D2)=0)</formula>
    </cfRule>
  </conditionalFormatting>
  <conditionalFormatting sqref="E2:E201">
    <cfRule type="expression" priority="5" dxfId="0" stopIfTrue="0">
      <formula>AND(E2&lt;&gt;"",IF(ISNUMBER(E2),OR(E2&lt;&gt;ROUND(E2,0),LEN(TEXT(INT(ABS(E2)),"0"))&gt;12),TRUE))</formula>
    </cfRule>
  </conditionalFormatting>
  <conditionalFormatting sqref="F2:F201">
    <cfRule type="expression" priority="6" dxfId="0" stopIfTrue="0">
      <formula>AND(F2&lt;&gt;"",OR(LEN(F2)&gt;3,COUNTIF(CL_MONEDA,F2)=0))</formula>
    </cfRule>
  </conditionalFormatting>
  <conditionalFormatting sqref="G2:G201">
    <cfRule type="expression" priority="7" dxfId="0" stopIfTrue="0">
      <formula>AND(G2&lt;&gt;"",COUNTIF(CL_ID_PAGOS,G2)=0)</formula>
    </cfRule>
  </conditionalFormatting>
  <conditionalFormatting sqref="H2:H201">
    <cfRule type="expression" priority="8" dxfId="0" stopIfTrue="0">
      <formula>AND(H2&lt;&gt;"",COUNTIF(CL_FLAG_HORARIO,H2)=0)</formula>
    </cfRule>
  </conditionalFormatting>
  <conditionalFormatting sqref="I2:I201">
    <cfRule type="expression" priority="9" dxfId="0" stopIfTrue="0">
      <formula>AND(I2&lt;&gt;"",COUNTIF(CL_CAT_ID_PAGOS_RET,I2)=0)</formula>
    </cfRule>
  </conditionalFormatting>
  <conditionalFormatting sqref="J2:J201">
    <cfRule type="expression" priority="10" dxfId="0" stopIfTrue="0">
      <formula>AND(J2&lt;&gt;"",NOT(ISNUMBER(J2)))</formula>
    </cfRule>
  </conditionalFormatting>
  <conditionalFormatting sqref="K2:K201">
    <cfRule type="expression" priority="11" dxfId="0" stopIfTrue="0">
      <formula>AND(K2&lt;&gt;"",LEN(K2)&gt;5)</formula>
    </cfRule>
  </conditionalFormatting>
  <conditionalFormatting sqref="L2:L201">
    <cfRule type="expression" priority="12" dxfId="0" stopIfTrue="0">
      <formula>AND(L2&lt;&gt;"",IF(ISNUMBER(L2),OR(L2&lt;&gt;ROUND(L2,0),LEN(TEXT(INT(ABS(L2)),"0"))&gt;12),TRUE))</formula>
    </cfRule>
  </conditionalFormatting>
  <conditionalFormatting sqref="M2:M201">
    <cfRule type="expression" priority="13" dxfId="0" stopIfTrue="0">
      <formula>AND(M2&lt;&gt;"",COUNTIF(CL_CAT_MOTIVO_RET,M2)=0)</formula>
    </cfRule>
  </conditionalFormatting>
  <conditionalFormatting sqref="N2:N201">
    <cfRule type="expression" priority="14" dxfId="0" stopIfTrue="0">
      <formula>AND(N2&lt;&gt;"",LEN(N2)&gt;50)</formula>
    </cfRule>
  </conditionalFormatting>
  <conditionalFormatting sqref="O2:O201">
    <cfRule type="expression" priority="15" dxfId="0" stopIfTrue="0">
      <formula>AND(O2&lt;&gt;"",COUNTIF(CL_CARACT_LIQ,O2)=0)</formula>
    </cfRule>
  </conditionalFormatting>
  <conditionalFormatting sqref="P2:P201">
    <cfRule type="expression" priority="16" dxfId="0" stopIfTrue="0">
      <formula>AND(P2&lt;&gt;"",NOT(ISNUMBER(P2)))</formula>
    </cfRule>
  </conditionalFormatting>
  <dataValidations count="8">
    <dataValidation sqref="C2:C201" showDropDown="0" showInputMessage="1" showErrorMessage="1" allowBlank="1" errorTitle="Clave inválida" error="El valor debe existir en el catálogo Tipo_Valor" promptTitle="TIPO_VALOR" prompt="Selecciona una Clave del catálogo Tipo_Valor" type="list">
      <formula1>=CL_TIPO_VALOR</formula1>
    </dataValidation>
    <dataValidation sqref="D2:D201" showDropDown="0" showInputMessage="1" showErrorMessage="1" allowBlank="1" errorTitle="Clave inválida" error="El valor debe existir en el catálogo Tipo_Obligación" promptTitle="TIPO_OBLIGACION" prompt="Selecciona una Clave del catálogo Tipo_Obligación" type="list">
      <formula1>=CL_TIPO_OBLIGACI_N</formula1>
    </dataValidation>
    <dataValidation sqref="F2:F201" showDropDown="0" showInputMessage="1" showErrorMessage="1" allowBlank="1" errorTitle="Clave inválida" error="El valor debe existir en el catálogo Moneda" promptTitle="MONEDA" prompt="Selecciona una Clave del catálogo Moneda" type="list">
      <formula1>=CL_MONEDA</formula1>
    </dataValidation>
    <dataValidation sqref="G2:G201" showDropDown="0" showInputMessage="1" showErrorMessage="1" allowBlank="1" errorTitle="Clave inválida" error="El valor debe existir en el catálogo Id_Pagos" promptTitle="ID_PAGOS" prompt="Selecciona una Clave del catálogo Id_Pagos" type="list">
      <formula1>=CL_ID_PAGOS</formula1>
    </dataValidation>
    <dataValidation sqref="H2:H201" showDropDown="0" showInputMessage="1" showErrorMessage="1" allowBlank="1" errorTitle="Clave inválida" error="El valor debe existir en el catálogo Flag_Horario" promptTitle="FLAG_HORARIO" prompt="Selecciona una Clave del catálogo Flag_Horario" type="list">
      <formula1>=CL_FLAG_HORARIO</formula1>
    </dataValidation>
    <dataValidation sqref="I2:I201" showDropDown="0" showInputMessage="1" showErrorMessage="1" allowBlank="1" errorTitle="Clave inválida" error="El valor debe existir en el catálogo CAT_ID_PAGOS_RET" promptTitle="ID_PAGOS_RET" prompt="Selecciona una Clave del catálogo CAT_ID_PAGOS_RET" type="list">
      <formula1>=CL_CAT_ID_PAGOS_RET</formula1>
    </dataValidation>
    <dataValidation sqref="M2:M201" showDropDown="0" showInputMessage="1" showErrorMessage="1" allowBlank="1" errorTitle="Clave inválida" error="El valor debe existir en el catálogo CAT_MOTIVO_RET" promptTitle="MOTIVO_RET" prompt="Selecciona una Clave del catálogo CAT_MOTIVO_RET" type="list">
      <formula1>=CL_CAT_MOTIVO_RET</formula1>
    </dataValidation>
    <dataValidation sqref="O2:O201" showDropDown="0" showInputMessage="1" showErrorMessage="1" allowBlank="1" errorTitle="Clave inválida" error="El valor debe existir en el catálogo Caract_liq" promptTitle="CARACT_LIQUIDACION" prompt="Selecciona una Clave del catálogo Caract_liq" type="list">
      <formula1>=CL_CARACT_LIQ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Valor máximo durante el día</t>
        </is>
      </c>
    </row>
    <row r="3">
      <c r="A3" s="6" t="inlineStr">
        <is>
          <t>2</t>
        </is>
      </c>
      <c r="B3" t="inlineStr">
        <is>
          <t>Segundo valor máximo durante el día</t>
        </is>
      </c>
    </row>
    <row r="4">
      <c r="A4" s="6" t="inlineStr">
        <is>
          <t>3</t>
        </is>
      </c>
      <c r="B4" t="inlineStr">
        <is>
          <t>Tercer valor máximo durante el día</t>
        </is>
      </c>
    </row>
    <row r="5">
      <c r="A5" s="6" t="inlineStr">
        <is>
          <t>10</t>
        </is>
      </c>
      <c r="B5" t="inlineStr">
        <is>
          <t>Total de pagos durante el día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Pagos por Operaciones Cambiarias</t>
        </is>
      </c>
    </row>
    <row r="3">
      <c r="A3" s="6" t="inlineStr">
        <is>
          <t>2</t>
        </is>
      </c>
      <c r="B3" t="inlineStr">
        <is>
          <t>Pagos por Operaciones de Préstamo de valores</t>
        </is>
      </c>
    </row>
    <row r="4">
      <c r="A4" s="6" t="inlineStr">
        <is>
          <t>3</t>
        </is>
      </c>
      <c r="B4" t="inlineStr">
        <is>
          <t>Pagos por Operaciones de Reporto</t>
        </is>
      </c>
    </row>
    <row r="5">
      <c r="A5" s="6" t="inlineStr">
        <is>
          <t>4</t>
        </is>
      </c>
      <c r="B5" t="inlineStr">
        <is>
          <t>Pagos por Operaciones Adelantadas (Forwards)</t>
        </is>
      </c>
    </row>
    <row r="6">
      <c r="A6" s="6" t="inlineStr">
        <is>
          <t>5</t>
        </is>
      </c>
      <c r="B6" t="inlineStr">
        <is>
          <t>Pagos por Operaciones a Futuro</t>
        </is>
      </c>
    </row>
    <row r="7">
      <c r="A7" s="6" t="inlineStr">
        <is>
          <t>6</t>
        </is>
      </c>
      <c r="B7" t="inlineStr">
        <is>
          <t>Pagos por Operaciones de Opción</t>
        </is>
      </c>
    </row>
    <row r="8">
      <c r="A8" s="6" t="inlineStr">
        <is>
          <t>7</t>
        </is>
      </c>
      <c r="B8" t="inlineStr">
        <is>
          <t>Pagos por Operaciones de Intercambio (Swaps)</t>
        </is>
      </c>
    </row>
    <row r="9">
      <c r="A9" s="6" t="inlineStr">
        <is>
          <t>8</t>
        </is>
      </c>
      <c r="B9" t="inlineStr">
        <is>
          <t>Pagos por Operaciones de Derivados de Crédito</t>
        </is>
      </c>
    </row>
    <row r="10">
      <c r="A10" s="6" t="inlineStr">
        <is>
          <t>9</t>
        </is>
      </c>
      <c r="B10" t="inlineStr">
        <is>
          <t xml:space="preserve">Pagos por préstamos recibidos </t>
        </is>
      </c>
    </row>
    <row r="11">
      <c r="A11" s="6" t="inlineStr">
        <is>
          <t>10</t>
        </is>
      </c>
      <c r="B11" t="inlineStr">
        <is>
          <t>Pagos por operaciones de call money</t>
        </is>
      </c>
    </row>
    <row r="12">
      <c r="A12" s="6" t="inlineStr">
        <is>
          <t>11</t>
        </is>
      </c>
      <c r="B12" t="inlineStr">
        <is>
          <t>Pagos por retiros de depósitos a plazo</t>
        </is>
      </c>
    </row>
    <row r="13">
      <c r="A13" s="6" t="inlineStr">
        <is>
          <t>12</t>
        </is>
      </c>
      <c r="B13" t="inlineStr">
        <is>
          <t>Pagos por retiros de depósitos de exigibilidad inmediata</t>
        </is>
      </c>
    </row>
    <row r="14">
      <c r="A14" s="6" t="inlineStr">
        <is>
          <t>13</t>
        </is>
      </c>
      <c r="B14" t="inlineStr">
        <is>
          <t xml:space="preserve">Otros tipos de obligaciones de pago </t>
        </is>
      </c>
    </row>
    <row r="15">
      <c r="A15" s="6" t="inlineStr">
        <is>
          <t>14</t>
        </is>
      </c>
      <c r="B15" t="inlineStr">
        <is>
          <t>Pagos por retiros de depósitos de exigibilidad inmediata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AFN</t>
        </is>
      </c>
      <c r="B2" t="inlineStr">
        <is>
          <t>971</t>
        </is>
      </c>
    </row>
    <row r="3">
      <c r="A3" s="6" t="inlineStr">
        <is>
          <t>EUR</t>
        </is>
      </c>
      <c r="B3" t="inlineStr">
        <is>
          <t>978</t>
        </is>
      </c>
    </row>
    <row r="4">
      <c r="A4" s="6" t="inlineStr">
        <is>
          <t>ALL</t>
        </is>
      </c>
      <c r="B4" t="inlineStr">
        <is>
          <t>8</t>
        </is>
      </c>
    </row>
    <row r="5">
      <c r="A5" s="6" t="inlineStr">
        <is>
          <t>DZD</t>
        </is>
      </c>
      <c r="B5" t="inlineStr">
        <is>
          <t>12</t>
        </is>
      </c>
    </row>
    <row r="6">
      <c r="A6" s="6" t="inlineStr">
        <is>
          <t>USD</t>
        </is>
      </c>
      <c r="B6" t="inlineStr">
        <is>
          <t>840</t>
        </is>
      </c>
    </row>
    <row r="7">
      <c r="A7" s="6" t="inlineStr">
        <is>
          <t>AOA</t>
        </is>
      </c>
      <c r="B7" t="inlineStr">
        <is>
          <t>973</t>
        </is>
      </c>
    </row>
    <row r="8">
      <c r="A8" s="6" t="inlineStr">
        <is>
          <t>XCD</t>
        </is>
      </c>
      <c r="B8" t="inlineStr">
        <is>
          <t>951</t>
        </is>
      </c>
    </row>
    <row r="9">
      <c r="A9" s="6" t="inlineStr">
        <is>
          <t>ARS</t>
        </is>
      </c>
      <c r="B9" t="inlineStr">
        <is>
          <t>32</t>
        </is>
      </c>
    </row>
    <row r="10">
      <c r="A10" s="6" t="inlineStr">
        <is>
          <t>AMD</t>
        </is>
      </c>
      <c r="B10" t="inlineStr">
        <is>
          <t>51</t>
        </is>
      </c>
    </row>
    <row r="11">
      <c r="A11" s="6" t="inlineStr">
        <is>
          <t>AWG</t>
        </is>
      </c>
      <c r="B11" t="inlineStr">
        <is>
          <t>533</t>
        </is>
      </c>
    </row>
    <row r="12">
      <c r="A12" s="6" t="inlineStr">
        <is>
          <t>AUD</t>
        </is>
      </c>
      <c r="B12" t="inlineStr">
        <is>
          <t>36</t>
        </is>
      </c>
    </row>
    <row r="13">
      <c r="A13" s="6" t="inlineStr">
        <is>
          <t>AZN</t>
        </is>
      </c>
      <c r="B13" t="inlineStr">
        <is>
          <t>944</t>
        </is>
      </c>
    </row>
    <row r="14">
      <c r="A14" s="6" t="inlineStr">
        <is>
          <t>BSD</t>
        </is>
      </c>
      <c r="B14" t="inlineStr">
        <is>
          <t>44</t>
        </is>
      </c>
    </row>
    <row r="15">
      <c r="A15" s="6" t="inlineStr">
        <is>
          <t>BHD</t>
        </is>
      </c>
      <c r="B15" t="inlineStr">
        <is>
          <t>48</t>
        </is>
      </c>
    </row>
    <row r="16">
      <c r="A16" s="6" t="inlineStr">
        <is>
          <t>BDT</t>
        </is>
      </c>
      <c r="B16" t="inlineStr">
        <is>
          <t>50</t>
        </is>
      </c>
    </row>
    <row r="17">
      <c r="A17" s="6" t="inlineStr">
        <is>
          <t>BBD</t>
        </is>
      </c>
      <c r="B17" t="inlineStr">
        <is>
          <t>52</t>
        </is>
      </c>
    </row>
    <row r="18">
      <c r="A18" s="6" t="inlineStr">
        <is>
          <t>BYR</t>
        </is>
      </c>
      <c r="B18" t="inlineStr">
        <is>
          <t>974</t>
        </is>
      </c>
    </row>
    <row r="19">
      <c r="A19" s="6" t="inlineStr">
        <is>
          <t>BZD</t>
        </is>
      </c>
      <c r="B19" t="inlineStr">
        <is>
          <t>84</t>
        </is>
      </c>
    </row>
    <row r="20">
      <c r="A20" s="6" t="inlineStr">
        <is>
          <t>XOF</t>
        </is>
      </c>
      <c r="B20" t="inlineStr">
        <is>
          <t>952</t>
        </is>
      </c>
    </row>
    <row r="21">
      <c r="A21" s="6" t="inlineStr">
        <is>
          <t>BMD</t>
        </is>
      </c>
      <c r="B21" t="inlineStr">
        <is>
          <t>60</t>
        </is>
      </c>
    </row>
    <row r="22">
      <c r="A22" s="6" t="inlineStr">
        <is>
          <t>INR</t>
        </is>
      </c>
      <c r="B22" t="inlineStr">
        <is>
          <t>356</t>
        </is>
      </c>
    </row>
    <row r="23">
      <c r="A23" s="6" t="inlineStr">
        <is>
          <t>BTN</t>
        </is>
      </c>
      <c r="B23" t="inlineStr">
        <is>
          <t>64</t>
        </is>
      </c>
    </row>
    <row r="24">
      <c r="A24" s="6" t="inlineStr">
        <is>
          <t>BOB</t>
        </is>
      </c>
      <c r="B24" t="inlineStr">
        <is>
          <t>68</t>
        </is>
      </c>
    </row>
    <row r="25">
      <c r="A25" s="6" t="inlineStr">
        <is>
          <t>BOV</t>
        </is>
      </c>
      <c r="B25" t="inlineStr">
        <is>
          <t>984</t>
        </is>
      </c>
    </row>
    <row r="26">
      <c r="A26" s="6" t="inlineStr">
        <is>
          <t>BAM</t>
        </is>
      </c>
      <c r="B26" t="inlineStr">
        <is>
          <t>977</t>
        </is>
      </c>
    </row>
    <row r="27">
      <c r="A27" s="6" t="inlineStr">
        <is>
          <t>BWP</t>
        </is>
      </c>
      <c r="B27" t="inlineStr">
        <is>
          <t>72</t>
        </is>
      </c>
    </row>
    <row r="28">
      <c r="A28" s="6" t="inlineStr">
        <is>
          <t>NOK</t>
        </is>
      </c>
      <c r="B28" t="inlineStr">
        <is>
          <t>578</t>
        </is>
      </c>
    </row>
    <row r="29">
      <c r="A29" s="6" t="inlineStr">
        <is>
          <t>BRL</t>
        </is>
      </c>
      <c r="B29" t="inlineStr">
        <is>
          <t>986</t>
        </is>
      </c>
    </row>
    <row r="30">
      <c r="A30" s="6" t="inlineStr">
        <is>
          <t>BND</t>
        </is>
      </c>
      <c r="B30" t="inlineStr">
        <is>
          <t>96</t>
        </is>
      </c>
    </row>
    <row r="31">
      <c r="A31" s="6" t="inlineStr">
        <is>
          <t>BGN</t>
        </is>
      </c>
      <c r="B31" t="inlineStr">
        <is>
          <t>975</t>
        </is>
      </c>
    </row>
    <row r="32">
      <c r="A32" s="6" t="inlineStr">
        <is>
          <t>BIF</t>
        </is>
      </c>
      <c r="B32" t="inlineStr">
        <is>
          <t>108</t>
        </is>
      </c>
    </row>
    <row r="33">
      <c r="A33" s="6" t="inlineStr">
        <is>
          <t>KHR</t>
        </is>
      </c>
      <c r="B33" t="inlineStr">
        <is>
          <t>116</t>
        </is>
      </c>
    </row>
    <row r="34">
      <c r="A34" s="6" t="inlineStr">
        <is>
          <t>XAF</t>
        </is>
      </c>
      <c r="B34" t="inlineStr">
        <is>
          <t>950</t>
        </is>
      </c>
    </row>
    <row r="35">
      <c r="A35" s="6" t="inlineStr">
        <is>
          <t>CAD</t>
        </is>
      </c>
      <c r="B35" t="inlineStr">
        <is>
          <t>124</t>
        </is>
      </c>
    </row>
    <row r="36">
      <c r="A36" s="6" t="inlineStr">
        <is>
          <t>CVE</t>
        </is>
      </c>
      <c r="B36" t="inlineStr">
        <is>
          <t>132</t>
        </is>
      </c>
    </row>
    <row r="37">
      <c r="A37" s="6" t="inlineStr">
        <is>
          <t>KYD</t>
        </is>
      </c>
      <c r="B37" t="inlineStr">
        <is>
          <t>136</t>
        </is>
      </c>
    </row>
    <row r="38">
      <c r="A38" s="6" t="inlineStr">
        <is>
          <t>CLP</t>
        </is>
      </c>
      <c r="B38" t="inlineStr">
        <is>
          <t>152</t>
        </is>
      </c>
    </row>
    <row r="39">
      <c r="A39" s="6" t="inlineStr">
        <is>
          <t>CLF</t>
        </is>
      </c>
      <c r="B39" t="inlineStr">
        <is>
          <t>990</t>
        </is>
      </c>
    </row>
    <row r="40">
      <c r="A40" s="6" t="inlineStr">
        <is>
          <t>CNY</t>
        </is>
      </c>
      <c r="B40" t="inlineStr">
        <is>
          <t>156</t>
        </is>
      </c>
    </row>
    <row r="41">
      <c r="A41" s="6" t="inlineStr">
        <is>
          <t>COP</t>
        </is>
      </c>
      <c r="B41" t="inlineStr">
        <is>
          <t>170</t>
        </is>
      </c>
    </row>
    <row r="42">
      <c r="A42" s="6" t="inlineStr">
        <is>
          <t>COU</t>
        </is>
      </c>
      <c r="B42" t="inlineStr">
        <is>
          <t>970</t>
        </is>
      </c>
    </row>
    <row r="43">
      <c r="A43" s="6" t="inlineStr">
        <is>
          <t>KMF</t>
        </is>
      </c>
      <c r="B43" t="inlineStr">
        <is>
          <t>174</t>
        </is>
      </c>
    </row>
    <row r="44">
      <c r="A44" s="6" t="inlineStr">
        <is>
          <t>CDF</t>
        </is>
      </c>
      <c r="B44" t="inlineStr">
        <is>
          <t>976</t>
        </is>
      </c>
    </row>
    <row r="45">
      <c r="A45" s="6" t="inlineStr">
        <is>
          <t>NZD</t>
        </is>
      </c>
      <c r="B45" t="inlineStr">
        <is>
          <t>554</t>
        </is>
      </c>
    </row>
    <row r="46">
      <c r="A46" s="6" t="inlineStr">
        <is>
          <t>CRC</t>
        </is>
      </c>
      <c r="B46" t="inlineStr">
        <is>
          <t>188</t>
        </is>
      </c>
    </row>
    <row r="47">
      <c r="A47" s="6" t="inlineStr">
        <is>
          <t>HRK</t>
        </is>
      </c>
      <c r="B47" t="inlineStr">
        <is>
          <t>191</t>
        </is>
      </c>
    </row>
    <row r="48">
      <c r="A48" s="6" t="inlineStr">
        <is>
          <t>CUP</t>
        </is>
      </c>
      <c r="B48" t="inlineStr">
        <is>
          <t>192</t>
        </is>
      </c>
    </row>
    <row r="49">
      <c r="A49" s="6" t="inlineStr">
        <is>
          <t>CUC</t>
        </is>
      </c>
      <c r="B49" t="inlineStr">
        <is>
          <t>931</t>
        </is>
      </c>
    </row>
    <row r="50">
      <c r="A50" s="6" t="inlineStr">
        <is>
          <t>ANG</t>
        </is>
      </c>
      <c r="B50" t="inlineStr">
        <is>
          <t>532</t>
        </is>
      </c>
    </row>
    <row r="51">
      <c r="A51" s="6" t="inlineStr">
        <is>
          <t>CZK</t>
        </is>
      </c>
      <c r="B51" t="inlineStr">
        <is>
          <t>203</t>
        </is>
      </c>
    </row>
    <row r="52">
      <c r="A52" s="6" t="inlineStr">
        <is>
          <t>DKK</t>
        </is>
      </c>
      <c r="B52" t="inlineStr">
        <is>
          <t>208</t>
        </is>
      </c>
    </row>
    <row r="53">
      <c r="A53" s="6" t="inlineStr">
        <is>
          <t>DJF</t>
        </is>
      </c>
      <c r="B53" t="inlineStr">
        <is>
          <t>262</t>
        </is>
      </c>
    </row>
    <row r="54">
      <c r="A54" s="6" t="inlineStr">
        <is>
          <t>DOP</t>
        </is>
      </c>
      <c r="B54" t="inlineStr">
        <is>
          <t>214</t>
        </is>
      </c>
    </row>
    <row r="55">
      <c r="A55" s="6" t="inlineStr">
        <is>
          <t>EGP</t>
        </is>
      </c>
      <c r="B55" t="inlineStr">
        <is>
          <t>818</t>
        </is>
      </c>
    </row>
    <row r="56">
      <c r="A56" s="6" t="inlineStr">
        <is>
          <t>SVC</t>
        </is>
      </c>
      <c r="B56" t="inlineStr">
        <is>
          <t>222</t>
        </is>
      </c>
    </row>
    <row r="57">
      <c r="A57" s="6" t="inlineStr">
        <is>
          <t>ERN</t>
        </is>
      </c>
      <c r="B57" t="inlineStr">
        <is>
          <t>232</t>
        </is>
      </c>
    </row>
    <row r="58">
      <c r="A58" s="6" t="inlineStr">
        <is>
          <t>ETB</t>
        </is>
      </c>
      <c r="B58" t="inlineStr">
        <is>
          <t>230</t>
        </is>
      </c>
    </row>
    <row r="59">
      <c r="A59" s="6" t="inlineStr">
        <is>
          <t>FKP</t>
        </is>
      </c>
      <c r="B59" t="inlineStr">
        <is>
          <t>238</t>
        </is>
      </c>
    </row>
    <row r="60">
      <c r="A60" s="6" t="inlineStr">
        <is>
          <t>FJD</t>
        </is>
      </c>
      <c r="B60" t="inlineStr">
        <is>
          <t>242</t>
        </is>
      </c>
    </row>
    <row r="61">
      <c r="A61" s="6" t="inlineStr">
        <is>
          <t>XPF</t>
        </is>
      </c>
      <c r="B61" t="inlineStr">
        <is>
          <t>953</t>
        </is>
      </c>
    </row>
    <row r="62">
      <c r="A62" s="6" t="inlineStr">
        <is>
          <t>GMD</t>
        </is>
      </c>
      <c r="B62" t="inlineStr">
        <is>
          <t>270</t>
        </is>
      </c>
    </row>
    <row r="63">
      <c r="A63" s="6" t="inlineStr">
        <is>
          <t>GEL</t>
        </is>
      </c>
      <c r="B63" t="inlineStr">
        <is>
          <t>981</t>
        </is>
      </c>
    </row>
    <row r="64">
      <c r="A64" s="6" t="inlineStr">
        <is>
          <t>GHS</t>
        </is>
      </c>
      <c r="B64" t="inlineStr">
        <is>
          <t>936</t>
        </is>
      </c>
    </row>
    <row r="65">
      <c r="A65" s="6" t="inlineStr">
        <is>
          <t>GIP</t>
        </is>
      </c>
      <c r="B65" t="inlineStr">
        <is>
          <t>292</t>
        </is>
      </c>
    </row>
    <row r="66">
      <c r="A66" s="6" t="inlineStr">
        <is>
          <t>GTQ</t>
        </is>
      </c>
      <c r="B66" t="inlineStr">
        <is>
          <t>320</t>
        </is>
      </c>
    </row>
    <row r="67">
      <c r="A67" s="6" t="inlineStr">
        <is>
          <t>GBP</t>
        </is>
      </c>
      <c r="B67" t="inlineStr">
        <is>
          <t>826</t>
        </is>
      </c>
    </row>
    <row r="68">
      <c r="A68" s="6" t="inlineStr">
        <is>
          <t>GNF</t>
        </is>
      </c>
      <c r="B68" t="inlineStr">
        <is>
          <t>324</t>
        </is>
      </c>
    </row>
    <row r="69">
      <c r="A69" s="6" t="inlineStr">
        <is>
          <t>GYD</t>
        </is>
      </c>
      <c r="B69" t="inlineStr">
        <is>
          <t>328</t>
        </is>
      </c>
    </row>
    <row r="70">
      <c r="A70" s="6" t="inlineStr">
        <is>
          <t>HTG</t>
        </is>
      </c>
      <c r="B70" t="inlineStr">
        <is>
          <t>332</t>
        </is>
      </c>
    </row>
    <row r="71">
      <c r="A71" s="6" t="inlineStr">
        <is>
          <t>HNL</t>
        </is>
      </c>
      <c r="B71" t="inlineStr">
        <is>
          <t>340</t>
        </is>
      </c>
    </row>
    <row r="72">
      <c r="A72" s="6" t="inlineStr">
        <is>
          <t>HKD</t>
        </is>
      </c>
      <c r="B72" t="inlineStr">
        <is>
          <t>344</t>
        </is>
      </c>
    </row>
    <row r="73">
      <c r="A73" s="6" t="inlineStr">
        <is>
          <t>HUF</t>
        </is>
      </c>
      <c r="B73" t="inlineStr">
        <is>
          <t>348</t>
        </is>
      </c>
    </row>
    <row r="74">
      <c r="A74" s="6" t="inlineStr">
        <is>
          <t>ISK</t>
        </is>
      </c>
      <c r="B74" t="inlineStr">
        <is>
          <t>352</t>
        </is>
      </c>
    </row>
    <row r="75">
      <c r="A75" s="6" t="inlineStr">
        <is>
          <t>IDR</t>
        </is>
      </c>
      <c r="B75" t="inlineStr">
        <is>
          <t>360</t>
        </is>
      </c>
    </row>
    <row r="76">
      <c r="A76" s="6" t="inlineStr">
        <is>
          <t>XDR</t>
        </is>
      </c>
      <c r="B76" t="inlineStr">
        <is>
          <t>960</t>
        </is>
      </c>
    </row>
    <row r="77">
      <c r="A77" s="6" t="inlineStr">
        <is>
          <t>IRR</t>
        </is>
      </c>
      <c r="B77" t="inlineStr">
        <is>
          <t>364</t>
        </is>
      </c>
    </row>
    <row r="78">
      <c r="A78" s="6" t="inlineStr">
        <is>
          <t>IQD</t>
        </is>
      </c>
      <c r="B78" t="inlineStr">
        <is>
          <t>368</t>
        </is>
      </c>
    </row>
    <row r="79">
      <c r="A79" s="6" t="inlineStr">
        <is>
          <t>ILS</t>
        </is>
      </c>
      <c r="B79" t="inlineStr">
        <is>
          <t>376</t>
        </is>
      </c>
    </row>
    <row r="80">
      <c r="A80" s="6" t="inlineStr">
        <is>
          <t>JMD</t>
        </is>
      </c>
      <c r="B80" t="inlineStr">
        <is>
          <t>388</t>
        </is>
      </c>
    </row>
    <row r="81">
      <c r="A81" s="6" t="inlineStr">
        <is>
          <t>JPY</t>
        </is>
      </c>
      <c r="B81" t="inlineStr">
        <is>
          <t>392</t>
        </is>
      </c>
    </row>
    <row r="82">
      <c r="A82" s="6" t="inlineStr">
        <is>
          <t>JOD</t>
        </is>
      </c>
      <c r="B82" t="inlineStr">
        <is>
          <t>400</t>
        </is>
      </c>
    </row>
    <row r="83">
      <c r="A83" s="6" t="inlineStr">
        <is>
          <t>KZT</t>
        </is>
      </c>
      <c r="B83" t="inlineStr">
        <is>
          <t>398</t>
        </is>
      </c>
    </row>
    <row r="84">
      <c r="A84" s="6" t="inlineStr">
        <is>
          <t>KES</t>
        </is>
      </c>
      <c r="B84" t="inlineStr">
        <is>
          <t>404</t>
        </is>
      </c>
    </row>
    <row r="85">
      <c r="A85" s="6" t="inlineStr">
        <is>
          <t>KPW</t>
        </is>
      </c>
      <c r="B85" t="inlineStr">
        <is>
          <t>408</t>
        </is>
      </c>
    </row>
    <row r="86">
      <c r="A86" s="6" t="inlineStr">
        <is>
          <t>KRW</t>
        </is>
      </c>
      <c r="B86" t="inlineStr">
        <is>
          <t>410</t>
        </is>
      </c>
    </row>
    <row r="87">
      <c r="A87" s="6" t="inlineStr">
        <is>
          <t>KWD</t>
        </is>
      </c>
      <c r="B87" t="inlineStr">
        <is>
          <t>414</t>
        </is>
      </c>
    </row>
    <row r="88">
      <c r="A88" s="6" t="inlineStr">
        <is>
          <t>KGS</t>
        </is>
      </c>
      <c r="B88" t="inlineStr">
        <is>
          <t>417</t>
        </is>
      </c>
    </row>
    <row r="89">
      <c r="A89" s="6" t="inlineStr">
        <is>
          <t>LAK</t>
        </is>
      </c>
      <c r="B89" t="inlineStr">
        <is>
          <t>418</t>
        </is>
      </c>
    </row>
    <row r="90">
      <c r="A90" s="6" t="inlineStr">
        <is>
          <t>LVL</t>
        </is>
      </c>
      <c r="B90" t="inlineStr">
        <is>
          <t>428</t>
        </is>
      </c>
    </row>
    <row r="91">
      <c r="A91" s="6" t="inlineStr">
        <is>
          <t>LBP</t>
        </is>
      </c>
      <c r="B91" t="inlineStr">
        <is>
          <t>422</t>
        </is>
      </c>
    </row>
    <row r="92">
      <c r="A92" s="6" t="inlineStr">
        <is>
          <t>LSL</t>
        </is>
      </c>
      <c r="B92" t="inlineStr">
        <is>
          <t>426</t>
        </is>
      </c>
    </row>
    <row r="93">
      <c r="A93" s="6" t="inlineStr">
        <is>
          <t>ZAR</t>
        </is>
      </c>
      <c r="B93" t="inlineStr">
        <is>
          <t>710</t>
        </is>
      </c>
    </row>
    <row r="94">
      <c r="A94" s="6" t="inlineStr">
        <is>
          <t>LRD</t>
        </is>
      </c>
      <c r="B94" t="inlineStr">
        <is>
          <t>430</t>
        </is>
      </c>
    </row>
    <row r="95">
      <c r="A95" s="6" t="inlineStr">
        <is>
          <t>LYD</t>
        </is>
      </c>
      <c r="B95" t="inlineStr">
        <is>
          <t>434</t>
        </is>
      </c>
    </row>
    <row r="96">
      <c r="A96" s="6" t="inlineStr">
        <is>
          <t>CHF</t>
        </is>
      </c>
      <c r="B96" t="inlineStr">
        <is>
          <t>756</t>
        </is>
      </c>
    </row>
    <row r="97">
      <c r="A97" s="6" t="inlineStr">
        <is>
          <t>LTL</t>
        </is>
      </c>
      <c r="B97" t="inlineStr">
        <is>
          <t>440</t>
        </is>
      </c>
    </row>
    <row r="98">
      <c r="A98" s="6" t="inlineStr">
        <is>
          <t>MOP</t>
        </is>
      </c>
      <c r="B98" t="inlineStr">
        <is>
          <t>446</t>
        </is>
      </c>
    </row>
    <row r="99">
      <c r="A99" s="6" t="inlineStr">
        <is>
          <t>MKD</t>
        </is>
      </c>
      <c r="B99" t="inlineStr">
        <is>
          <t>807</t>
        </is>
      </c>
    </row>
    <row r="100">
      <c r="A100" s="6" t="inlineStr">
        <is>
          <t>MGA</t>
        </is>
      </c>
      <c r="B100" t="inlineStr">
        <is>
          <t>969</t>
        </is>
      </c>
    </row>
    <row r="101">
      <c r="A101" s="6" t="inlineStr">
        <is>
          <t>MWK</t>
        </is>
      </c>
      <c r="B101" t="inlineStr">
        <is>
          <t>454</t>
        </is>
      </c>
    </row>
    <row r="102">
      <c r="A102" s="6" t="inlineStr">
        <is>
          <t>MYR</t>
        </is>
      </c>
      <c r="B102" t="inlineStr">
        <is>
          <t>458</t>
        </is>
      </c>
    </row>
    <row r="103">
      <c r="A103" s="6" t="inlineStr">
        <is>
          <t>MVR</t>
        </is>
      </c>
      <c r="B103" t="inlineStr">
        <is>
          <t>462</t>
        </is>
      </c>
    </row>
    <row r="104">
      <c r="A104" s="6" t="inlineStr">
        <is>
          <t>MRO</t>
        </is>
      </c>
      <c r="B104" t="inlineStr">
        <is>
          <t>478</t>
        </is>
      </c>
    </row>
    <row r="105">
      <c r="A105" s="6" t="inlineStr">
        <is>
          <t>MUR</t>
        </is>
      </c>
      <c r="B105" t="inlineStr">
        <is>
          <t>480</t>
        </is>
      </c>
    </row>
    <row r="106">
      <c r="A106" s="6" t="inlineStr">
        <is>
          <t>XUA</t>
        </is>
      </c>
      <c r="B106" t="inlineStr">
        <is>
          <t>965</t>
        </is>
      </c>
    </row>
    <row r="107">
      <c r="A107" s="6" t="inlineStr">
        <is>
          <t>MXN</t>
        </is>
      </c>
      <c r="B107" t="inlineStr">
        <is>
          <t>484</t>
        </is>
      </c>
    </row>
    <row r="108">
      <c r="A108" s="6" t="inlineStr">
        <is>
          <t>MXV</t>
        </is>
      </c>
      <c r="B108" t="inlineStr">
        <is>
          <t>979</t>
        </is>
      </c>
    </row>
    <row r="109">
      <c r="A109" s="6" t="inlineStr">
        <is>
          <t>MDL</t>
        </is>
      </c>
      <c r="B109" t="inlineStr">
        <is>
          <t>498</t>
        </is>
      </c>
    </row>
    <row r="110">
      <c r="A110" s="6" t="inlineStr">
        <is>
          <t>MNT</t>
        </is>
      </c>
      <c r="B110" t="inlineStr">
        <is>
          <t>496</t>
        </is>
      </c>
    </row>
    <row r="111">
      <c r="A111" s="6" t="inlineStr">
        <is>
          <t>MAD</t>
        </is>
      </c>
      <c r="B111" t="inlineStr">
        <is>
          <t>504</t>
        </is>
      </c>
    </row>
    <row r="112">
      <c r="A112" s="6" t="inlineStr">
        <is>
          <t>MZN</t>
        </is>
      </c>
      <c r="B112" t="inlineStr">
        <is>
          <t>943</t>
        </is>
      </c>
    </row>
    <row r="113">
      <c r="A113" s="6" t="inlineStr">
        <is>
          <t>MMK</t>
        </is>
      </c>
      <c r="B113" t="inlineStr">
        <is>
          <t>104</t>
        </is>
      </c>
    </row>
    <row r="114">
      <c r="A114" s="6" t="inlineStr">
        <is>
          <t>NAD</t>
        </is>
      </c>
      <c r="B114" t="inlineStr">
        <is>
          <t>516</t>
        </is>
      </c>
    </row>
    <row r="115">
      <c r="A115" s="6" t="inlineStr">
        <is>
          <t>NPR</t>
        </is>
      </c>
      <c r="B115" t="inlineStr">
        <is>
          <t>524</t>
        </is>
      </c>
    </row>
    <row r="116">
      <c r="A116" s="6" t="inlineStr">
        <is>
          <t>NIO</t>
        </is>
      </c>
      <c r="B116" t="inlineStr">
        <is>
          <t>558</t>
        </is>
      </c>
    </row>
    <row r="117">
      <c r="A117" s="6" t="inlineStr">
        <is>
          <t>NGN</t>
        </is>
      </c>
      <c r="B117" t="inlineStr">
        <is>
          <t>566</t>
        </is>
      </c>
    </row>
    <row r="118">
      <c r="A118" s="6" t="inlineStr">
        <is>
          <t>OMR</t>
        </is>
      </c>
      <c r="B118" t="inlineStr">
        <is>
          <t>512</t>
        </is>
      </c>
    </row>
    <row r="119">
      <c r="A119" s="6" t="inlineStr">
        <is>
          <t>PKR</t>
        </is>
      </c>
      <c r="B119" t="inlineStr">
        <is>
          <t>586</t>
        </is>
      </c>
    </row>
    <row r="120">
      <c r="A120" s="6" t="inlineStr">
        <is>
          <t>PAB</t>
        </is>
      </c>
      <c r="B120" t="inlineStr">
        <is>
          <t>590</t>
        </is>
      </c>
    </row>
    <row r="121">
      <c r="A121" s="6" t="inlineStr">
        <is>
          <t>PGK</t>
        </is>
      </c>
      <c r="B121" t="inlineStr">
        <is>
          <t>598</t>
        </is>
      </c>
    </row>
    <row r="122">
      <c r="A122" s="6" t="inlineStr">
        <is>
          <t>PYG</t>
        </is>
      </c>
      <c r="B122" t="inlineStr">
        <is>
          <t>600</t>
        </is>
      </c>
    </row>
    <row r="123">
      <c r="A123" s="6" t="inlineStr">
        <is>
          <t>PEN</t>
        </is>
      </c>
      <c r="B123" t="inlineStr">
        <is>
          <t>604</t>
        </is>
      </c>
    </row>
    <row r="124">
      <c r="A124" s="6" t="inlineStr">
        <is>
          <t>PHP</t>
        </is>
      </c>
      <c r="B124" t="inlineStr">
        <is>
          <t>608</t>
        </is>
      </c>
    </row>
    <row r="125">
      <c r="A125" s="6" t="inlineStr">
        <is>
          <t>PLN</t>
        </is>
      </c>
      <c r="B125" t="inlineStr">
        <is>
          <t>985</t>
        </is>
      </c>
    </row>
    <row r="126">
      <c r="A126" s="6" t="inlineStr">
        <is>
          <t>QAR</t>
        </is>
      </c>
      <c r="B126" t="inlineStr">
        <is>
          <t>634</t>
        </is>
      </c>
    </row>
    <row r="127">
      <c r="A127" s="6" t="inlineStr">
        <is>
          <t>RON</t>
        </is>
      </c>
      <c r="B127" t="inlineStr">
        <is>
          <t>946</t>
        </is>
      </c>
    </row>
    <row r="128">
      <c r="A128" s="6" t="inlineStr">
        <is>
          <t>RUB</t>
        </is>
      </c>
      <c r="B128" t="inlineStr">
        <is>
          <t>643</t>
        </is>
      </c>
    </row>
    <row r="129">
      <c r="A129" s="6" t="inlineStr">
        <is>
          <t>RWF</t>
        </is>
      </c>
      <c r="B129" t="inlineStr">
        <is>
          <t>646</t>
        </is>
      </c>
    </row>
    <row r="130">
      <c r="A130" s="6" t="inlineStr">
        <is>
          <t>SHP</t>
        </is>
      </c>
      <c r="B130" t="inlineStr">
        <is>
          <t>654</t>
        </is>
      </c>
    </row>
    <row r="131">
      <c r="A131" s="6" t="inlineStr">
        <is>
          <t>WST</t>
        </is>
      </c>
      <c r="B131" t="inlineStr">
        <is>
          <t>882</t>
        </is>
      </c>
    </row>
    <row r="132">
      <c r="A132" s="6" t="inlineStr">
        <is>
          <t>STD</t>
        </is>
      </c>
      <c r="B132" t="inlineStr">
        <is>
          <t>678</t>
        </is>
      </c>
    </row>
    <row r="133">
      <c r="A133" s="6" t="inlineStr">
        <is>
          <t>SAR</t>
        </is>
      </c>
      <c r="B133" t="inlineStr">
        <is>
          <t>682</t>
        </is>
      </c>
    </row>
    <row r="134">
      <c r="A134" s="6" t="inlineStr">
        <is>
          <t>RSD</t>
        </is>
      </c>
      <c r="B134" t="inlineStr">
        <is>
          <t>941</t>
        </is>
      </c>
    </row>
    <row r="135">
      <c r="A135" s="6" t="inlineStr">
        <is>
          <t>SCR</t>
        </is>
      </c>
      <c r="B135" t="inlineStr">
        <is>
          <t>690</t>
        </is>
      </c>
    </row>
    <row r="136">
      <c r="A136" s="6" t="inlineStr">
        <is>
          <t>SLL</t>
        </is>
      </c>
      <c r="B136" t="inlineStr">
        <is>
          <t>694</t>
        </is>
      </c>
    </row>
    <row r="137">
      <c r="A137" s="6" t="inlineStr">
        <is>
          <t>SGD</t>
        </is>
      </c>
      <c r="B137" t="inlineStr">
        <is>
          <t>702</t>
        </is>
      </c>
    </row>
    <row r="138">
      <c r="A138" s="6" t="inlineStr">
        <is>
          <t>XSU</t>
        </is>
      </c>
      <c r="B138" t="inlineStr">
        <is>
          <t>994</t>
        </is>
      </c>
    </row>
    <row r="139">
      <c r="A139" s="6" t="inlineStr">
        <is>
          <t>SBD</t>
        </is>
      </c>
      <c r="B139" t="inlineStr">
        <is>
          <t>90</t>
        </is>
      </c>
    </row>
    <row r="140">
      <c r="A140" s="6" t="inlineStr">
        <is>
          <t>SOS</t>
        </is>
      </c>
      <c r="B140" t="inlineStr">
        <is>
          <t>706</t>
        </is>
      </c>
    </row>
    <row r="141">
      <c r="A141" s="6" t="inlineStr">
        <is>
          <t>LKR</t>
        </is>
      </c>
      <c r="B141" t="inlineStr">
        <is>
          <t>144</t>
        </is>
      </c>
    </row>
    <row r="142">
      <c r="A142" s="6" t="inlineStr">
        <is>
          <t>SDG</t>
        </is>
      </c>
      <c r="B142" t="inlineStr">
        <is>
          <t>938</t>
        </is>
      </c>
    </row>
    <row r="143">
      <c r="A143" s="6" t="inlineStr">
        <is>
          <t>SRD</t>
        </is>
      </c>
      <c r="B143" t="inlineStr">
        <is>
          <t>968</t>
        </is>
      </c>
    </row>
    <row r="144">
      <c r="A144" s="6" t="inlineStr">
        <is>
          <t>SZL</t>
        </is>
      </c>
      <c r="B144" t="inlineStr">
        <is>
          <t>748</t>
        </is>
      </c>
    </row>
    <row r="145">
      <c r="A145" s="6" t="inlineStr">
        <is>
          <t>SEK</t>
        </is>
      </c>
      <c r="B145" t="inlineStr">
        <is>
          <t>752</t>
        </is>
      </c>
    </row>
    <row r="146">
      <c r="A146" s="6" t="inlineStr">
        <is>
          <t>CHE</t>
        </is>
      </c>
      <c r="B146" t="inlineStr">
        <is>
          <t>947</t>
        </is>
      </c>
    </row>
    <row r="147">
      <c r="A147" s="6" t="inlineStr">
        <is>
          <t>CHW</t>
        </is>
      </c>
      <c r="B147" t="inlineStr">
        <is>
          <t>948</t>
        </is>
      </c>
    </row>
    <row r="148">
      <c r="A148" s="6" t="inlineStr">
        <is>
          <t>SYP</t>
        </is>
      </c>
      <c r="B148" t="inlineStr">
        <is>
          <t>760</t>
        </is>
      </c>
    </row>
    <row r="149">
      <c r="A149" s="6" t="inlineStr">
        <is>
          <t>TWD</t>
        </is>
      </c>
      <c r="B149" t="inlineStr">
        <is>
          <t>901</t>
        </is>
      </c>
    </row>
    <row r="150">
      <c r="A150" s="6" t="inlineStr">
        <is>
          <t>TJS</t>
        </is>
      </c>
      <c r="B150" t="inlineStr">
        <is>
          <t>972</t>
        </is>
      </c>
    </row>
    <row r="151">
      <c r="A151" s="6" t="inlineStr">
        <is>
          <t>TZS</t>
        </is>
      </c>
      <c r="B151" t="inlineStr">
        <is>
          <t>834</t>
        </is>
      </c>
    </row>
    <row r="152">
      <c r="A152" s="6" t="inlineStr">
        <is>
          <t>THB</t>
        </is>
      </c>
      <c r="B152" t="inlineStr">
        <is>
          <t>764</t>
        </is>
      </c>
    </row>
    <row r="153">
      <c r="A153" s="6" t="inlineStr">
        <is>
          <t>TOP</t>
        </is>
      </c>
      <c r="B153" t="inlineStr">
        <is>
          <t>776</t>
        </is>
      </c>
    </row>
    <row r="154">
      <c r="A154" s="6" t="inlineStr">
        <is>
          <t>TTD</t>
        </is>
      </c>
      <c r="B154" t="inlineStr">
        <is>
          <t>780</t>
        </is>
      </c>
    </row>
    <row r="155">
      <c r="A155" s="6" t="inlineStr">
        <is>
          <t>TND</t>
        </is>
      </c>
      <c r="B155" t="inlineStr">
        <is>
          <t>788</t>
        </is>
      </c>
    </row>
    <row r="156">
      <c r="A156" s="6" t="inlineStr">
        <is>
          <t>TRY</t>
        </is>
      </c>
      <c r="B156" t="inlineStr">
        <is>
          <t>949</t>
        </is>
      </c>
    </row>
    <row r="157">
      <c r="A157" s="6" t="inlineStr">
        <is>
          <t>TMT</t>
        </is>
      </c>
      <c r="B157" t="inlineStr">
        <is>
          <t>934</t>
        </is>
      </c>
    </row>
    <row r="158">
      <c r="A158" s="6" t="inlineStr">
        <is>
          <t>UGX</t>
        </is>
      </c>
      <c r="B158" t="inlineStr">
        <is>
          <t>800</t>
        </is>
      </c>
    </row>
    <row r="159">
      <c r="A159" s="6" t="inlineStr">
        <is>
          <t>UAH</t>
        </is>
      </c>
      <c r="B159" t="inlineStr">
        <is>
          <t>980</t>
        </is>
      </c>
    </row>
    <row r="160">
      <c r="A160" s="6" t="inlineStr">
        <is>
          <t>AED</t>
        </is>
      </c>
      <c r="B160" t="inlineStr">
        <is>
          <t>784</t>
        </is>
      </c>
    </row>
    <row r="161">
      <c r="A161" s="6" t="inlineStr">
        <is>
          <t>USN</t>
        </is>
      </c>
      <c r="B161" t="inlineStr">
        <is>
          <t>997</t>
        </is>
      </c>
    </row>
    <row r="162">
      <c r="A162" s="6" t="inlineStr">
        <is>
          <t>USS</t>
        </is>
      </c>
      <c r="B162" t="inlineStr">
        <is>
          <t>998</t>
        </is>
      </c>
    </row>
    <row r="163">
      <c r="A163" s="6" t="inlineStr">
        <is>
          <t>UYU</t>
        </is>
      </c>
      <c r="B163" t="inlineStr">
        <is>
          <t>858</t>
        </is>
      </c>
    </row>
    <row r="164">
      <c r="A164" s="6" t="inlineStr">
        <is>
          <t>UYI</t>
        </is>
      </c>
      <c r="B164" t="inlineStr">
        <is>
          <t>940</t>
        </is>
      </c>
    </row>
    <row r="165">
      <c r="A165" s="6" t="inlineStr">
        <is>
          <t>UZS</t>
        </is>
      </c>
      <c r="B165" t="inlineStr">
        <is>
          <t>860</t>
        </is>
      </c>
    </row>
    <row r="166">
      <c r="A166" s="6" t="inlineStr">
        <is>
          <t>VUV</t>
        </is>
      </c>
      <c r="B166" t="inlineStr">
        <is>
          <t>548</t>
        </is>
      </c>
    </row>
    <row r="167">
      <c r="A167" s="6" t="inlineStr">
        <is>
          <t>VEF</t>
        </is>
      </c>
      <c r="B167" t="inlineStr">
        <is>
          <t>937</t>
        </is>
      </c>
    </row>
    <row r="168">
      <c r="A168" s="6" t="inlineStr">
        <is>
          <t>VND</t>
        </is>
      </c>
      <c r="B168" t="inlineStr">
        <is>
          <t>704</t>
        </is>
      </c>
    </row>
    <row r="169">
      <c r="A169" s="6" t="inlineStr">
        <is>
          <t>YER</t>
        </is>
      </c>
      <c r="B169" t="inlineStr">
        <is>
          <t>886</t>
        </is>
      </c>
    </row>
    <row r="170">
      <c r="A170" s="6" t="inlineStr">
        <is>
          <t>ZMK</t>
        </is>
      </c>
      <c r="B170" t="inlineStr">
        <is>
          <t>894</t>
        </is>
      </c>
    </row>
    <row r="171">
      <c r="A171" s="6" t="inlineStr">
        <is>
          <t>ZWL</t>
        </is>
      </c>
      <c r="B171" t="inlineStr">
        <is>
          <t>932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0</t>
        </is>
      </c>
      <c r="B2" t="inlineStr">
        <is>
          <t>Sin obligaciones de pago</t>
        </is>
      </c>
    </row>
    <row r="3">
      <c r="A3" s="6" t="inlineStr">
        <is>
          <t>1</t>
        </is>
      </c>
      <c r="B3" t="inlineStr">
        <is>
          <t>Con obligaciones de pago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0</t>
        </is>
      </c>
      <c r="B2" t="inlineStr">
        <is>
          <t>La obligación de pago no tiene un horario específico de liquidación</t>
        </is>
      </c>
    </row>
    <row r="3">
      <c r="A3" s="6" t="inlineStr">
        <is>
          <t>1</t>
        </is>
      </c>
      <c r="B3" t="inlineStr">
        <is>
          <t>La obligación de pago tiene un horario específico de liquidación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0</t>
        </is>
      </c>
      <c r="B2" t="inlineStr">
        <is>
          <t>No se llevó a cabo la liquidación de la obligación de pago</t>
        </is>
      </c>
    </row>
    <row r="3">
      <c r="A3" s="6" t="inlineStr">
        <is>
          <t>1</t>
        </is>
      </c>
      <c r="B3" t="inlineStr">
        <is>
          <t>Sí se llevó a cabo la liquidación de la obligación de pago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Falla del sistema propio</t>
        </is>
      </c>
    </row>
    <row r="3">
      <c r="A3" s="6" t="inlineStr">
        <is>
          <t>2</t>
        </is>
      </c>
      <c r="B3" t="inlineStr">
        <is>
          <t>Falla del sistema externo</t>
        </is>
      </c>
    </row>
    <row r="4">
      <c r="A4" s="6" t="inlineStr">
        <is>
          <t>3</t>
        </is>
      </c>
      <c r="B4" t="inlineStr">
        <is>
          <t>Falta de liquidez</t>
        </is>
      </c>
    </row>
    <row r="5">
      <c r="A5" s="6" t="inlineStr">
        <is>
          <t>4</t>
        </is>
      </c>
      <c r="B5" t="inlineStr">
        <is>
          <t>Fen?meno natural</t>
        </is>
      </c>
    </row>
    <row r="6">
      <c r="A6" s="6" t="inlineStr">
        <is>
          <t>5</t>
        </is>
      </c>
      <c r="B6" t="inlineStr">
        <is>
          <t>Error humano</t>
        </is>
      </c>
    </row>
    <row r="7">
      <c r="A7" s="6" t="inlineStr">
        <is>
          <t>6</t>
        </is>
      </c>
      <c r="B7" t="inlineStr">
        <is>
          <t>Horario del sistema de pago o liquidaci?n</t>
        </is>
      </c>
    </row>
    <row r="8">
      <c r="A8" s="6" t="inlineStr">
        <is>
          <t>7</t>
        </is>
      </c>
      <c r="B8" t="inlineStr">
        <is>
          <t>Otros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6" t="inlineStr">
        <is>
          <t>1</t>
        </is>
      </c>
      <c r="B2" t="inlineStr">
        <is>
          <t>Liquidaciones en tiempo y forma</t>
        </is>
      </c>
    </row>
    <row r="3">
      <c r="A3" s="6" t="inlineStr">
        <is>
          <t>2</t>
        </is>
      </c>
      <c r="B3" t="inlineStr">
        <is>
          <t>Liquidaciones retrasadas o no aplicadas</t>
        </is>
      </c>
    </row>
    <row r="4">
      <c r="A4" s="6" t="inlineStr">
        <is>
          <t>3</t>
        </is>
      </c>
      <c r="B4" t="inlineStr">
        <is>
          <t>Liquidaciones a través de corresponsales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201"/>
  <sheetViews>
    <sheetView workbookViewId="0">
      <selection activeCell="A1" sqref="A1"/>
    </sheetView>
  </sheetViews>
  <sheetFormatPr baseColWidth="8" defaultRowHeight="15"/>
  <sheetData>
    <row r="2">
      <c r="A2">
        <f>IF(AND('LID_LIQUIDACIONES'!A2&lt;&gt;"",NOT(ISNUMBER('LID_LIQUIDACIONES'!A2))),1,0)</f>
        <v/>
      </c>
      <c r="B2">
        <f>IF(AND('LID_LIQUIDACIONES'!B2&lt;&gt;"",LEN('LID_LIQUIDACIONES'!B2)&gt;5),1,0)</f>
        <v/>
      </c>
      <c r="C2">
        <f>IF(AND('LID_LIQUIDACIONES'!C2&lt;&gt;"",COUNTIF(CL_TIPO_VALOR,'LID_LIQUIDACIONES'!C2)=0),1,0)</f>
        <v/>
      </c>
      <c r="D2">
        <f>IF(AND('LID_LIQUIDACIONES'!D2&lt;&gt;"",COUNTIF(CL_TIPO_OBLIGACI_N,'LID_LIQUIDACIONES'!D2)=0),1,0)</f>
        <v/>
      </c>
      <c r="E2">
        <f>IF(AND('LID_LIQUIDACIONES'!E2&lt;&gt;"",IF(ISNUMBER('LID_LIQUIDACIONES'!E2),OR('LID_LIQUIDACIONES'!E2&lt;&gt;ROUND('LID_LIQUIDACIONES'!E2,0),LEN(TEXT(INT(ABS('LID_LIQUIDACIONES'!E2)),"0"))&gt;12),TRUE)),1,0)</f>
        <v/>
      </c>
      <c r="F2">
        <f>IF(AND('LID_LIQUIDACIONES'!F2&lt;&gt;"",OR(LEN('LID_LIQUIDACIONES'!F2)&gt;3,COUNTIF(CL_MONEDA,'LID_LIQUIDACIONES'!F2)=0)),1,0)</f>
        <v/>
      </c>
      <c r="G2">
        <f>IF(AND('LID_LIQUIDACIONES'!G2&lt;&gt;"",COUNTIF(CL_ID_PAGOS,'LID_LIQUIDACIONES'!G2)=0),1,0)</f>
        <v/>
      </c>
      <c r="H2">
        <f>IF(AND('LID_LIQUIDACIONES'!H2&lt;&gt;"",COUNTIF(CL_FLAG_HORARIO,'LID_LIQUIDACIONES'!H2)=0),1,0)</f>
        <v/>
      </c>
      <c r="I2">
        <f>IF(AND('LID_LIQUIDACIONES'!I2&lt;&gt;"",COUNTIF(CL_CAT_ID_PAGOS_RET,'LID_LIQUIDACIONES'!I2)=0),1,0)</f>
        <v/>
      </c>
      <c r="J2">
        <f>IF(AND('LID_LIQUIDACIONES'!J2&lt;&gt;"",NOT(ISNUMBER('LID_LIQUIDACIONES'!J2))),1,0)</f>
        <v/>
      </c>
      <c r="K2">
        <f>IF(AND('LID_LIQUIDACIONES'!K2&lt;&gt;"",LEN('LID_LIQUIDACIONES'!K2)&gt;5),1,0)</f>
        <v/>
      </c>
      <c r="L2">
        <f>IF(AND('LID_LIQUIDACIONES'!L2&lt;&gt;"",IF(ISNUMBER('LID_LIQUIDACIONES'!L2),OR('LID_LIQUIDACIONES'!L2&lt;&gt;ROUND('LID_LIQUIDACIONES'!L2,0),LEN(TEXT(INT(ABS('LID_LIQUIDACIONES'!L2)),"0"))&gt;12),TRUE)),1,0)</f>
        <v/>
      </c>
      <c r="M2">
        <f>IF(AND('LID_LIQUIDACIONES'!M2&lt;&gt;"",COUNTIF(CL_CAT_MOTIVO_RET,'LID_LIQUIDACIONES'!M2)=0),1,0)</f>
        <v/>
      </c>
      <c r="N2">
        <f>IF(AND('LID_LIQUIDACIONES'!N2&lt;&gt;"",LEN('LID_LIQUIDACIONES'!N2)&gt;50),1,0)</f>
        <v/>
      </c>
      <c r="O2">
        <f>IF(AND('LID_LIQUIDACIONES'!O2&lt;&gt;"",COUNTIF(CL_CARACT_LIQ,'LID_LIQUIDACIONES'!O2)=0),1,0)</f>
        <v/>
      </c>
      <c r="P2">
        <f>IF(AND('LID_LIQUIDACIONES'!P2&lt;&gt;"",NOT(ISNUMBER('LID_LIQUIDACIONES'!P2))),1,0)</f>
        <v/>
      </c>
    </row>
    <row r="3">
      <c r="A3">
        <f>IF(AND('LID_LIQUIDACIONES'!A3&lt;&gt;"",NOT(ISNUMBER('LID_LIQUIDACIONES'!A3))),1,0)</f>
        <v/>
      </c>
      <c r="B3">
        <f>IF(AND('LID_LIQUIDACIONES'!B3&lt;&gt;"",LEN('LID_LIQUIDACIONES'!B3)&gt;5),1,0)</f>
        <v/>
      </c>
      <c r="C3">
        <f>IF(AND('LID_LIQUIDACIONES'!C3&lt;&gt;"",COUNTIF(CL_TIPO_VALOR,'LID_LIQUIDACIONES'!C3)=0),1,0)</f>
        <v/>
      </c>
      <c r="D3">
        <f>IF(AND('LID_LIQUIDACIONES'!D3&lt;&gt;"",COUNTIF(CL_TIPO_OBLIGACI_N,'LID_LIQUIDACIONES'!D3)=0),1,0)</f>
        <v/>
      </c>
      <c r="E3">
        <f>IF(AND('LID_LIQUIDACIONES'!E3&lt;&gt;"",IF(ISNUMBER('LID_LIQUIDACIONES'!E3),OR('LID_LIQUIDACIONES'!E3&lt;&gt;ROUND('LID_LIQUIDACIONES'!E3,0),LEN(TEXT(INT(ABS('LID_LIQUIDACIONES'!E3)),"0"))&gt;12),TRUE)),1,0)</f>
        <v/>
      </c>
      <c r="F3">
        <f>IF(AND('LID_LIQUIDACIONES'!F3&lt;&gt;"",OR(LEN('LID_LIQUIDACIONES'!F3)&gt;3,COUNTIF(CL_MONEDA,'LID_LIQUIDACIONES'!F3)=0)),1,0)</f>
        <v/>
      </c>
      <c r="G3">
        <f>IF(AND('LID_LIQUIDACIONES'!G3&lt;&gt;"",COUNTIF(CL_ID_PAGOS,'LID_LIQUIDACIONES'!G3)=0),1,0)</f>
        <v/>
      </c>
      <c r="H3">
        <f>IF(AND('LID_LIQUIDACIONES'!H3&lt;&gt;"",COUNTIF(CL_FLAG_HORARIO,'LID_LIQUIDACIONES'!H3)=0),1,0)</f>
        <v/>
      </c>
      <c r="I3">
        <f>IF(AND('LID_LIQUIDACIONES'!I3&lt;&gt;"",COUNTIF(CL_CAT_ID_PAGOS_RET,'LID_LIQUIDACIONES'!I3)=0),1,0)</f>
        <v/>
      </c>
      <c r="J3">
        <f>IF(AND('LID_LIQUIDACIONES'!J3&lt;&gt;"",NOT(ISNUMBER('LID_LIQUIDACIONES'!J3))),1,0)</f>
        <v/>
      </c>
      <c r="K3">
        <f>IF(AND('LID_LIQUIDACIONES'!K3&lt;&gt;"",LEN('LID_LIQUIDACIONES'!K3)&gt;5),1,0)</f>
        <v/>
      </c>
      <c r="L3">
        <f>IF(AND('LID_LIQUIDACIONES'!L3&lt;&gt;"",IF(ISNUMBER('LID_LIQUIDACIONES'!L3),OR('LID_LIQUIDACIONES'!L3&lt;&gt;ROUND('LID_LIQUIDACIONES'!L3,0),LEN(TEXT(INT(ABS('LID_LIQUIDACIONES'!L3)),"0"))&gt;12),TRUE)),1,0)</f>
        <v/>
      </c>
      <c r="M3">
        <f>IF(AND('LID_LIQUIDACIONES'!M3&lt;&gt;"",COUNTIF(CL_CAT_MOTIVO_RET,'LID_LIQUIDACIONES'!M3)=0),1,0)</f>
        <v/>
      </c>
      <c r="N3">
        <f>IF(AND('LID_LIQUIDACIONES'!N3&lt;&gt;"",LEN('LID_LIQUIDACIONES'!N3)&gt;50),1,0)</f>
        <v/>
      </c>
      <c r="O3">
        <f>IF(AND('LID_LIQUIDACIONES'!O3&lt;&gt;"",COUNTIF(CL_CARACT_LIQ,'LID_LIQUIDACIONES'!O3)=0),1,0)</f>
        <v/>
      </c>
      <c r="P3">
        <f>IF(AND('LID_LIQUIDACIONES'!P3&lt;&gt;"",NOT(ISNUMBER('LID_LIQUIDACIONES'!P3))),1,0)</f>
        <v/>
      </c>
    </row>
    <row r="4">
      <c r="A4">
        <f>IF(AND('LID_LIQUIDACIONES'!A4&lt;&gt;"",NOT(ISNUMBER('LID_LIQUIDACIONES'!A4))),1,0)</f>
        <v/>
      </c>
      <c r="B4">
        <f>IF(AND('LID_LIQUIDACIONES'!B4&lt;&gt;"",LEN('LID_LIQUIDACIONES'!B4)&gt;5),1,0)</f>
        <v/>
      </c>
      <c r="C4">
        <f>IF(AND('LID_LIQUIDACIONES'!C4&lt;&gt;"",COUNTIF(CL_TIPO_VALOR,'LID_LIQUIDACIONES'!C4)=0),1,0)</f>
        <v/>
      </c>
      <c r="D4">
        <f>IF(AND('LID_LIQUIDACIONES'!D4&lt;&gt;"",COUNTIF(CL_TIPO_OBLIGACI_N,'LID_LIQUIDACIONES'!D4)=0),1,0)</f>
        <v/>
      </c>
      <c r="E4">
        <f>IF(AND('LID_LIQUIDACIONES'!E4&lt;&gt;"",IF(ISNUMBER('LID_LIQUIDACIONES'!E4),OR('LID_LIQUIDACIONES'!E4&lt;&gt;ROUND('LID_LIQUIDACIONES'!E4,0),LEN(TEXT(INT(ABS('LID_LIQUIDACIONES'!E4)),"0"))&gt;12),TRUE)),1,0)</f>
        <v/>
      </c>
      <c r="F4">
        <f>IF(AND('LID_LIQUIDACIONES'!F4&lt;&gt;"",OR(LEN('LID_LIQUIDACIONES'!F4)&gt;3,COUNTIF(CL_MONEDA,'LID_LIQUIDACIONES'!F4)=0)),1,0)</f>
        <v/>
      </c>
      <c r="G4">
        <f>IF(AND('LID_LIQUIDACIONES'!G4&lt;&gt;"",COUNTIF(CL_ID_PAGOS,'LID_LIQUIDACIONES'!G4)=0),1,0)</f>
        <v/>
      </c>
      <c r="H4">
        <f>IF(AND('LID_LIQUIDACIONES'!H4&lt;&gt;"",COUNTIF(CL_FLAG_HORARIO,'LID_LIQUIDACIONES'!H4)=0),1,0)</f>
        <v/>
      </c>
      <c r="I4">
        <f>IF(AND('LID_LIQUIDACIONES'!I4&lt;&gt;"",COUNTIF(CL_CAT_ID_PAGOS_RET,'LID_LIQUIDACIONES'!I4)=0),1,0)</f>
        <v/>
      </c>
      <c r="J4">
        <f>IF(AND('LID_LIQUIDACIONES'!J4&lt;&gt;"",NOT(ISNUMBER('LID_LIQUIDACIONES'!J4))),1,0)</f>
        <v/>
      </c>
      <c r="K4">
        <f>IF(AND('LID_LIQUIDACIONES'!K4&lt;&gt;"",LEN('LID_LIQUIDACIONES'!K4)&gt;5),1,0)</f>
        <v/>
      </c>
      <c r="L4">
        <f>IF(AND('LID_LIQUIDACIONES'!L4&lt;&gt;"",IF(ISNUMBER('LID_LIQUIDACIONES'!L4),OR('LID_LIQUIDACIONES'!L4&lt;&gt;ROUND('LID_LIQUIDACIONES'!L4,0),LEN(TEXT(INT(ABS('LID_LIQUIDACIONES'!L4)),"0"))&gt;12),TRUE)),1,0)</f>
        <v/>
      </c>
      <c r="M4">
        <f>IF(AND('LID_LIQUIDACIONES'!M4&lt;&gt;"",COUNTIF(CL_CAT_MOTIVO_RET,'LID_LIQUIDACIONES'!M4)=0),1,0)</f>
        <v/>
      </c>
      <c r="N4">
        <f>IF(AND('LID_LIQUIDACIONES'!N4&lt;&gt;"",LEN('LID_LIQUIDACIONES'!N4)&gt;50),1,0)</f>
        <v/>
      </c>
      <c r="O4">
        <f>IF(AND('LID_LIQUIDACIONES'!O4&lt;&gt;"",COUNTIF(CL_CARACT_LIQ,'LID_LIQUIDACIONES'!O4)=0),1,0)</f>
        <v/>
      </c>
      <c r="P4">
        <f>IF(AND('LID_LIQUIDACIONES'!P4&lt;&gt;"",NOT(ISNUMBER('LID_LIQUIDACIONES'!P4))),1,0)</f>
        <v/>
      </c>
    </row>
    <row r="5">
      <c r="A5">
        <f>IF(AND('LID_LIQUIDACIONES'!A5&lt;&gt;"",NOT(ISNUMBER('LID_LIQUIDACIONES'!A5))),1,0)</f>
        <v/>
      </c>
      <c r="B5">
        <f>IF(AND('LID_LIQUIDACIONES'!B5&lt;&gt;"",LEN('LID_LIQUIDACIONES'!B5)&gt;5),1,0)</f>
        <v/>
      </c>
      <c r="C5">
        <f>IF(AND('LID_LIQUIDACIONES'!C5&lt;&gt;"",COUNTIF(CL_TIPO_VALOR,'LID_LIQUIDACIONES'!C5)=0),1,0)</f>
        <v/>
      </c>
      <c r="D5">
        <f>IF(AND('LID_LIQUIDACIONES'!D5&lt;&gt;"",COUNTIF(CL_TIPO_OBLIGACI_N,'LID_LIQUIDACIONES'!D5)=0),1,0)</f>
        <v/>
      </c>
      <c r="E5">
        <f>IF(AND('LID_LIQUIDACIONES'!E5&lt;&gt;"",IF(ISNUMBER('LID_LIQUIDACIONES'!E5),OR('LID_LIQUIDACIONES'!E5&lt;&gt;ROUND('LID_LIQUIDACIONES'!E5,0),LEN(TEXT(INT(ABS('LID_LIQUIDACIONES'!E5)),"0"))&gt;12),TRUE)),1,0)</f>
        <v/>
      </c>
      <c r="F5">
        <f>IF(AND('LID_LIQUIDACIONES'!F5&lt;&gt;"",OR(LEN('LID_LIQUIDACIONES'!F5)&gt;3,COUNTIF(CL_MONEDA,'LID_LIQUIDACIONES'!F5)=0)),1,0)</f>
        <v/>
      </c>
      <c r="G5">
        <f>IF(AND('LID_LIQUIDACIONES'!G5&lt;&gt;"",COUNTIF(CL_ID_PAGOS,'LID_LIQUIDACIONES'!G5)=0),1,0)</f>
        <v/>
      </c>
      <c r="H5">
        <f>IF(AND('LID_LIQUIDACIONES'!H5&lt;&gt;"",COUNTIF(CL_FLAG_HORARIO,'LID_LIQUIDACIONES'!H5)=0),1,0)</f>
        <v/>
      </c>
      <c r="I5">
        <f>IF(AND('LID_LIQUIDACIONES'!I5&lt;&gt;"",COUNTIF(CL_CAT_ID_PAGOS_RET,'LID_LIQUIDACIONES'!I5)=0),1,0)</f>
        <v/>
      </c>
      <c r="J5">
        <f>IF(AND('LID_LIQUIDACIONES'!J5&lt;&gt;"",NOT(ISNUMBER('LID_LIQUIDACIONES'!J5))),1,0)</f>
        <v/>
      </c>
      <c r="K5">
        <f>IF(AND('LID_LIQUIDACIONES'!K5&lt;&gt;"",LEN('LID_LIQUIDACIONES'!K5)&gt;5),1,0)</f>
        <v/>
      </c>
      <c r="L5">
        <f>IF(AND('LID_LIQUIDACIONES'!L5&lt;&gt;"",IF(ISNUMBER('LID_LIQUIDACIONES'!L5),OR('LID_LIQUIDACIONES'!L5&lt;&gt;ROUND('LID_LIQUIDACIONES'!L5,0),LEN(TEXT(INT(ABS('LID_LIQUIDACIONES'!L5)),"0"))&gt;12),TRUE)),1,0)</f>
        <v/>
      </c>
      <c r="M5">
        <f>IF(AND('LID_LIQUIDACIONES'!M5&lt;&gt;"",COUNTIF(CL_CAT_MOTIVO_RET,'LID_LIQUIDACIONES'!M5)=0),1,0)</f>
        <v/>
      </c>
      <c r="N5">
        <f>IF(AND('LID_LIQUIDACIONES'!N5&lt;&gt;"",LEN('LID_LIQUIDACIONES'!N5)&gt;50),1,0)</f>
        <v/>
      </c>
      <c r="O5">
        <f>IF(AND('LID_LIQUIDACIONES'!O5&lt;&gt;"",COUNTIF(CL_CARACT_LIQ,'LID_LIQUIDACIONES'!O5)=0),1,0)</f>
        <v/>
      </c>
      <c r="P5">
        <f>IF(AND('LID_LIQUIDACIONES'!P5&lt;&gt;"",NOT(ISNUMBER('LID_LIQUIDACIONES'!P5))),1,0)</f>
        <v/>
      </c>
    </row>
    <row r="6">
      <c r="A6">
        <f>IF(AND('LID_LIQUIDACIONES'!A6&lt;&gt;"",NOT(ISNUMBER('LID_LIQUIDACIONES'!A6))),1,0)</f>
        <v/>
      </c>
      <c r="B6">
        <f>IF(AND('LID_LIQUIDACIONES'!B6&lt;&gt;"",LEN('LID_LIQUIDACIONES'!B6)&gt;5),1,0)</f>
        <v/>
      </c>
      <c r="C6">
        <f>IF(AND('LID_LIQUIDACIONES'!C6&lt;&gt;"",COUNTIF(CL_TIPO_VALOR,'LID_LIQUIDACIONES'!C6)=0),1,0)</f>
        <v/>
      </c>
      <c r="D6">
        <f>IF(AND('LID_LIQUIDACIONES'!D6&lt;&gt;"",COUNTIF(CL_TIPO_OBLIGACI_N,'LID_LIQUIDACIONES'!D6)=0),1,0)</f>
        <v/>
      </c>
      <c r="E6">
        <f>IF(AND('LID_LIQUIDACIONES'!E6&lt;&gt;"",IF(ISNUMBER('LID_LIQUIDACIONES'!E6),OR('LID_LIQUIDACIONES'!E6&lt;&gt;ROUND('LID_LIQUIDACIONES'!E6,0),LEN(TEXT(INT(ABS('LID_LIQUIDACIONES'!E6)),"0"))&gt;12),TRUE)),1,0)</f>
        <v/>
      </c>
      <c r="F6">
        <f>IF(AND('LID_LIQUIDACIONES'!F6&lt;&gt;"",OR(LEN('LID_LIQUIDACIONES'!F6)&gt;3,COUNTIF(CL_MONEDA,'LID_LIQUIDACIONES'!F6)=0)),1,0)</f>
        <v/>
      </c>
      <c r="G6">
        <f>IF(AND('LID_LIQUIDACIONES'!G6&lt;&gt;"",COUNTIF(CL_ID_PAGOS,'LID_LIQUIDACIONES'!G6)=0),1,0)</f>
        <v/>
      </c>
      <c r="H6">
        <f>IF(AND('LID_LIQUIDACIONES'!H6&lt;&gt;"",COUNTIF(CL_FLAG_HORARIO,'LID_LIQUIDACIONES'!H6)=0),1,0)</f>
        <v/>
      </c>
      <c r="I6">
        <f>IF(AND('LID_LIQUIDACIONES'!I6&lt;&gt;"",COUNTIF(CL_CAT_ID_PAGOS_RET,'LID_LIQUIDACIONES'!I6)=0),1,0)</f>
        <v/>
      </c>
      <c r="J6">
        <f>IF(AND('LID_LIQUIDACIONES'!J6&lt;&gt;"",NOT(ISNUMBER('LID_LIQUIDACIONES'!J6))),1,0)</f>
        <v/>
      </c>
      <c r="K6">
        <f>IF(AND('LID_LIQUIDACIONES'!K6&lt;&gt;"",LEN('LID_LIQUIDACIONES'!K6)&gt;5),1,0)</f>
        <v/>
      </c>
      <c r="L6">
        <f>IF(AND('LID_LIQUIDACIONES'!L6&lt;&gt;"",IF(ISNUMBER('LID_LIQUIDACIONES'!L6),OR('LID_LIQUIDACIONES'!L6&lt;&gt;ROUND('LID_LIQUIDACIONES'!L6,0),LEN(TEXT(INT(ABS('LID_LIQUIDACIONES'!L6)),"0"))&gt;12),TRUE)),1,0)</f>
        <v/>
      </c>
      <c r="M6">
        <f>IF(AND('LID_LIQUIDACIONES'!M6&lt;&gt;"",COUNTIF(CL_CAT_MOTIVO_RET,'LID_LIQUIDACIONES'!M6)=0),1,0)</f>
        <v/>
      </c>
      <c r="N6">
        <f>IF(AND('LID_LIQUIDACIONES'!N6&lt;&gt;"",LEN('LID_LIQUIDACIONES'!N6)&gt;50),1,0)</f>
        <v/>
      </c>
      <c r="O6">
        <f>IF(AND('LID_LIQUIDACIONES'!O6&lt;&gt;"",COUNTIF(CL_CARACT_LIQ,'LID_LIQUIDACIONES'!O6)=0),1,0)</f>
        <v/>
      </c>
      <c r="P6">
        <f>IF(AND('LID_LIQUIDACIONES'!P6&lt;&gt;"",NOT(ISNUMBER('LID_LIQUIDACIONES'!P6))),1,0)</f>
        <v/>
      </c>
    </row>
    <row r="7">
      <c r="A7">
        <f>IF(AND('LID_LIQUIDACIONES'!A7&lt;&gt;"",NOT(ISNUMBER('LID_LIQUIDACIONES'!A7))),1,0)</f>
        <v/>
      </c>
      <c r="B7">
        <f>IF(AND('LID_LIQUIDACIONES'!B7&lt;&gt;"",LEN('LID_LIQUIDACIONES'!B7)&gt;5),1,0)</f>
        <v/>
      </c>
      <c r="C7">
        <f>IF(AND('LID_LIQUIDACIONES'!C7&lt;&gt;"",COUNTIF(CL_TIPO_VALOR,'LID_LIQUIDACIONES'!C7)=0),1,0)</f>
        <v/>
      </c>
      <c r="D7">
        <f>IF(AND('LID_LIQUIDACIONES'!D7&lt;&gt;"",COUNTIF(CL_TIPO_OBLIGACI_N,'LID_LIQUIDACIONES'!D7)=0),1,0)</f>
        <v/>
      </c>
      <c r="E7">
        <f>IF(AND('LID_LIQUIDACIONES'!E7&lt;&gt;"",IF(ISNUMBER('LID_LIQUIDACIONES'!E7),OR('LID_LIQUIDACIONES'!E7&lt;&gt;ROUND('LID_LIQUIDACIONES'!E7,0),LEN(TEXT(INT(ABS('LID_LIQUIDACIONES'!E7)),"0"))&gt;12),TRUE)),1,0)</f>
        <v/>
      </c>
      <c r="F7">
        <f>IF(AND('LID_LIQUIDACIONES'!F7&lt;&gt;"",OR(LEN('LID_LIQUIDACIONES'!F7)&gt;3,COUNTIF(CL_MONEDA,'LID_LIQUIDACIONES'!F7)=0)),1,0)</f>
        <v/>
      </c>
      <c r="G7">
        <f>IF(AND('LID_LIQUIDACIONES'!G7&lt;&gt;"",COUNTIF(CL_ID_PAGOS,'LID_LIQUIDACIONES'!G7)=0),1,0)</f>
        <v/>
      </c>
      <c r="H7">
        <f>IF(AND('LID_LIQUIDACIONES'!H7&lt;&gt;"",COUNTIF(CL_FLAG_HORARIO,'LID_LIQUIDACIONES'!H7)=0),1,0)</f>
        <v/>
      </c>
      <c r="I7">
        <f>IF(AND('LID_LIQUIDACIONES'!I7&lt;&gt;"",COUNTIF(CL_CAT_ID_PAGOS_RET,'LID_LIQUIDACIONES'!I7)=0),1,0)</f>
        <v/>
      </c>
      <c r="J7">
        <f>IF(AND('LID_LIQUIDACIONES'!J7&lt;&gt;"",NOT(ISNUMBER('LID_LIQUIDACIONES'!J7))),1,0)</f>
        <v/>
      </c>
      <c r="K7">
        <f>IF(AND('LID_LIQUIDACIONES'!K7&lt;&gt;"",LEN('LID_LIQUIDACIONES'!K7)&gt;5),1,0)</f>
        <v/>
      </c>
      <c r="L7">
        <f>IF(AND('LID_LIQUIDACIONES'!L7&lt;&gt;"",IF(ISNUMBER('LID_LIQUIDACIONES'!L7),OR('LID_LIQUIDACIONES'!L7&lt;&gt;ROUND('LID_LIQUIDACIONES'!L7,0),LEN(TEXT(INT(ABS('LID_LIQUIDACIONES'!L7)),"0"))&gt;12),TRUE)),1,0)</f>
        <v/>
      </c>
      <c r="M7">
        <f>IF(AND('LID_LIQUIDACIONES'!M7&lt;&gt;"",COUNTIF(CL_CAT_MOTIVO_RET,'LID_LIQUIDACIONES'!M7)=0),1,0)</f>
        <v/>
      </c>
      <c r="N7">
        <f>IF(AND('LID_LIQUIDACIONES'!N7&lt;&gt;"",LEN('LID_LIQUIDACIONES'!N7)&gt;50),1,0)</f>
        <v/>
      </c>
      <c r="O7">
        <f>IF(AND('LID_LIQUIDACIONES'!O7&lt;&gt;"",COUNTIF(CL_CARACT_LIQ,'LID_LIQUIDACIONES'!O7)=0),1,0)</f>
        <v/>
      </c>
      <c r="P7">
        <f>IF(AND('LID_LIQUIDACIONES'!P7&lt;&gt;"",NOT(ISNUMBER('LID_LIQUIDACIONES'!P7))),1,0)</f>
        <v/>
      </c>
    </row>
    <row r="8">
      <c r="A8">
        <f>IF(AND('LID_LIQUIDACIONES'!A8&lt;&gt;"",NOT(ISNUMBER('LID_LIQUIDACIONES'!A8))),1,0)</f>
        <v/>
      </c>
      <c r="B8">
        <f>IF(AND('LID_LIQUIDACIONES'!B8&lt;&gt;"",LEN('LID_LIQUIDACIONES'!B8)&gt;5),1,0)</f>
        <v/>
      </c>
      <c r="C8">
        <f>IF(AND('LID_LIQUIDACIONES'!C8&lt;&gt;"",COUNTIF(CL_TIPO_VALOR,'LID_LIQUIDACIONES'!C8)=0),1,0)</f>
        <v/>
      </c>
      <c r="D8">
        <f>IF(AND('LID_LIQUIDACIONES'!D8&lt;&gt;"",COUNTIF(CL_TIPO_OBLIGACI_N,'LID_LIQUIDACIONES'!D8)=0),1,0)</f>
        <v/>
      </c>
      <c r="E8">
        <f>IF(AND('LID_LIQUIDACIONES'!E8&lt;&gt;"",IF(ISNUMBER('LID_LIQUIDACIONES'!E8),OR('LID_LIQUIDACIONES'!E8&lt;&gt;ROUND('LID_LIQUIDACIONES'!E8,0),LEN(TEXT(INT(ABS('LID_LIQUIDACIONES'!E8)),"0"))&gt;12),TRUE)),1,0)</f>
        <v/>
      </c>
      <c r="F8">
        <f>IF(AND('LID_LIQUIDACIONES'!F8&lt;&gt;"",OR(LEN('LID_LIQUIDACIONES'!F8)&gt;3,COUNTIF(CL_MONEDA,'LID_LIQUIDACIONES'!F8)=0)),1,0)</f>
        <v/>
      </c>
      <c r="G8">
        <f>IF(AND('LID_LIQUIDACIONES'!G8&lt;&gt;"",COUNTIF(CL_ID_PAGOS,'LID_LIQUIDACIONES'!G8)=0),1,0)</f>
        <v/>
      </c>
      <c r="H8">
        <f>IF(AND('LID_LIQUIDACIONES'!H8&lt;&gt;"",COUNTIF(CL_FLAG_HORARIO,'LID_LIQUIDACIONES'!H8)=0),1,0)</f>
        <v/>
      </c>
      <c r="I8">
        <f>IF(AND('LID_LIQUIDACIONES'!I8&lt;&gt;"",COUNTIF(CL_CAT_ID_PAGOS_RET,'LID_LIQUIDACIONES'!I8)=0),1,0)</f>
        <v/>
      </c>
      <c r="J8">
        <f>IF(AND('LID_LIQUIDACIONES'!J8&lt;&gt;"",NOT(ISNUMBER('LID_LIQUIDACIONES'!J8))),1,0)</f>
        <v/>
      </c>
      <c r="K8">
        <f>IF(AND('LID_LIQUIDACIONES'!K8&lt;&gt;"",LEN('LID_LIQUIDACIONES'!K8)&gt;5),1,0)</f>
        <v/>
      </c>
      <c r="L8">
        <f>IF(AND('LID_LIQUIDACIONES'!L8&lt;&gt;"",IF(ISNUMBER('LID_LIQUIDACIONES'!L8),OR('LID_LIQUIDACIONES'!L8&lt;&gt;ROUND('LID_LIQUIDACIONES'!L8,0),LEN(TEXT(INT(ABS('LID_LIQUIDACIONES'!L8)),"0"))&gt;12),TRUE)),1,0)</f>
        <v/>
      </c>
      <c r="M8">
        <f>IF(AND('LID_LIQUIDACIONES'!M8&lt;&gt;"",COUNTIF(CL_CAT_MOTIVO_RET,'LID_LIQUIDACIONES'!M8)=0),1,0)</f>
        <v/>
      </c>
      <c r="N8">
        <f>IF(AND('LID_LIQUIDACIONES'!N8&lt;&gt;"",LEN('LID_LIQUIDACIONES'!N8)&gt;50),1,0)</f>
        <v/>
      </c>
      <c r="O8">
        <f>IF(AND('LID_LIQUIDACIONES'!O8&lt;&gt;"",COUNTIF(CL_CARACT_LIQ,'LID_LIQUIDACIONES'!O8)=0),1,0)</f>
        <v/>
      </c>
      <c r="P8">
        <f>IF(AND('LID_LIQUIDACIONES'!P8&lt;&gt;"",NOT(ISNUMBER('LID_LIQUIDACIONES'!P8))),1,0)</f>
        <v/>
      </c>
    </row>
    <row r="9">
      <c r="A9">
        <f>IF(AND('LID_LIQUIDACIONES'!A9&lt;&gt;"",NOT(ISNUMBER('LID_LIQUIDACIONES'!A9))),1,0)</f>
        <v/>
      </c>
      <c r="B9">
        <f>IF(AND('LID_LIQUIDACIONES'!B9&lt;&gt;"",LEN('LID_LIQUIDACIONES'!B9)&gt;5),1,0)</f>
        <v/>
      </c>
      <c r="C9">
        <f>IF(AND('LID_LIQUIDACIONES'!C9&lt;&gt;"",COUNTIF(CL_TIPO_VALOR,'LID_LIQUIDACIONES'!C9)=0),1,0)</f>
        <v/>
      </c>
      <c r="D9">
        <f>IF(AND('LID_LIQUIDACIONES'!D9&lt;&gt;"",COUNTIF(CL_TIPO_OBLIGACI_N,'LID_LIQUIDACIONES'!D9)=0),1,0)</f>
        <v/>
      </c>
      <c r="E9">
        <f>IF(AND('LID_LIQUIDACIONES'!E9&lt;&gt;"",IF(ISNUMBER('LID_LIQUIDACIONES'!E9),OR('LID_LIQUIDACIONES'!E9&lt;&gt;ROUND('LID_LIQUIDACIONES'!E9,0),LEN(TEXT(INT(ABS('LID_LIQUIDACIONES'!E9)),"0"))&gt;12),TRUE)),1,0)</f>
        <v/>
      </c>
      <c r="F9">
        <f>IF(AND('LID_LIQUIDACIONES'!F9&lt;&gt;"",OR(LEN('LID_LIQUIDACIONES'!F9)&gt;3,COUNTIF(CL_MONEDA,'LID_LIQUIDACIONES'!F9)=0)),1,0)</f>
        <v/>
      </c>
      <c r="G9">
        <f>IF(AND('LID_LIQUIDACIONES'!G9&lt;&gt;"",COUNTIF(CL_ID_PAGOS,'LID_LIQUIDACIONES'!G9)=0),1,0)</f>
        <v/>
      </c>
      <c r="H9">
        <f>IF(AND('LID_LIQUIDACIONES'!H9&lt;&gt;"",COUNTIF(CL_FLAG_HORARIO,'LID_LIQUIDACIONES'!H9)=0),1,0)</f>
        <v/>
      </c>
      <c r="I9">
        <f>IF(AND('LID_LIQUIDACIONES'!I9&lt;&gt;"",COUNTIF(CL_CAT_ID_PAGOS_RET,'LID_LIQUIDACIONES'!I9)=0),1,0)</f>
        <v/>
      </c>
      <c r="J9">
        <f>IF(AND('LID_LIQUIDACIONES'!J9&lt;&gt;"",NOT(ISNUMBER('LID_LIQUIDACIONES'!J9))),1,0)</f>
        <v/>
      </c>
      <c r="K9">
        <f>IF(AND('LID_LIQUIDACIONES'!K9&lt;&gt;"",LEN('LID_LIQUIDACIONES'!K9)&gt;5),1,0)</f>
        <v/>
      </c>
      <c r="L9">
        <f>IF(AND('LID_LIQUIDACIONES'!L9&lt;&gt;"",IF(ISNUMBER('LID_LIQUIDACIONES'!L9),OR('LID_LIQUIDACIONES'!L9&lt;&gt;ROUND('LID_LIQUIDACIONES'!L9,0),LEN(TEXT(INT(ABS('LID_LIQUIDACIONES'!L9)),"0"))&gt;12),TRUE)),1,0)</f>
        <v/>
      </c>
      <c r="M9">
        <f>IF(AND('LID_LIQUIDACIONES'!M9&lt;&gt;"",COUNTIF(CL_CAT_MOTIVO_RET,'LID_LIQUIDACIONES'!M9)=0),1,0)</f>
        <v/>
      </c>
      <c r="N9">
        <f>IF(AND('LID_LIQUIDACIONES'!N9&lt;&gt;"",LEN('LID_LIQUIDACIONES'!N9)&gt;50),1,0)</f>
        <v/>
      </c>
      <c r="O9">
        <f>IF(AND('LID_LIQUIDACIONES'!O9&lt;&gt;"",COUNTIF(CL_CARACT_LIQ,'LID_LIQUIDACIONES'!O9)=0),1,0)</f>
        <v/>
      </c>
      <c r="P9">
        <f>IF(AND('LID_LIQUIDACIONES'!P9&lt;&gt;"",NOT(ISNUMBER('LID_LIQUIDACIONES'!P9))),1,0)</f>
        <v/>
      </c>
    </row>
    <row r="10">
      <c r="A10">
        <f>IF(AND('LID_LIQUIDACIONES'!A10&lt;&gt;"",NOT(ISNUMBER('LID_LIQUIDACIONES'!A10))),1,0)</f>
        <v/>
      </c>
      <c r="B10">
        <f>IF(AND('LID_LIQUIDACIONES'!B10&lt;&gt;"",LEN('LID_LIQUIDACIONES'!B10)&gt;5),1,0)</f>
        <v/>
      </c>
      <c r="C10">
        <f>IF(AND('LID_LIQUIDACIONES'!C10&lt;&gt;"",COUNTIF(CL_TIPO_VALOR,'LID_LIQUIDACIONES'!C10)=0),1,0)</f>
        <v/>
      </c>
      <c r="D10">
        <f>IF(AND('LID_LIQUIDACIONES'!D10&lt;&gt;"",COUNTIF(CL_TIPO_OBLIGACI_N,'LID_LIQUIDACIONES'!D10)=0),1,0)</f>
        <v/>
      </c>
      <c r="E10">
        <f>IF(AND('LID_LIQUIDACIONES'!E10&lt;&gt;"",IF(ISNUMBER('LID_LIQUIDACIONES'!E10),OR('LID_LIQUIDACIONES'!E10&lt;&gt;ROUND('LID_LIQUIDACIONES'!E10,0),LEN(TEXT(INT(ABS('LID_LIQUIDACIONES'!E10)),"0"))&gt;12),TRUE)),1,0)</f>
        <v/>
      </c>
      <c r="F10">
        <f>IF(AND('LID_LIQUIDACIONES'!F10&lt;&gt;"",OR(LEN('LID_LIQUIDACIONES'!F10)&gt;3,COUNTIF(CL_MONEDA,'LID_LIQUIDACIONES'!F10)=0)),1,0)</f>
        <v/>
      </c>
      <c r="G10">
        <f>IF(AND('LID_LIQUIDACIONES'!G10&lt;&gt;"",COUNTIF(CL_ID_PAGOS,'LID_LIQUIDACIONES'!G10)=0),1,0)</f>
        <v/>
      </c>
      <c r="H10">
        <f>IF(AND('LID_LIQUIDACIONES'!H10&lt;&gt;"",COUNTIF(CL_FLAG_HORARIO,'LID_LIQUIDACIONES'!H10)=0),1,0)</f>
        <v/>
      </c>
      <c r="I10">
        <f>IF(AND('LID_LIQUIDACIONES'!I10&lt;&gt;"",COUNTIF(CL_CAT_ID_PAGOS_RET,'LID_LIQUIDACIONES'!I10)=0),1,0)</f>
        <v/>
      </c>
      <c r="J10">
        <f>IF(AND('LID_LIQUIDACIONES'!J10&lt;&gt;"",NOT(ISNUMBER('LID_LIQUIDACIONES'!J10))),1,0)</f>
        <v/>
      </c>
      <c r="K10">
        <f>IF(AND('LID_LIQUIDACIONES'!K10&lt;&gt;"",LEN('LID_LIQUIDACIONES'!K10)&gt;5),1,0)</f>
        <v/>
      </c>
      <c r="L10">
        <f>IF(AND('LID_LIQUIDACIONES'!L10&lt;&gt;"",IF(ISNUMBER('LID_LIQUIDACIONES'!L10),OR('LID_LIQUIDACIONES'!L10&lt;&gt;ROUND('LID_LIQUIDACIONES'!L10,0),LEN(TEXT(INT(ABS('LID_LIQUIDACIONES'!L10)),"0"))&gt;12),TRUE)),1,0)</f>
        <v/>
      </c>
      <c r="M10">
        <f>IF(AND('LID_LIQUIDACIONES'!M10&lt;&gt;"",COUNTIF(CL_CAT_MOTIVO_RET,'LID_LIQUIDACIONES'!M10)=0),1,0)</f>
        <v/>
      </c>
      <c r="N10">
        <f>IF(AND('LID_LIQUIDACIONES'!N10&lt;&gt;"",LEN('LID_LIQUIDACIONES'!N10)&gt;50),1,0)</f>
        <v/>
      </c>
      <c r="O10">
        <f>IF(AND('LID_LIQUIDACIONES'!O10&lt;&gt;"",COUNTIF(CL_CARACT_LIQ,'LID_LIQUIDACIONES'!O10)=0),1,0)</f>
        <v/>
      </c>
      <c r="P10">
        <f>IF(AND('LID_LIQUIDACIONES'!P10&lt;&gt;"",NOT(ISNUMBER('LID_LIQUIDACIONES'!P10))),1,0)</f>
        <v/>
      </c>
    </row>
    <row r="11">
      <c r="A11">
        <f>IF(AND('LID_LIQUIDACIONES'!A11&lt;&gt;"",NOT(ISNUMBER('LID_LIQUIDACIONES'!A11))),1,0)</f>
        <v/>
      </c>
      <c r="B11">
        <f>IF(AND('LID_LIQUIDACIONES'!B11&lt;&gt;"",LEN('LID_LIQUIDACIONES'!B11)&gt;5),1,0)</f>
        <v/>
      </c>
      <c r="C11">
        <f>IF(AND('LID_LIQUIDACIONES'!C11&lt;&gt;"",COUNTIF(CL_TIPO_VALOR,'LID_LIQUIDACIONES'!C11)=0),1,0)</f>
        <v/>
      </c>
      <c r="D11">
        <f>IF(AND('LID_LIQUIDACIONES'!D11&lt;&gt;"",COUNTIF(CL_TIPO_OBLIGACI_N,'LID_LIQUIDACIONES'!D11)=0),1,0)</f>
        <v/>
      </c>
      <c r="E11">
        <f>IF(AND('LID_LIQUIDACIONES'!E11&lt;&gt;"",IF(ISNUMBER('LID_LIQUIDACIONES'!E11),OR('LID_LIQUIDACIONES'!E11&lt;&gt;ROUND('LID_LIQUIDACIONES'!E11,0),LEN(TEXT(INT(ABS('LID_LIQUIDACIONES'!E11)),"0"))&gt;12),TRUE)),1,0)</f>
        <v/>
      </c>
      <c r="F11">
        <f>IF(AND('LID_LIQUIDACIONES'!F11&lt;&gt;"",OR(LEN('LID_LIQUIDACIONES'!F11)&gt;3,COUNTIF(CL_MONEDA,'LID_LIQUIDACIONES'!F11)=0)),1,0)</f>
        <v/>
      </c>
      <c r="G11">
        <f>IF(AND('LID_LIQUIDACIONES'!G11&lt;&gt;"",COUNTIF(CL_ID_PAGOS,'LID_LIQUIDACIONES'!G11)=0),1,0)</f>
        <v/>
      </c>
      <c r="H11">
        <f>IF(AND('LID_LIQUIDACIONES'!H11&lt;&gt;"",COUNTIF(CL_FLAG_HORARIO,'LID_LIQUIDACIONES'!H11)=0),1,0)</f>
        <v/>
      </c>
      <c r="I11">
        <f>IF(AND('LID_LIQUIDACIONES'!I11&lt;&gt;"",COUNTIF(CL_CAT_ID_PAGOS_RET,'LID_LIQUIDACIONES'!I11)=0),1,0)</f>
        <v/>
      </c>
      <c r="J11">
        <f>IF(AND('LID_LIQUIDACIONES'!J11&lt;&gt;"",NOT(ISNUMBER('LID_LIQUIDACIONES'!J11))),1,0)</f>
        <v/>
      </c>
      <c r="K11">
        <f>IF(AND('LID_LIQUIDACIONES'!K11&lt;&gt;"",LEN('LID_LIQUIDACIONES'!K11)&gt;5),1,0)</f>
        <v/>
      </c>
      <c r="L11">
        <f>IF(AND('LID_LIQUIDACIONES'!L11&lt;&gt;"",IF(ISNUMBER('LID_LIQUIDACIONES'!L11),OR('LID_LIQUIDACIONES'!L11&lt;&gt;ROUND('LID_LIQUIDACIONES'!L11,0),LEN(TEXT(INT(ABS('LID_LIQUIDACIONES'!L11)),"0"))&gt;12),TRUE)),1,0)</f>
        <v/>
      </c>
      <c r="M11">
        <f>IF(AND('LID_LIQUIDACIONES'!M11&lt;&gt;"",COUNTIF(CL_CAT_MOTIVO_RET,'LID_LIQUIDACIONES'!M11)=0),1,0)</f>
        <v/>
      </c>
      <c r="N11">
        <f>IF(AND('LID_LIQUIDACIONES'!N11&lt;&gt;"",LEN('LID_LIQUIDACIONES'!N11)&gt;50),1,0)</f>
        <v/>
      </c>
      <c r="O11">
        <f>IF(AND('LID_LIQUIDACIONES'!O11&lt;&gt;"",COUNTIF(CL_CARACT_LIQ,'LID_LIQUIDACIONES'!O11)=0),1,0)</f>
        <v/>
      </c>
      <c r="P11">
        <f>IF(AND('LID_LIQUIDACIONES'!P11&lt;&gt;"",NOT(ISNUMBER('LID_LIQUIDACIONES'!P11))),1,0)</f>
        <v/>
      </c>
    </row>
    <row r="12">
      <c r="A12">
        <f>IF(AND('LID_LIQUIDACIONES'!A12&lt;&gt;"",NOT(ISNUMBER('LID_LIQUIDACIONES'!A12))),1,0)</f>
        <v/>
      </c>
      <c r="B12">
        <f>IF(AND('LID_LIQUIDACIONES'!B12&lt;&gt;"",LEN('LID_LIQUIDACIONES'!B12)&gt;5),1,0)</f>
        <v/>
      </c>
      <c r="C12">
        <f>IF(AND('LID_LIQUIDACIONES'!C12&lt;&gt;"",COUNTIF(CL_TIPO_VALOR,'LID_LIQUIDACIONES'!C12)=0),1,0)</f>
        <v/>
      </c>
      <c r="D12">
        <f>IF(AND('LID_LIQUIDACIONES'!D12&lt;&gt;"",COUNTIF(CL_TIPO_OBLIGACI_N,'LID_LIQUIDACIONES'!D12)=0),1,0)</f>
        <v/>
      </c>
      <c r="E12">
        <f>IF(AND('LID_LIQUIDACIONES'!E12&lt;&gt;"",IF(ISNUMBER('LID_LIQUIDACIONES'!E12),OR('LID_LIQUIDACIONES'!E12&lt;&gt;ROUND('LID_LIQUIDACIONES'!E12,0),LEN(TEXT(INT(ABS('LID_LIQUIDACIONES'!E12)),"0"))&gt;12),TRUE)),1,0)</f>
        <v/>
      </c>
      <c r="F12">
        <f>IF(AND('LID_LIQUIDACIONES'!F12&lt;&gt;"",OR(LEN('LID_LIQUIDACIONES'!F12)&gt;3,COUNTIF(CL_MONEDA,'LID_LIQUIDACIONES'!F12)=0)),1,0)</f>
        <v/>
      </c>
      <c r="G12">
        <f>IF(AND('LID_LIQUIDACIONES'!G12&lt;&gt;"",COUNTIF(CL_ID_PAGOS,'LID_LIQUIDACIONES'!G12)=0),1,0)</f>
        <v/>
      </c>
      <c r="H12">
        <f>IF(AND('LID_LIQUIDACIONES'!H12&lt;&gt;"",COUNTIF(CL_FLAG_HORARIO,'LID_LIQUIDACIONES'!H12)=0),1,0)</f>
        <v/>
      </c>
      <c r="I12">
        <f>IF(AND('LID_LIQUIDACIONES'!I12&lt;&gt;"",COUNTIF(CL_CAT_ID_PAGOS_RET,'LID_LIQUIDACIONES'!I12)=0),1,0)</f>
        <v/>
      </c>
      <c r="J12">
        <f>IF(AND('LID_LIQUIDACIONES'!J12&lt;&gt;"",NOT(ISNUMBER('LID_LIQUIDACIONES'!J12))),1,0)</f>
        <v/>
      </c>
      <c r="K12">
        <f>IF(AND('LID_LIQUIDACIONES'!K12&lt;&gt;"",LEN('LID_LIQUIDACIONES'!K12)&gt;5),1,0)</f>
        <v/>
      </c>
      <c r="L12">
        <f>IF(AND('LID_LIQUIDACIONES'!L12&lt;&gt;"",IF(ISNUMBER('LID_LIQUIDACIONES'!L12),OR('LID_LIQUIDACIONES'!L12&lt;&gt;ROUND('LID_LIQUIDACIONES'!L12,0),LEN(TEXT(INT(ABS('LID_LIQUIDACIONES'!L12)),"0"))&gt;12),TRUE)),1,0)</f>
        <v/>
      </c>
      <c r="M12">
        <f>IF(AND('LID_LIQUIDACIONES'!M12&lt;&gt;"",COUNTIF(CL_CAT_MOTIVO_RET,'LID_LIQUIDACIONES'!M12)=0),1,0)</f>
        <v/>
      </c>
      <c r="N12">
        <f>IF(AND('LID_LIQUIDACIONES'!N12&lt;&gt;"",LEN('LID_LIQUIDACIONES'!N12)&gt;50),1,0)</f>
        <v/>
      </c>
      <c r="O12">
        <f>IF(AND('LID_LIQUIDACIONES'!O12&lt;&gt;"",COUNTIF(CL_CARACT_LIQ,'LID_LIQUIDACIONES'!O12)=0),1,0)</f>
        <v/>
      </c>
      <c r="P12">
        <f>IF(AND('LID_LIQUIDACIONES'!P12&lt;&gt;"",NOT(ISNUMBER('LID_LIQUIDACIONES'!P12))),1,0)</f>
        <v/>
      </c>
    </row>
    <row r="13">
      <c r="A13">
        <f>IF(AND('LID_LIQUIDACIONES'!A13&lt;&gt;"",NOT(ISNUMBER('LID_LIQUIDACIONES'!A13))),1,0)</f>
        <v/>
      </c>
      <c r="B13">
        <f>IF(AND('LID_LIQUIDACIONES'!B13&lt;&gt;"",LEN('LID_LIQUIDACIONES'!B13)&gt;5),1,0)</f>
        <v/>
      </c>
      <c r="C13">
        <f>IF(AND('LID_LIQUIDACIONES'!C13&lt;&gt;"",COUNTIF(CL_TIPO_VALOR,'LID_LIQUIDACIONES'!C13)=0),1,0)</f>
        <v/>
      </c>
      <c r="D13">
        <f>IF(AND('LID_LIQUIDACIONES'!D13&lt;&gt;"",COUNTIF(CL_TIPO_OBLIGACI_N,'LID_LIQUIDACIONES'!D13)=0),1,0)</f>
        <v/>
      </c>
      <c r="E13">
        <f>IF(AND('LID_LIQUIDACIONES'!E13&lt;&gt;"",IF(ISNUMBER('LID_LIQUIDACIONES'!E13),OR('LID_LIQUIDACIONES'!E13&lt;&gt;ROUND('LID_LIQUIDACIONES'!E13,0),LEN(TEXT(INT(ABS('LID_LIQUIDACIONES'!E13)),"0"))&gt;12),TRUE)),1,0)</f>
        <v/>
      </c>
      <c r="F13">
        <f>IF(AND('LID_LIQUIDACIONES'!F13&lt;&gt;"",OR(LEN('LID_LIQUIDACIONES'!F13)&gt;3,COUNTIF(CL_MONEDA,'LID_LIQUIDACIONES'!F13)=0)),1,0)</f>
        <v/>
      </c>
      <c r="G13">
        <f>IF(AND('LID_LIQUIDACIONES'!G13&lt;&gt;"",COUNTIF(CL_ID_PAGOS,'LID_LIQUIDACIONES'!G13)=0),1,0)</f>
        <v/>
      </c>
      <c r="H13">
        <f>IF(AND('LID_LIQUIDACIONES'!H13&lt;&gt;"",COUNTIF(CL_FLAG_HORARIO,'LID_LIQUIDACIONES'!H13)=0),1,0)</f>
        <v/>
      </c>
      <c r="I13">
        <f>IF(AND('LID_LIQUIDACIONES'!I13&lt;&gt;"",COUNTIF(CL_CAT_ID_PAGOS_RET,'LID_LIQUIDACIONES'!I13)=0),1,0)</f>
        <v/>
      </c>
      <c r="J13">
        <f>IF(AND('LID_LIQUIDACIONES'!J13&lt;&gt;"",NOT(ISNUMBER('LID_LIQUIDACIONES'!J13))),1,0)</f>
        <v/>
      </c>
      <c r="K13">
        <f>IF(AND('LID_LIQUIDACIONES'!K13&lt;&gt;"",LEN('LID_LIQUIDACIONES'!K13)&gt;5),1,0)</f>
        <v/>
      </c>
      <c r="L13">
        <f>IF(AND('LID_LIQUIDACIONES'!L13&lt;&gt;"",IF(ISNUMBER('LID_LIQUIDACIONES'!L13),OR('LID_LIQUIDACIONES'!L13&lt;&gt;ROUND('LID_LIQUIDACIONES'!L13,0),LEN(TEXT(INT(ABS('LID_LIQUIDACIONES'!L13)),"0"))&gt;12),TRUE)),1,0)</f>
        <v/>
      </c>
      <c r="M13">
        <f>IF(AND('LID_LIQUIDACIONES'!M13&lt;&gt;"",COUNTIF(CL_CAT_MOTIVO_RET,'LID_LIQUIDACIONES'!M13)=0),1,0)</f>
        <v/>
      </c>
      <c r="N13">
        <f>IF(AND('LID_LIQUIDACIONES'!N13&lt;&gt;"",LEN('LID_LIQUIDACIONES'!N13)&gt;50),1,0)</f>
        <v/>
      </c>
      <c r="O13">
        <f>IF(AND('LID_LIQUIDACIONES'!O13&lt;&gt;"",COUNTIF(CL_CARACT_LIQ,'LID_LIQUIDACIONES'!O13)=0),1,0)</f>
        <v/>
      </c>
      <c r="P13">
        <f>IF(AND('LID_LIQUIDACIONES'!P13&lt;&gt;"",NOT(ISNUMBER('LID_LIQUIDACIONES'!P13))),1,0)</f>
        <v/>
      </c>
    </row>
    <row r="14">
      <c r="A14">
        <f>IF(AND('LID_LIQUIDACIONES'!A14&lt;&gt;"",NOT(ISNUMBER('LID_LIQUIDACIONES'!A14))),1,0)</f>
        <v/>
      </c>
      <c r="B14">
        <f>IF(AND('LID_LIQUIDACIONES'!B14&lt;&gt;"",LEN('LID_LIQUIDACIONES'!B14)&gt;5),1,0)</f>
        <v/>
      </c>
      <c r="C14">
        <f>IF(AND('LID_LIQUIDACIONES'!C14&lt;&gt;"",COUNTIF(CL_TIPO_VALOR,'LID_LIQUIDACIONES'!C14)=0),1,0)</f>
        <v/>
      </c>
      <c r="D14">
        <f>IF(AND('LID_LIQUIDACIONES'!D14&lt;&gt;"",COUNTIF(CL_TIPO_OBLIGACI_N,'LID_LIQUIDACIONES'!D14)=0),1,0)</f>
        <v/>
      </c>
      <c r="E14">
        <f>IF(AND('LID_LIQUIDACIONES'!E14&lt;&gt;"",IF(ISNUMBER('LID_LIQUIDACIONES'!E14),OR('LID_LIQUIDACIONES'!E14&lt;&gt;ROUND('LID_LIQUIDACIONES'!E14,0),LEN(TEXT(INT(ABS('LID_LIQUIDACIONES'!E14)),"0"))&gt;12),TRUE)),1,0)</f>
        <v/>
      </c>
      <c r="F14">
        <f>IF(AND('LID_LIQUIDACIONES'!F14&lt;&gt;"",OR(LEN('LID_LIQUIDACIONES'!F14)&gt;3,COUNTIF(CL_MONEDA,'LID_LIQUIDACIONES'!F14)=0)),1,0)</f>
        <v/>
      </c>
      <c r="G14">
        <f>IF(AND('LID_LIQUIDACIONES'!G14&lt;&gt;"",COUNTIF(CL_ID_PAGOS,'LID_LIQUIDACIONES'!G14)=0),1,0)</f>
        <v/>
      </c>
      <c r="H14">
        <f>IF(AND('LID_LIQUIDACIONES'!H14&lt;&gt;"",COUNTIF(CL_FLAG_HORARIO,'LID_LIQUIDACIONES'!H14)=0),1,0)</f>
        <v/>
      </c>
      <c r="I14">
        <f>IF(AND('LID_LIQUIDACIONES'!I14&lt;&gt;"",COUNTIF(CL_CAT_ID_PAGOS_RET,'LID_LIQUIDACIONES'!I14)=0),1,0)</f>
        <v/>
      </c>
      <c r="J14">
        <f>IF(AND('LID_LIQUIDACIONES'!J14&lt;&gt;"",NOT(ISNUMBER('LID_LIQUIDACIONES'!J14))),1,0)</f>
        <v/>
      </c>
      <c r="K14">
        <f>IF(AND('LID_LIQUIDACIONES'!K14&lt;&gt;"",LEN('LID_LIQUIDACIONES'!K14)&gt;5),1,0)</f>
        <v/>
      </c>
      <c r="L14">
        <f>IF(AND('LID_LIQUIDACIONES'!L14&lt;&gt;"",IF(ISNUMBER('LID_LIQUIDACIONES'!L14),OR('LID_LIQUIDACIONES'!L14&lt;&gt;ROUND('LID_LIQUIDACIONES'!L14,0),LEN(TEXT(INT(ABS('LID_LIQUIDACIONES'!L14)),"0"))&gt;12),TRUE)),1,0)</f>
        <v/>
      </c>
      <c r="M14">
        <f>IF(AND('LID_LIQUIDACIONES'!M14&lt;&gt;"",COUNTIF(CL_CAT_MOTIVO_RET,'LID_LIQUIDACIONES'!M14)=0),1,0)</f>
        <v/>
      </c>
      <c r="N14">
        <f>IF(AND('LID_LIQUIDACIONES'!N14&lt;&gt;"",LEN('LID_LIQUIDACIONES'!N14)&gt;50),1,0)</f>
        <v/>
      </c>
      <c r="O14">
        <f>IF(AND('LID_LIQUIDACIONES'!O14&lt;&gt;"",COUNTIF(CL_CARACT_LIQ,'LID_LIQUIDACIONES'!O14)=0),1,0)</f>
        <v/>
      </c>
      <c r="P14">
        <f>IF(AND('LID_LIQUIDACIONES'!P14&lt;&gt;"",NOT(ISNUMBER('LID_LIQUIDACIONES'!P14))),1,0)</f>
        <v/>
      </c>
    </row>
    <row r="15">
      <c r="A15">
        <f>IF(AND('LID_LIQUIDACIONES'!A15&lt;&gt;"",NOT(ISNUMBER('LID_LIQUIDACIONES'!A15))),1,0)</f>
        <v/>
      </c>
      <c r="B15">
        <f>IF(AND('LID_LIQUIDACIONES'!B15&lt;&gt;"",LEN('LID_LIQUIDACIONES'!B15)&gt;5),1,0)</f>
        <v/>
      </c>
      <c r="C15">
        <f>IF(AND('LID_LIQUIDACIONES'!C15&lt;&gt;"",COUNTIF(CL_TIPO_VALOR,'LID_LIQUIDACIONES'!C15)=0),1,0)</f>
        <v/>
      </c>
      <c r="D15">
        <f>IF(AND('LID_LIQUIDACIONES'!D15&lt;&gt;"",COUNTIF(CL_TIPO_OBLIGACI_N,'LID_LIQUIDACIONES'!D15)=0),1,0)</f>
        <v/>
      </c>
      <c r="E15">
        <f>IF(AND('LID_LIQUIDACIONES'!E15&lt;&gt;"",IF(ISNUMBER('LID_LIQUIDACIONES'!E15),OR('LID_LIQUIDACIONES'!E15&lt;&gt;ROUND('LID_LIQUIDACIONES'!E15,0),LEN(TEXT(INT(ABS('LID_LIQUIDACIONES'!E15)),"0"))&gt;12),TRUE)),1,0)</f>
        <v/>
      </c>
      <c r="F15">
        <f>IF(AND('LID_LIQUIDACIONES'!F15&lt;&gt;"",OR(LEN('LID_LIQUIDACIONES'!F15)&gt;3,COUNTIF(CL_MONEDA,'LID_LIQUIDACIONES'!F15)=0)),1,0)</f>
        <v/>
      </c>
      <c r="G15">
        <f>IF(AND('LID_LIQUIDACIONES'!G15&lt;&gt;"",COUNTIF(CL_ID_PAGOS,'LID_LIQUIDACIONES'!G15)=0),1,0)</f>
        <v/>
      </c>
      <c r="H15">
        <f>IF(AND('LID_LIQUIDACIONES'!H15&lt;&gt;"",COUNTIF(CL_FLAG_HORARIO,'LID_LIQUIDACIONES'!H15)=0),1,0)</f>
        <v/>
      </c>
      <c r="I15">
        <f>IF(AND('LID_LIQUIDACIONES'!I15&lt;&gt;"",COUNTIF(CL_CAT_ID_PAGOS_RET,'LID_LIQUIDACIONES'!I15)=0),1,0)</f>
        <v/>
      </c>
      <c r="J15">
        <f>IF(AND('LID_LIQUIDACIONES'!J15&lt;&gt;"",NOT(ISNUMBER('LID_LIQUIDACIONES'!J15))),1,0)</f>
        <v/>
      </c>
      <c r="K15">
        <f>IF(AND('LID_LIQUIDACIONES'!K15&lt;&gt;"",LEN('LID_LIQUIDACIONES'!K15)&gt;5),1,0)</f>
        <v/>
      </c>
      <c r="L15">
        <f>IF(AND('LID_LIQUIDACIONES'!L15&lt;&gt;"",IF(ISNUMBER('LID_LIQUIDACIONES'!L15),OR('LID_LIQUIDACIONES'!L15&lt;&gt;ROUND('LID_LIQUIDACIONES'!L15,0),LEN(TEXT(INT(ABS('LID_LIQUIDACIONES'!L15)),"0"))&gt;12),TRUE)),1,0)</f>
        <v/>
      </c>
      <c r="M15">
        <f>IF(AND('LID_LIQUIDACIONES'!M15&lt;&gt;"",COUNTIF(CL_CAT_MOTIVO_RET,'LID_LIQUIDACIONES'!M15)=0),1,0)</f>
        <v/>
      </c>
      <c r="N15">
        <f>IF(AND('LID_LIQUIDACIONES'!N15&lt;&gt;"",LEN('LID_LIQUIDACIONES'!N15)&gt;50),1,0)</f>
        <v/>
      </c>
      <c r="O15">
        <f>IF(AND('LID_LIQUIDACIONES'!O15&lt;&gt;"",COUNTIF(CL_CARACT_LIQ,'LID_LIQUIDACIONES'!O15)=0),1,0)</f>
        <v/>
      </c>
      <c r="P15">
        <f>IF(AND('LID_LIQUIDACIONES'!P15&lt;&gt;"",NOT(ISNUMBER('LID_LIQUIDACIONES'!P15))),1,0)</f>
        <v/>
      </c>
    </row>
    <row r="16">
      <c r="A16">
        <f>IF(AND('LID_LIQUIDACIONES'!A16&lt;&gt;"",NOT(ISNUMBER('LID_LIQUIDACIONES'!A16))),1,0)</f>
        <v/>
      </c>
      <c r="B16">
        <f>IF(AND('LID_LIQUIDACIONES'!B16&lt;&gt;"",LEN('LID_LIQUIDACIONES'!B16)&gt;5),1,0)</f>
        <v/>
      </c>
      <c r="C16">
        <f>IF(AND('LID_LIQUIDACIONES'!C16&lt;&gt;"",COUNTIF(CL_TIPO_VALOR,'LID_LIQUIDACIONES'!C16)=0),1,0)</f>
        <v/>
      </c>
      <c r="D16">
        <f>IF(AND('LID_LIQUIDACIONES'!D16&lt;&gt;"",COUNTIF(CL_TIPO_OBLIGACI_N,'LID_LIQUIDACIONES'!D16)=0),1,0)</f>
        <v/>
      </c>
      <c r="E16">
        <f>IF(AND('LID_LIQUIDACIONES'!E16&lt;&gt;"",IF(ISNUMBER('LID_LIQUIDACIONES'!E16),OR('LID_LIQUIDACIONES'!E16&lt;&gt;ROUND('LID_LIQUIDACIONES'!E16,0),LEN(TEXT(INT(ABS('LID_LIQUIDACIONES'!E16)),"0"))&gt;12),TRUE)),1,0)</f>
        <v/>
      </c>
      <c r="F16">
        <f>IF(AND('LID_LIQUIDACIONES'!F16&lt;&gt;"",OR(LEN('LID_LIQUIDACIONES'!F16)&gt;3,COUNTIF(CL_MONEDA,'LID_LIQUIDACIONES'!F16)=0)),1,0)</f>
        <v/>
      </c>
      <c r="G16">
        <f>IF(AND('LID_LIQUIDACIONES'!G16&lt;&gt;"",COUNTIF(CL_ID_PAGOS,'LID_LIQUIDACIONES'!G16)=0),1,0)</f>
        <v/>
      </c>
      <c r="H16">
        <f>IF(AND('LID_LIQUIDACIONES'!H16&lt;&gt;"",COUNTIF(CL_FLAG_HORARIO,'LID_LIQUIDACIONES'!H16)=0),1,0)</f>
        <v/>
      </c>
      <c r="I16">
        <f>IF(AND('LID_LIQUIDACIONES'!I16&lt;&gt;"",COUNTIF(CL_CAT_ID_PAGOS_RET,'LID_LIQUIDACIONES'!I16)=0),1,0)</f>
        <v/>
      </c>
      <c r="J16">
        <f>IF(AND('LID_LIQUIDACIONES'!J16&lt;&gt;"",NOT(ISNUMBER('LID_LIQUIDACIONES'!J16))),1,0)</f>
        <v/>
      </c>
      <c r="K16">
        <f>IF(AND('LID_LIQUIDACIONES'!K16&lt;&gt;"",LEN('LID_LIQUIDACIONES'!K16)&gt;5),1,0)</f>
        <v/>
      </c>
      <c r="L16">
        <f>IF(AND('LID_LIQUIDACIONES'!L16&lt;&gt;"",IF(ISNUMBER('LID_LIQUIDACIONES'!L16),OR('LID_LIQUIDACIONES'!L16&lt;&gt;ROUND('LID_LIQUIDACIONES'!L16,0),LEN(TEXT(INT(ABS('LID_LIQUIDACIONES'!L16)),"0"))&gt;12),TRUE)),1,0)</f>
        <v/>
      </c>
      <c r="M16">
        <f>IF(AND('LID_LIQUIDACIONES'!M16&lt;&gt;"",COUNTIF(CL_CAT_MOTIVO_RET,'LID_LIQUIDACIONES'!M16)=0),1,0)</f>
        <v/>
      </c>
      <c r="N16">
        <f>IF(AND('LID_LIQUIDACIONES'!N16&lt;&gt;"",LEN('LID_LIQUIDACIONES'!N16)&gt;50),1,0)</f>
        <v/>
      </c>
      <c r="O16">
        <f>IF(AND('LID_LIQUIDACIONES'!O16&lt;&gt;"",COUNTIF(CL_CARACT_LIQ,'LID_LIQUIDACIONES'!O16)=0),1,0)</f>
        <v/>
      </c>
      <c r="P16">
        <f>IF(AND('LID_LIQUIDACIONES'!P16&lt;&gt;"",NOT(ISNUMBER('LID_LIQUIDACIONES'!P16))),1,0)</f>
        <v/>
      </c>
    </row>
    <row r="17">
      <c r="A17">
        <f>IF(AND('LID_LIQUIDACIONES'!A17&lt;&gt;"",NOT(ISNUMBER('LID_LIQUIDACIONES'!A17))),1,0)</f>
        <v/>
      </c>
      <c r="B17">
        <f>IF(AND('LID_LIQUIDACIONES'!B17&lt;&gt;"",LEN('LID_LIQUIDACIONES'!B17)&gt;5),1,0)</f>
        <v/>
      </c>
      <c r="C17">
        <f>IF(AND('LID_LIQUIDACIONES'!C17&lt;&gt;"",COUNTIF(CL_TIPO_VALOR,'LID_LIQUIDACIONES'!C17)=0),1,0)</f>
        <v/>
      </c>
      <c r="D17">
        <f>IF(AND('LID_LIQUIDACIONES'!D17&lt;&gt;"",COUNTIF(CL_TIPO_OBLIGACI_N,'LID_LIQUIDACIONES'!D17)=0),1,0)</f>
        <v/>
      </c>
      <c r="E17">
        <f>IF(AND('LID_LIQUIDACIONES'!E17&lt;&gt;"",IF(ISNUMBER('LID_LIQUIDACIONES'!E17),OR('LID_LIQUIDACIONES'!E17&lt;&gt;ROUND('LID_LIQUIDACIONES'!E17,0),LEN(TEXT(INT(ABS('LID_LIQUIDACIONES'!E17)),"0"))&gt;12),TRUE)),1,0)</f>
        <v/>
      </c>
      <c r="F17">
        <f>IF(AND('LID_LIQUIDACIONES'!F17&lt;&gt;"",OR(LEN('LID_LIQUIDACIONES'!F17)&gt;3,COUNTIF(CL_MONEDA,'LID_LIQUIDACIONES'!F17)=0)),1,0)</f>
        <v/>
      </c>
      <c r="G17">
        <f>IF(AND('LID_LIQUIDACIONES'!G17&lt;&gt;"",COUNTIF(CL_ID_PAGOS,'LID_LIQUIDACIONES'!G17)=0),1,0)</f>
        <v/>
      </c>
      <c r="H17">
        <f>IF(AND('LID_LIQUIDACIONES'!H17&lt;&gt;"",COUNTIF(CL_FLAG_HORARIO,'LID_LIQUIDACIONES'!H17)=0),1,0)</f>
        <v/>
      </c>
      <c r="I17">
        <f>IF(AND('LID_LIQUIDACIONES'!I17&lt;&gt;"",COUNTIF(CL_CAT_ID_PAGOS_RET,'LID_LIQUIDACIONES'!I17)=0),1,0)</f>
        <v/>
      </c>
      <c r="J17">
        <f>IF(AND('LID_LIQUIDACIONES'!J17&lt;&gt;"",NOT(ISNUMBER('LID_LIQUIDACIONES'!J17))),1,0)</f>
        <v/>
      </c>
      <c r="K17">
        <f>IF(AND('LID_LIQUIDACIONES'!K17&lt;&gt;"",LEN('LID_LIQUIDACIONES'!K17)&gt;5),1,0)</f>
        <v/>
      </c>
      <c r="L17">
        <f>IF(AND('LID_LIQUIDACIONES'!L17&lt;&gt;"",IF(ISNUMBER('LID_LIQUIDACIONES'!L17),OR('LID_LIQUIDACIONES'!L17&lt;&gt;ROUND('LID_LIQUIDACIONES'!L17,0),LEN(TEXT(INT(ABS('LID_LIQUIDACIONES'!L17)),"0"))&gt;12),TRUE)),1,0)</f>
        <v/>
      </c>
      <c r="M17">
        <f>IF(AND('LID_LIQUIDACIONES'!M17&lt;&gt;"",COUNTIF(CL_CAT_MOTIVO_RET,'LID_LIQUIDACIONES'!M17)=0),1,0)</f>
        <v/>
      </c>
      <c r="N17">
        <f>IF(AND('LID_LIQUIDACIONES'!N17&lt;&gt;"",LEN('LID_LIQUIDACIONES'!N17)&gt;50),1,0)</f>
        <v/>
      </c>
      <c r="O17">
        <f>IF(AND('LID_LIQUIDACIONES'!O17&lt;&gt;"",COUNTIF(CL_CARACT_LIQ,'LID_LIQUIDACIONES'!O17)=0),1,0)</f>
        <v/>
      </c>
      <c r="P17">
        <f>IF(AND('LID_LIQUIDACIONES'!P17&lt;&gt;"",NOT(ISNUMBER('LID_LIQUIDACIONES'!P17))),1,0)</f>
        <v/>
      </c>
    </row>
    <row r="18">
      <c r="A18">
        <f>IF(AND('LID_LIQUIDACIONES'!A18&lt;&gt;"",NOT(ISNUMBER('LID_LIQUIDACIONES'!A18))),1,0)</f>
        <v/>
      </c>
      <c r="B18">
        <f>IF(AND('LID_LIQUIDACIONES'!B18&lt;&gt;"",LEN('LID_LIQUIDACIONES'!B18)&gt;5),1,0)</f>
        <v/>
      </c>
      <c r="C18">
        <f>IF(AND('LID_LIQUIDACIONES'!C18&lt;&gt;"",COUNTIF(CL_TIPO_VALOR,'LID_LIQUIDACIONES'!C18)=0),1,0)</f>
        <v/>
      </c>
      <c r="D18">
        <f>IF(AND('LID_LIQUIDACIONES'!D18&lt;&gt;"",COUNTIF(CL_TIPO_OBLIGACI_N,'LID_LIQUIDACIONES'!D18)=0),1,0)</f>
        <v/>
      </c>
      <c r="E18">
        <f>IF(AND('LID_LIQUIDACIONES'!E18&lt;&gt;"",IF(ISNUMBER('LID_LIQUIDACIONES'!E18),OR('LID_LIQUIDACIONES'!E18&lt;&gt;ROUND('LID_LIQUIDACIONES'!E18,0),LEN(TEXT(INT(ABS('LID_LIQUIDACIONES'!E18)),"0"))&gt;12),TRUE)),1,0)</f>
        <v/>
      </c>
      <c r="F18">
        <f>IF(AND('LID_LIQUIDACIONES'!F18&lt;&gt;"",OR(LEN('LID_LIQUIDACIONES'!F18)&gt;3,COUNTIF(CL_MONEDA,'LID_LIQUIDACIONES'!F18)=0)),1,0)</f>
        <v/>
      </c>
      <c r="G18">
        <f>IF(AND('LID_LIQUIDACIONES'!G18&lt;&gt;"",COUNTIF(CL_ID_PAGOS,'LID_LIQUIDACIONES'!G18)=0),1,0)</f>
        <v/>
      </c>
      <c r="H18">
        <f>IF(AND('LID_LIQUIDACIONES'!H18&lt;&gt;"",COUNTIF(CL_FLAG_HORARIO,'LID_LIQUIDACIONES'!H18)=0),1,0)</f>
        <v/>
      </c>
      <c r="I18">
        <f>IF(AND('LID_LIQUIDACIONES'!I18&lt;&gt;"",COUNTIF(CL_CAT_ID_PAGOS_RET,'LID_LIQUIDACIONES'!I18)=0),1,0)</f>
        <v/>
      </c>
      <c r="J18">
        <f>IF(AND('LID_LIQUIDACIONES'!J18&lt;&gt;"",NOT(ISNUMBER('LID_LIQUIDACIONES'!J18))),1,0)</f>
        <v/>
      </c>
      <c r="K18">
        <f>IF(AND('LID_LIQUIDACIONES'!K18&lt;&gt;"",LEN('LID_LIQUIDACIONES'!K18)&gt;5),1,0)</f>
        <v/>
      </c>
      <c r="L18">
        <f>IF(AND('LID_LIQUIDACIONES'!L18&lt;&gt;"",IF(ISNUMBER('LID_LIQUIDACIONES'!L18),OR('LID_LIQUIDACIONES'!L18&lt;&gt;ROUND('LID_LIQUIDACIONES'!L18,0),LEN(TEXT(INT(ABS('LID_LIQUIDACIONES'!L18)),"0"))&gt;12),TRUE)),1,0)</f>
        <v/>
      </c>
      <c r="M18">
        <f>IF(AND('LID_LIQUIDACIONES'!M18&lt;&gt;"",COUNTIF(CL_CAT_MOTIVO_RET,'LID_LIQUIDACIONES'!M18)=0),1,0)</f>
        <v/>
      </c>
      <c r="N18">
        <f>IF(AND('LID_LIQUIDACIONES'!N18&lt;&gt;"",LEN('LID_LIQUIDACIONES'!N18)&gt;50),1,0)</f>
        <v/>
      </c>
      <c r="O18">
        <f>IF(AND('LID_LIQUIDACIONES'!O18&lt;&gt;"",COUNTIF(CL_CARACT_LIQ,'LID_LIQUIDACIONES'!O18)=0),1,0)</f>
        <v/>
      </c>
      <c r="P18">
        <f>IF(AND('LID_LIQUIDACIONES'!P18&lt;&gt;"",NOT(ISNUMBER('LID_LIQUIDACIONES'!P18))),1,0)</f>
        <v/>
      </c>
    </row>
    <row r="19">
      <c r="A19">
        <f>IF(AND('LID_LIQUIDACIONES'!A19&lt;&gt;"",NOT(ISNUMBER('LID_LIQUIDACIONES'!A19))),1,0)</f>
        <v/>
      </c>
      <c r="B19">
        <f>IF(AND('LID_LIQUIDACIONES'!B19&lt;&gt;"",LEN('LID_LIQUIDACIONES'!B19)&gt;5),1,0)</f>
        <v/>
      </c>
      <c r="C19">
        <f>IF(AND('LID_LIQUIDACIONES'!C19&lt;&gt;"",COUNTIF(CL_TIPO_VALOR,'LID_LIQUIDACIONES'!C19)=0),1,0)</f>
        <v/>
      </c>
      <c r="D19">
        <f>IF(AND('LID_LIQUIDACIONES'!D19&lt;&gt;"",COUNTIF(CL_TIPO_OBLIGACI_N,'LID_LIQUIDACIONES'!D19)=0),1,0)</f>
        <v/>
      </c>
      <c r="E19">
        <f>IF(AND('LID_LIQUIDACIONES'!E19&lt;&gt;"",IF(ISNUMBER('LID_LIQUIDACIONES'!E19),OR('LID_LIQUIDACIONES'!E19&lt;&gt;ROUND('LID_LIQUIDACIONES'!E19,0),LEN(TEXT(INT(ABS('LID_LIQUIDACIONES'!E19)),"0"))&gt;12),TRUE)),1,0)</f>
        <v/>
      </c>
      <c r="F19">
        <f>IF(AND('LID_LIQUIDACIONES'!F19&lt;&gt;"",OR(LEN('LID_LIQUIDACIONES'!F19)&gt;3,COUNTIF(CL_MONEDA,'LID_LIQUIDACIONES'!F19)=0)),1,0)</f>
        <v/>
      </c>
      <c r="G19">
        <f>IF(AND('LID_LIQUIDACIONES'!G19&lt;&gt;"",COUNTIF(CL_ID_PAGOS,'LID_LIQUIDACIONES'!G19)=0),1,0)</f>
        <v/>
      </c>
      <c r="H19">
        <f>IF(AND('LID_LIQUIDACIONES'!H19&lt;&gt;"",COUNTIF(CL_FLAG_HORARIO,'LID_LIQUIDACIONES'!H19)=0),1,0)</f>
        <v/>
      </c>
      <c r="I19">
        <f>IF(AND('LID_LIQUIDACIONES'!I19&lt;&gt;"",COUNTIF(CL_CAT_ID_PAGOS_RET,'LID_LIQUIDACIONES'!I19)=0),1,0)</f>
        <v/>
      </c>
      <c r="J19">
        <f>IF(AND('LID_LIQUIDACIONES'!J19&lt;&gt;"",NOT(ISNUMBER('LID_LIQUIDACIONES'!J19))),1,0)</f>
        <v/>
      </c>
      <c r="K19">
        <f>IF(AND('LID_LIQUIDACIONES'!K19&lt;&gt;"",LEN('LID_LIQUIDACIONES'!K19)&gt;5),1,0)</f>
        <v/>
      </c>
      <c r="L19">
        <f>IF(AND('LID_LIQUIDACIONES'!L19&lt;&gt;"",IF(ISNUMBER('LID_LIQUIDACIONES'!L19),OR('LID_LIQUIDACIONES'!L19&lt;&gt;ROUND('LID_LIQUIDACIONES'!L19,0),LEN(TEXT(INT(ABS('LID_LIQUIDACIONES'!L19)),"0"))&gt;12),TRUE)),1,0)</f>
        <v/>
      </c>
      <c r="M19">
        <f>IF(AND('LID_LIQUIDACIONES'!M19&lt;&gt;"",COUNTIF(CL_CAT_MOTIVO_RET,'LID_LIQUIDACIONES'!M19)=0),1,0)</f>
        <v/>
      </c>
      <c r="N19">
        <f>IF(AND('LID_LIQUIDACIONES'!N19&lt;&gt;"",LEN('LID_LIQUIDACIONES'!N19)&gt;50),1,0)</f>
        <v/>
      </c>
      <c r="O19">
        <f>IF(AND('LID_LIQUIDACIONES'!O19&lt;&gt;"",COUNTIF(CL_CARACT_LIQ,'LID_LIQUIDACIONES'!O19)=0),1,0)</f>
        <v/>
      </c>
      <c r="P19">
        <f>IF(AND('LID_LIQUIDACIONES'!P19&lt;&gt;"",NOT(ISNUMBER('LID_LIQUIDACIONES'!P19))),1,0)</f>
        <v/>
      </c>
    </row>
    <row r="20">
      <c r="A20">
        <f>IF(AND('LID_LIQUIDACIONES'!A20&lt;&gt;"",NOT(ISNUMBER('LID_LIQUIDACIONES'!A20))),1,0)</f>
        <v/>
      </c>
      <c r="B20">
        <f>IF(AND('LID_LIQUIDACIONES'!B20&lt;&gt;"",LEN('LID_LIQUIDACIONES'!B20)&gt;5),1,0)</f>
        <v/>
      </c>
      <c r="C20">
        <f>IF(AND('LID_LIQUIDACIONES'!C20&lt;&gt;"",COUNTIF(CL_TIPO_VALOR,'LID_LIQUIDACIONES'!C20)=0),1,0)</f>
        <v/>
      </c>
      <c r="D20">
        <f>IF(AND('LID_LIQUIDACIONES'!D20&lt;&gt;"",COUNTIF(CL_TIPO_OBLIGACI_N,'LID_LIQUIDACIONES'!D20)=0),1,0)</f>
        <v/>
      </c>
      <c r="E20">
        <f>IF(AND('LID_LIQUIDACIONES'!E20&lt;&gt;"",IF(ISNUMBER('LID_LIQUIDACIONES'!E20),OR('LID_LIQUIDACIONES'!E20&lt;&gt;ROUND('LID_LIQUIDACIONES'!E20,0),LEN(TEXT(INT(ABS('LID_LIQUIDACIONES'!E20)),"0"))&gt;12),TRUE)),1,0)</f>
        <v/>
      </c>
      <c r="F20">
        <f>IF(AND('LID_LIQUIDACIONES'!F20&lt;&gt;"",OR(LEN('LID_LIQUIDACIONES'!F20)&gt;3,COUNTIF(CL_MONEDA,'LID_LIQUIDACIONES'!F20)=0)),1,0)</f>
        <v/>
      </c>
      <c r="G20">
        <f>IF(AND('LID_LIQUIDACIONES'!G20&lt;&gt;"",COUNTIF(CL_ID_PAGOS,'LID_LIQUIDACIONES'!G20)=0),1,0)</f>
        <v/>
      </c>
      <c r="H20">
        <f>IF(AND('LID_LIQUIDACIONES'!H20&lt;&gt;"",COUNTIF(CL_FLAG_HORARIO,'LID_LIQUIDACIONES'!H20)=0),1,0)</f>
        <v/>
      </c>
      <c r="I20">
        <f>IF(AND('LID_LIQUIDACIONES'!I20&lt;&gt;"",COUNTIF(CL_CAT_ID_PAGOS_RET,'LID_LIQUIDACIONES'!I20)=0),1,0)</f>
        <v/>
      </c>
      <c r="J20">
        <f>IF(AND('LID_LIQUIDACIONES'!J20&lt;&gt;"",NOT(ISNUMBER('LID_LIQUIDACIONES'!J20))),1,0)</f>
        <v/>
      </c>
      <c r="K20">
        <f>IF(AND('LID_LIQUIDACIONES'!K20&lt;&gt;"",LEN('LID_LIQUIDACIONES'!K20)&gt;5),1,0)</f>
        <v/>
      </c>
      <c r="L20">
        <f>IF(AND('LID_LIQUIDACIONES'!L20&lt;&gt;"",IF(ISNUMBER('LID_LIQUIDACIONES'!L20),OR('LID_LIQUIDACIONES'!L20&lt;&gt;ROUND('LID_LIQUIDACIONES'!L20,0),LEN(TEXT(INT(ABS('LID_LIQUIDACIONES'!L20)),"0"))&gt;12),TRUE)),1,0)</f>
        <v/>
      </c>
      <c r="M20">
        <f>IF(AND('LID_LIQUIDACIONES'!M20&lt;&gt;"",COUNTIF(CL_CAT_MOTIVO_RET,'LID_LIQUIDACIONES'!M20)=0),1,0)</f>
        <v/>
      </c>
      <c r="N20">
        <f>IF(AND('LID_LIQUIDACIONES'!N20&lt;&gt;"",LEN('LID_LIQUIDACIONES'!N20)&gt;50),1,0)</f>
        <v/>
      </c>
      <c r="O20">
        <f>IF(AND('LID_LIQUIDACIONES'!O20&lt;&gt;"",COUNTIF(CL_CARACT_LIQ,'LID_LIQUIDACIONES'!O20)=0),1,0)</f>
        <v/>
      </c>
      <c r="P20">
        <f>IF(AND('LID_LIQUIDACIONES'!P20&lt;&gt;"",NOT(ISNUMBER('LID_LIQUIDACIONES'!P20))),1,0)</f>
        <v/>
      </c>
    </row>
    <row r="21">
      <c r="A21">
        <f>IF(AND('LID_LIQUIDACIONES'!A21&lt;&gt;"",NOT(ISNUMBER('LID_LIQUIDACIONES'!A21))),1,0)</f>
        <v/>
      </c>
      <c r="B21">
        <f>IF(AND('LID_LIQUIDACIONES'!B21&lt;&gt;"",LEN('LID_LIQUIDACIONES'!B21)&gt;5),1,0)</f>
        <v/>
      </c>
      <c r="C21">
        <f>IF(AND('LID_LIQUIDACIONES'!C21&lt;&gt;"",COUNTIF(CL_TIPO_VALOR,'LID_LIQUIDACIONES'!C21)=0),1,0)</f>
        <v/>
      </c>
      <c r="D21">
        <f>IF(AND('LID_LIQUIDACIONES'!D21&lt;&gt;"",COUNTIF(CL_TIPO_OBLIGACI_N,'LID_LIQUIDACIONES'!D21)=0),1,0)</f>
        <v/>
      </c>
      <c r="E21">
        <f>IF(AND('LID_LIQUIDACIONES'!E21&lt;&gt;"",IF(ISNUMBER('LID_LIQUIDACIONES'!E21),OR('LID_LIQUIDACIONES'!E21&lt;&gt;ROUND('LID_LIQUIDACIONES'!E21,0),LEN(TEXT(INT(ABS('LID_LIQUIDACIONES'!E21)),"0"))&gt;12),TRUE)),1,0)</f>
        <v/>
      </c>
      <c r="F21">
        <f>IF(AND('LID_LIQUIDACIONES'!F21&lt;&gt;"",OR(LEN('LID_LIQUIDACIONES'!F21)&gt;3,COUNTIF(CL_MONEDA,'LID_LIQUIDACIONES'!F21)=0)),1,0)</f>
        <v/>
      </c>
      <c r="G21">
        <f>IF(AND('LID_LIQUIDACIONES'!G21&lt;&gt;"",COUNTIF(CL_ID_PAGOS,'LID_LIQUIDACIONES'!G21)=0),1,0)</f>
        <v/>
      </c>
      <c r="H21">
        <f>IF(AND('LID_LIQUIDACIONES'!H21&lt;&gt;"",COUNTIF(CL_FLAG_HORARIO,'LID_LIQUIDACIONES'!H21)=0),1,0)</f>
        <v/>
      </c>
      <c r="I21">
        <f>IF(AND('LID_LIQUIDACIONES'!I21&lt;&gt;"",COUNTIF(CL_CAT_ID_PAGOS_RET,'LID_LIQUIDACIONES'!I21)=0),1,0)</f>
        <v/>
      </c>
      <c r="J21">
        <f>IF(AND('LID_LIQUIDACIONES'!J21&lt;&gt;"",NOT(ISNUMBER('LID_LIQUIDACIONES'!J21))),1,0)</f>
        <v/>
      </c>
      <c r="K21">
        <f>IF(AND('LID_LIQUIDACIONES'!K21&lt;&gt;"",LEN('LID_LIQUIDACIONES'!K21)&gt;5),1,0)</f>
        <v/>
      </c>
      <c r="L21">
        <f>IF(AND('LID_LIQUIDACIONES'!L21&lt;&gt;"",IF(ISNUMBER('LID_LIQUIDACIONES'!L21),OR('LID_LIQUIDACIONES'!L21&lt;&gt;ROUND('LID_LIQUIDACIONES'!L21,0),LEN(TEXT(INT(ABS('LID_LIQUIDACIONES'!L21)),"0"))&gt;12),TRUE)),1,0)</f>
        <v/>
      </c>
      <c r="M21">
        <f>IF(AND('LID_LIQUIDACIONES'!M21&lt;&gt;"",COUNTIF(CL_CAT_MOTIVO_RET,'LID_LIQUIDACIONES'!M21)=0),1,0)</f>
        <v/>
      </c>
      <c r="N21">
        <f>IF(AND('LID_LIQUIDACIONES'!N21&lt;&gt;"",LEN('LID_LIQUIDACIONES'!N21)&gt;50),1,0)</f>
        <v/>
      </c>
      <c r="O21">
        <f>IF(AND('LID_LIQUIDACIONES'!O21&lt;&gt;"",COUNTIF(CL_CARACT_LIQ,'LID_LIQUIDACIONES'!O21)=0),1,0)</f>
        <v/>
      </c>
      <c r="P21">
        <f>IF(AND('LID_LIQUIDACIONES'!P21&lt;&gt;"",NOT(ISNUMBER('LID_LIQUIDACIONES'!P21))),1,0)</f>
        <v/>
      </c>
    </row>
    <row r="22">
      <c r="A22">
        <f>IF(AND('LID_LIQUIDACIONES'!A22&lt;&gt;"",NOT(ISNUMBER('LID_LIQUIDACIONES'!A22))),1,0)</f>
        <v/>
      </c>
      <c r="B22">
        <f>IF(AND('LID_LIQUIDACIONES'!B22&lt;&gt;"",LEN('LID_LIQUIDACIONES'!B22)&gt;5),1,0)</f>
        <v/>
      </c>
      <c r="C22">
        <f>IF(AND('LID_LIQUIDACIONES'!C22&lt;&gt;"",COUNTIF(CL_TIPO_VALOR,'LID_LIQUIDACIONES'!C22)=0),1,0)</f>
        <v/>
      </c>
      <c r="D22">
        <f>IF(AND('LID_LIQUIDACIONES'!D22&lt;&gt;"",COUNTIF(CL_TIPO_OBLIGACI_N,'LID_LIQUIDACIONES'!D22)=0),1,0)</f>
        <v/>
      </c>
      <c r="E22">
        <f>IF(AND('LID_LIQUIDACIONES'!E22&lt;&gt;"",IF(ISNUMBER('LID_LIQUIDACIONES'!E22),OR('LID_LIQUIDACIONES'!E22&lt;&gt;ROUND('LID_LIQUIDACIONES'!E22,0),LEN(TEXT(INT(ABS('LID_LIQUIDACIONES'!E22)),"0"))&gt;12),TRUE)),1,0)</f>
        <v/>
      </c>
      <c r="F22">
        <f>IF(AND('LID_LIQUIDACIONES'!F22&lt;&gt;"",OR(LEN('LID_LIQUIDACIONES'!F22)&gt;3,COUNTIF(CL_MONEDA,'LID_LIQUIDACIONES'!F22)=0)),1,0)</f>
        <v/>
      </c>
      <c r="G22">
        <f>IF(AND('LID_LIQUIDACIONES'!G22&lt;&gt;"",COUNTIF(CL_ID_PAGOS,'LID_LIQUIDACIONES'!G22)=0),1,0)</f>
        <v/>
      </c>
      <c r="H22">
        <f>IF(AND('LID_LIQUIDACIONES'!H22&lt;&gt;"",COUNTIF(CL_FLAG_HORARIO,'LID_LIQUIDACIONES'!H22)=0),1,0)</f>
        <v/>
      </c>
      <c r="I22">
        <f>IF(AND('LID_LIQUIDACIONES'!I22&lt;&gt;"",COUNTIF(CL_CAT_ID_PAGOS_RET,'LID_LIQUIDACIONES'!I22)=0),1,0)</f>
        <v/>
      </c>
      <c r="J22">
        <f>IF(AND('LID_LIQUIDACIONES'!J22&lt;&gt;"",NOT(ISNUMBER('LID_LIQUIDACIONES'!J22))),1,0)</f>
        <v/>
      </c>
      <c r="K22">
        <f>IF(AND('LID_LIQUIDACIONES'!K22&lt;&gt;"",LEN('LID_LIQUIDACIONES'!K22)&gt;5),1,0)</f>
        <v/>
      </c>
      <c r="L22">
        <f>IF(AND('LID_LIQUIDACIONES'!L22&lt;&gt;"",IF(ISNUMBER('LID_LIQUIDACIONES'!L22),OR('LID_LIQUIDACIONES'!L22&lt;&gt;ROUND('LID_LIQUIDACIONES'!L22,0),LEN(TEXT(INT(ABS('LID_LIQUIDACIONES'!L22)),"0"))&gt;12),TRUE)),1,0)</f>
        <v/>
      </c>
      <c r="M22">
        <f>IF(AND('LID_LIQUIDACIONES'!M22&lt;&gt;"",COUNTIF(CL_CAT_MOTIVO_RET,'LID_LIQUIDACIONES'!M22)=0),1,0)</f>
        <v/>
      </c>
      <c r="N22">
        <f>IF(AND('LID_LIQUIDACIONES'!N22&lt;&gt;"",LEN('LID_LIQUIDACIONES'!N22)&gt;50),1,0)</f>
        <v/>
      </c>
      <c r="O22">
        <f>IF(AND('LID_LIQUIDACIONES'!O22&lt;&gt;"",COUNTIF(CL_CARACT_LIQ,'LID_LIQUIDACIONES'!O22)=0),1,0)</f>
        <v/>
      </c>
      <c r="P22">
        <f>IF(AND('LID_LIQUIDACIONES'!P22&lt;&gt;"",NOT(ISNUMBER('LID_LIQUIDACIONES'!P22))),1,0)</f>
        <v/>
      </c>
    </row>
    <row r="23">
      <c r="A23">
        <f>IF(AND('LID_LIQUIDACIONES'!A23&lt;&gt;"",NOT(ISNUMBER('LID_LIQUIDACIONES'!A23))),1,0)</f>
        <v/>
      </c>
      <c r="B23">
        <f>IF(AND('LID_LIQUIDACIONES'!B23&lt;&gt;"",LEN('LID_LIQUIDACIONES'!B23)&gt;5),1,0)</f>
        <v/>
      </c>
      <c r="C23">
        <f>IF(AND('LID_LIQUIDACIONES'!C23&lt;&gt;"",COUNTIF(CL_TIPO_VALOR,'LID_LIQUIDACIONES'!C23)=0),1,0)</f>
        <v/>
      </c>
      <c r="D23">
        <f>IF(AND('LID_LIQUIDACIONES'!D23&lt;&gt;"",COUNTIF(CL_TIPO_OBLIGACI_N,'LID_LIQUIDACIONES'!D23)=0),1,0)</f>
        <v/>
      </c>
      <c r="E23">
        <f>IF(AND('LID_LIQUIDACIONES'!E23&lt;&gt;"",IF(ISNUMBER('LID_LIQUIDACIONES'!E23),OR('LID_LIQUIDACIONES'!E23&lt;&gt;ROUND('LID_LIQUIDACIONES'!E23,0),LEN(TEXT(INT(ABS('LID_LIQUIDACIONES'!E23)),"0"))&gt;12),TRUE)),1,0)</f>
        <v/>
      </c>
      <c r="F23">
        <f>IF(AND('LID_LIQUIDACIONES'!F23&lt;&gt;"",OR(LEN('LID_LIQUIDACIONES'!F23)&gt;3,COUNTIF(CL_MONEDA,'LID_LIQUIDACIONES'!F23)=0)),1,0)</f>
        <v/>
      </c>
      <c r="G23">
        <f>IF(AND('LID_LIQUIDACIONES'!G23&lt;&gt;"",COUNTIF(CL_ID_PAGOS,'LID_LIQUIDACIONES'!G23)=0),1,0)</f>
        <v/>
      </c>
      <c r="H23">
        <f>IF(AND('LID_LIQUIDACIONES'!H23&lt;&gt;"",COUNTIF(CL_FLAG_HORARIO,'LID_LIQUIDACIONES'!H23)=0),1,0)</f>
        <v/>
      </c>
      <c r="I23">
        <f>IF(AND('LID_LIQUIDACIONES'!I23&lt;&gt;"",COUNTIF(CL_CAT_ID_PAGOS_RET,'LID_LIQUIDACIONES'!I23)=0),1,0)</f>
        <v/>
      </c>
      <c r="J23">
        <f>IF(AND('LID_LIQUIDACIONES'!J23&lt;&gt;"",NOT(ISNUMBER('LID_LIQUIDACIONES'!J23))),1,0)</f>
        <v/>
      </c>
      <c r="K23">
        <f>IF(AND('LID_LIQUIDACIONES'!K23&lt;&gt;"",LEN('LID_LIQUIDACIONES'!K23)&gt;5),1,0)</f>
        <v/>
      </c>
      <c r="L23">
        <f>IF(AND('LID_LIQUIDACIONES'!L23&lt;&gt;"",IF(ISNUMBER('LID_LIQUIDACIONES'!L23),OR('LID_LIQUIDACIONES'!L23&lt;&gt;ROUND('LID_LIQUIDACIONES'!L23,0),LEN(TEXT(INT(ABS('LID_LIQUIDACIONES'!L23)),"0"))&gt;12),TRUE)),1,0)</f>
        <v/>
      </c>
      <c r="M23">
        <f>IF(AND('LID_LIQUIDACIONES'!M23&lt;&gt;"",COUNTIF(CL_CAT_MOTIVO_RET,'LID_LIQUIDACIONES'!M23)=0),1,0)</f>
        <v/>
      </c>
      <c r="N23">
        <f>IF(AND('LID_LIQUIDACIONES'!N23&lt;&gt;"",LEN('LID_LIQUIDACIONES'!N23)&gt;50),1,0)</f>
        <v/>
      </c>
      <c r="O23">
        <f>IF(AND('LID_LIQUIDACIONES'!O23&lt;&gt;"",COUNTIF(CL_CARACT_LIQ,'LID_LIQUIDACIONES'!O23)=0),1,0)</f>
        <v/>
      </c>
      <c r="P23">
        <f>IF(AND('LID_LIQUIDACIONES'!P23&lt;&gt;"",NOT(ISNUMBER('LID_LIQUIDACIONES'!P23))),1,0)</f>
        <v/>
      </c>
    </row>
    <row r="24">
      <c r="A24">
        <f>IF(AND('LID_LIQUIDACIONES'!A24&lt;&gt;"",NOT(ISNUMBER('LID_LIQUIDACIONES'!A24))),1,0)</f>
        <v/>
      </c>
      <c r="B24">
        <f>IF(AND('LID_LIQUIDACIONES'!B24&lt;&gt;"",LEN('LID_LIQUIDACIONES'!B24)&gt;5),1,0)</f>
        <v/>
      </c>
      <c r="C24">
        <f>IF(AND('LID_LIQUIDACIONES'!C24&lt;&gt;"",COUNTIF(CL_TIPO_VALOR,'LID_LIQUIDACIONES'!C24)=0),1,0)</f>
        <v/>
      </c>
      <c r="D24">
        <f>IF(AND('LID_LIQUIDACIONES'!D24&lt;&gt;"",COUNTIF(CL_TIPO_OBLIGACI_N,'LID_LIQUIDACIONES'!D24)=0),1,0)</f>
        <v/>
      </c>
      <c r="E24">
        <f>IF(AND('LID_LIQUIDACIONES'!E24&lt;&gt;"",IF(ISNUMBER('LID_LIQUIDACIONES'!E24),OR('LID_LIQUIDACIONES'!E24&lt;&gt;ROUND('LID_LIQUIDACIONES'!E24,0),LEN(TEXT(INT(ABS('LID_LIQUIDACIONES'!E24)),"0"))&gt;12),TRUE)),1,0)</f>
        <v/>
      </c>
      <c r="F24">
        <f>IF(AND('LID_LIQUIDACIONES'!F24&lt;&gt;"",OR(LEN('LID_LIQUIDACIONES'!F24)&gt;3,COUNTIF(CL_MONEDA,'LID_LIQUIDACIONES'!F24)=0)),1,0)</f>
        <v/>
      </c>
      <c r="G24">
        <f>IF(AND('LID_LIQUIDACIONES'!G24&lt;&gt;"",COUNTIF(CL_ID_PAGOS,'LID_LIQUIDACIONES'!G24)=0),1,0)</f>
        <v/>
      </c>
      <c r="H24">
        <f>IF(AND('LID_LIQUIDACIONES'!H24&lt;&gt;"",COUNTIF(CL_FLAG_HORARIO,'LID_LIQUIDACIONES'!H24)=0),1,0)</f>
        <v/>
      </c>
      <c r="I24">
        <f>IF(AND('LID_LIQUIDACIONES'!I24&lt;&gt;"",COUNTIF(CL_CAT_ID_PAGOS_RET,'LID_LIQUIDACIONES'!I24)=0),1,0)</f>
        <v/>
      </c>
      <c r="J24">
        <f>IF(AND('LID_LIQUIDACIONES'!J24&lt;&gt;"",NOT(ISNUMBER('LID_LIQUIDACIONES'!J24))),1,0)</f>
        <v/>
      </c>
      <c r="K24">
        <f>IF(AND('LID_LIQUIDACIONES'!K24&lt;&gt;"",LEN('LID_LIQUIDACIONES'!K24)&gt;5),1,0)</f>
        <v/>
      </c>
      <c r="L24">
        <f>IF(AND('LID_LIQUIDACIONES'!L24&lt;&gt;"",IF(ISNUMBER('LID_LIQUIDACIONES'!L24),OR('LID_LIQUIDACIONES'!L24&lt;&gt;ROUND('LID_LIQUIDACIONES'!L24,0),LEN(TEXT(INT(ABS('LID_LIQUIDACIONES'!L24)),"0"))&gt;12),TRUE)),1,0)</f>
        <v/>
      </c>
      <c r="M24">
        <f>IF(AND('LID_LIQUIDACIONES'!M24&lt;&gt;"",COUNTIF(CL_CAT_MOTIVO_RET,'LID_LIQUIDACIONES'!M24)=0),1,0)</f>
        <v/>
      </c>
      <c r="N24">
        <f>IF(AND('LID_LIQUIDACIONES'!N24&lt;&gt;"",LEN('LID_LIQUIDACIONES'!N24)&gt;50),1,0)</f>
        <v/>
      </c>
      <c r="O24">
        <f>IF(AND('LID_LIQUIDACIONES'!O24&lt;&gt;"",COUNTIF(CL_CARACT_LIQ,'LID_LIQUIDACIONES'!O24)=0),1,0)</f>
        <v/>
      </c>
      <c r="P24">
        <f>IF(AND('LID_LIQUIDACIONES'!P24&lt;&gt;"",NOT(ISNUMBER('LID_LIQUIDACIONES'!P24))),1,0)</f>
        <v/>
      </c>
    </row>
    <row r="25">
      <c r="A25">
        <f>IF(AND('LID_LIQUIDACIONES'!A25&lt;&gt;"",NOT(ISNUMBER('LID_LIQUIDACIONES'!A25))),1,0)</f>
        <v/>
      </c>
      <c r="B25">
        <f>IF(AND('LID_LIQUIDACIONES'!B25&lt;&gt;"",LEN('LID_LIQUIDACIONES'!B25)&gt;5),1,0)</f>
        <v/>
      </c>
      <c r="C25">
        <f>IF(AND('LID_LIQUIDACIONES'!C25&lt;&gt;"",COUNTIF(CL_TIPO_VALOR,'LID_LIQUIDACIONES'!C25)=0),1,0)</f>
        <v/>
      </c>
      <c r="D25">
        <f>IF(AND('LID_LIQUIDACIONES'!D25&lt;&gt;"",COUNTIF(CL_TIPO_OBLIGACI_N,'LID_LIQUIDACIONES'!D25)=0),1,0)</f>
        <v/>
      </c>
      <c r="E25">
        <f>IF(AND('LID_LIQUIDACIONES'!E25&lt;&gt;"",IF(ISNUMBER('LID_LIQUIDACIONES'!E25),OR('LID_LIQUIDACIONES'!E25&lt;&gt;ROUND('LID_LIQUIDACIONES'!E25,0),LEN(TEXT(INT(ABS('LID_LIQUIDACIONES'!E25)),"0"))&gt;12),TRUE)),1,0)</f>
        <v/>
      </c>
      <c r="F25">
        <f>IF(AND('LID_LIQUIDACIONES'!F25&lt;&gt;"",OR(LEN('LID_LIQUIDACIONES'!F25)&gt;3,COUNTIF(CL_MONEDA,'LID_LIQUIDACIONES'!F25)=0)),1,0)</f>
        <v/>
      </c>
      <c r="G25">
        <f>IF(AND('LID_LIQUIDACIONES'!G25&lt;&gt;"",COUNTIF(CL_ID_PAGOS,'LID_LIQUIDACIONES'!G25)=0),1,0)</f>
        <v/>
      </c>
      <c r="H25">
        <f>IF(AND('LID_LIQUIDACIONES'!H25&lt;&gt;"",COUNTIF(CL_FLAG_HORARIO,'LID_LIQUIDACIONES'!H25)=0),1,0)</f>
        <v/>
      </c>
      <c r="I25">
        <f>IF(AND('LID_LIQUIDACIONES'!I25&lt;&gt;"",COUNTIF(CL_CAT_ID_PAGOS_RET,'LID_LIQUIDACIONES'!I25)=0),1,0)</f>
        <v/>
      </c>
      <c r="J25">
        <f>IF(AND('LID_LIQUIDACIONES'!J25&lt;&gt;"",NOT(ISNUMBER('LID_LIQUIDACIONES'!J25))),1,0)</f>
        <v/>
      </c>
      <c r="K25">
        <f>IF(AND('LID_LIQUIDACIONES'!K25&lt;&gt;"",LEN('LID_LIQUIDACIONES'!K25)&gt;5),1,0)</f>
        <v/>
      </c>
      <c r="L25">
        <f>IF(AND('LID_LIQUIDACIONES'!L25&lt;&gt;"",IF(ISNUMBER('LID_LIQUIDACIONES'!L25),OR('LID_LIQUIDACIONES'!L25&lt;&gt;ROUND('LID_LIQUIDACIONES'!L25,0),LEN(TEXT(INT(ABS('LID_LIQUIDACIONES'!L25)),"0"))&gt;12),TRUE)),1,0)</f>
        <v/>
      </c>
      <c r="M25">
        <f>IF(AND('LID_LIQUIDACIONES'!M25&lt;&gt;"",COUNTIF(CL_CAT_MOTIVO_RET,'LID_LIQUIDACIONES'!M25)=0),1,0)</f>
        <v/>
      </c>
      <c r="N25">
        <f>IF(AND('LID_LIQUIDACIONES'!N25&lt;&gt;"",LEN('LID_LIQUIDACIONES'!N25)&gt;50),1,0)</f>
        <v/>
      </c>
      <c r="O25">
        <f>IF(AND('LID_LIQUIDACIONES'!O25&lt;&gt;"",COUNTIF(CL_CARACT_LIQ,'LID_LIQUIDACIONES'!O25)=0),1,0)</f>
        <v/>
      </c>
      <c r="P25">
        <f>IF(AND('LID_LIQUIDACIONES'!P25&lt;&gt;"",NOT(ISNUMBER('LID_LIQUIDACIONES'!P25))),1,0)</f>
        <v/>
      </c>
    </row>
    <row r="26">
      <c r="A26">
        <f>IF(AND('LID_LIQUIDACIONES'!A26&lt;&gt;"",NOT(ISNUMBER('LID_LIQUIDACIONES'!A26))),1,0)</f>
        <v/>
      </c>
      <c r="B26">
        <f>IF(AND('LID_LIQUIDACIONES'!B26&lt;&gt;"",LEN('LID_LIQUIDACIONES'!B26)&gt;5),1,0)</f>
        <v/>
      </c>
      <c r="C26">
        <f>IF(AND('LID_LIQUIDACIONES'!C26&lt;&gt;"",COUNTIF(CL_TIPO_VALOR,'LID_LIQUIDACIONES'!C26)=0),1,0)</f>
        <v/>
      </c>
      <c r="D26">
        <f>IF(AND('LID_LIQUIDACIONES'!D26&lt;&gt;"",COUNTIF(CL_TIPO_OBLIGACI_N,'LID_LIQUIDACIONES'!D26)=0),1,0)</f>
        <v/>
      </c>
      <c r="E26">
        <f>IF(AND('LID_LIQUIDACIONES'!E26&lt;&gt;"",IF(ISNUMBER('LID_LIQUIDACIONES'!E26),OR('LID_LIQUIDACIONES'!E26&lt;&gt;ROUND('LID_LIQUIDACIONES'!E26,0),LEN(TEXT(INT(ABS('LID_LIQUIDACIONES'!E26)),"0"))&gt;12),TRUE)),1,0)</f>
        <v/>
      </c>
      <c r="F26">
        <f>IF(AND('LID_LIQUIDACIONES'!F26&lt;&gt;"",OR(LEN('LID_LIQUIDACIONES'!F26)&gt;3,COUNTIF(CL_MONEDA,'LID_LIQUIDACIONES'!F26)=0)),1,0)</f>
        <v/>
      </c>
      <c r="G26">
        <f>IF(AND('LID_LIQUIDACIONES'!G26&lt;&gt;"",COUNTIF(CL_ID_PAGOS,'LID_LIQUIDACIONES'!G26)=0),1,0)</f>
        <v/>
      </c>
      <c r="H26">
        <f>IF(AND('LID_LIQUIDACIONES'!H26&lt;&gt;"",COUNTIF(CL_FLAG_HORARIO,'LID_LIQUIDACIONES'!H26)=0),1,0)</f>
        <v/>
      </c>
      <c r="I26">
        <f>IF(AND('LID_LIQUIDACIONES'!I26&lt;&gt;"",COUNTIF(CL_CAT_ID_PAGOS_RET,'LID_LIQUIDACIONES'!I26)=0),1,0)</f>
        <v/>
      </c>
      <c r="J26">
        <f>IF(AND('LID_LIQUIDACIONES'!J26&lt;&gt;"",NOT(ISNUMBER('LID_LIQUIDACIONES'!J26))),1,0)</f>
        <v/>
      </c>
      <c r="K26">
        <f>IF(AND('LID_LIQUIDACIONES'!K26&lt;&gt;"",LEN('LID_LIQUIDACIONES'!K26)&gt;5),1,0)</f>
        <v/>
      </c>
      <c r="L26">
        <f>IF(AND('LID_LIQUIDACIONES'!L26&lt;&gt;"",IF(ISNUMBER('LID_LIQUIDACIONES'!L26),OR('LID_LIQUIDACIONES'!L26&lt;&gt;ROUND('LID_LIQUIDACIONES'!L26,0),LEN(TEXT(INT(ABS('LID_LIQUIDACIONES'!L26)),"0"))&gt;12),TRUE)),1,0)</f>
        <v/>
      </c>
      <c r="M26">
        <f>IF(AND('LID_LIQUIDACIONES'!M26&lt;&gt;"",COUNTIF(CL_CAT_MOTIVO_RET,'LID_LIQUIDACIONES'!M26)=0),1,0)</f>
        <v/>
      </c>
      <c r="N26">
        <f>IF(AND('LID_LIQUIDACIONES'!N26&lt;&gt;"",LEN('LID_LIQUIDACIONES'!N26)&gt;50),1,0)</f>
        <v/>
      </c>
      <c r="O26">
        <f>IF(AND('LID_LIQUIDACIONES'!O26&lt;&gt;"",COUNTIF(CL_CARACT_LIQ,'LID_LIQUIDACIONES'!O26)=0),1,0)</f>
        <v/>
      </c>
      <c r="P26">
        <f>IF(AND('LID_LIQUIDACIONES'!P26&lt;&gt;"",NOT(ISNUMBER('LID_LIQUIDACIONES'!P26))),1,0)</f>
        <v/>
      </c>
    </row>
    <row r="27">
      <c r="A27">
        <f>IF(AND('LID_LIQUIDACIONES'!A27&lt;&gt;"",NOT(ISNUMBER('LID_LIQUIDACIONES'!A27))),1,0)</f>
        <v/>
      </c>
      <c r="B27">
        <f>IF(AND('LID_LIQUIDACIONES'!B27&lt;&gt;"",LEN('LID_LIQUIDACIONES'!B27)&gt;5),1,0)</f>
        <v/>
      </c>
      <c r="C27">
        <f>IF(AND('LID_LIQUIDACIONES'!C27&lt;&gt;"",COUNTIF(CL_TIPO_VALOR,'LID_LIQUIDACIONES'!C27)=0),1,0)</f>
        <v/>
      </c>
      <c r="D27">
        <f>IF(AND('LID_LIQUIDACIONES'!D27&lt;&gt;"",COUNTIF(CL_TIPO_OBLIGACI_N,'LID_LIQUIDACIONES'!D27)=0),1,0)</f>
        <v/>
      </c>
      <c r="E27">
        <f>IF(AND('LID_LIQUIDACIONES'!E27&lt;&gt;"",IF(ISNUMBER('LID_LIQUIDACIONES'!E27),OR('LID_LIQUIDACIONES'!E27&lt;&gt;ROUND('LID_LIQUIDACIONES'!E27,0),LEN(TEXT(INT(ABS('LID_LIQUIDACIONES'!E27)),"0"))&gt;12),TRUE)),1,0)</f>
        <v/>
      </c>
      <c r="F27">
        <f>IF(AND('LID_LIQUIDACIONES'!F27&lt;&gt;"",OR(LEN('LID_LIQUIDACIONES'!F27)&gt;3,COUNTIF(CL_MONEDA,'LID_LIQUIDACIONES'!F27)=0)),1,0)</f>
        <v/>
      </c>
      <c r="G27">
        <f>IF(AND('LID_LIQUIDACIONES'!G27&lt;&gt;"",COUNTIF(CL_ID_PAGOS,'LID_LIQUIDACIONES'!G27)=0),1,0)</f>
        <v/>
      </c>
      <c r="H27">
        <f>IF(AND('LID_LIQUIDACIONES'!H27&lt;&gt;"",COUNTIF(CL_FLAG_HORARIO,'LID_LIQUIDACIONES'!H27)=0),1,0)</f>
        <v/>
      </c>
      <c r="I27">
        <f>IF(AND('LID_LIQUIDACIONES'!I27&lt;&gt;"",COUNTIF(CL_CAT_ID_PAGOS_RET,'LID_LIQUIDACIONES'!I27)=0),1,0)</f>
        <v/>
      </c>
      <c r="J27">
        <f>IF(AND('LID_LIQUIDACIONES'!J27&lt;&gt;"",NOT(ISNUMBER('LID_LIQUIDACIONES'!J27))),1,0)</f>
        <v/>
      </c>
      <c r="K27">
        <f>IF(AND('LID_LIQUIDACIONES'!K27&lt;&gt;"",LEN('LID_LIQUIDACIONES'!K27)&gt;5),1,0)</f>
        <v/>
      </c>
      <c r="L27">
        <f>IF(AND('LID_LIQUIDACIONES'!L27&lt;&gt;"",IF(ISNUMBER('LID_LIQUIDACIONES'!L27),OR('LID_LIQUIDACIONES'!L27&lt;&gt;ROUND('LID_LIQUIDACIONES'!L27,0),LEN(TEXT(INT(ABS('LID_LIQUIDACIONES'!L27)),"0"))&gt;12),TRUE)),1,0)</f>
        <v/>
      </c>
      <c r="M27">
        <f>IF(AND('LID_LIQUIDACIONES'!M27&lt;&gt;"",COUNTIF(CL_CAT_MOTIVO_RET,'LID_LIQUIDACIONES'!M27)=0),1,0)</f>
        <v/>
      </c>
      <c r="N27">
        <f>IF(AND('LID_LIQUIDACIONES'!N27&lt;&gt;"",LEN('LID_LIQUIDACIONES'!N27)&gt;50),1,0)</f>
        <v/>
      </c>
      <c r="O27">
        <f>IF(AND('LID_LIQUIDACIONES'!O27&lt;&gt;"",COUNTIF(CL_CARACT_LIQ,'LID_LIQUIDACIONES'!O27)=0),1,0)</f>
        <v/>
      </c>
      <c r="P27">
        <f>IF(AND('LID_LIQUIDACIONES'!P27&lt;&gt;"",NOT(ISNUMBER('LID_LIQUIDACIONES'!P27))),1,0)</f>
        <v/>
      </c>
    </row>
    <row r="28">
      <c r="A28">
        <f>IF(AND('LID_LIQUIDACIONES'!A28&lt;&gt;"",NOT(ISNUMBER('LID_LIQUIDACIONES'!A28))),1,0)</f>
        <v/>
      </c>
      <c r="B28">
        <f>IF(AND('LID_LIQUIDACIONES'!B28&lt;&gt;"",LEN('LID_LIQUIDACIONES'!B28)&gt;5),1,0)</f>
        <v/>
      </c>
      <c r="C28">
        <f>IF(AND('LID_LIQUIDACIONES'!C28&lt;&gt;"",COUNTIF(CL_TIPO_VALOR,'LID_LIQUIDACIONES'!C28)=0),1,0)</f>
        <v/>
      </c>
      <c r="D28">
        <f>IF(AND('LID_LIQUIDACIONES'!D28&lt;&gt;"",COUNTIF(CL_TIPO_OBLIGACI_N,'LID_LIQUIDACIONES'!D28)=0),1,0)</f>
        <v/>
      </c>
      <c r="E28">
        <f>IF(AND('LID_LIQUIDACIONES'!E28&lt;&gt;"",IF(ISNUMBER('LID_LIQUIDACIONES'!E28),OR('LID_LIQUIDACIONES'!E28&lt;&gt;ROUND('LID_LIQUIDACIONES'!E28,0),LEN(TEXT(INT(ABS('LID_LIQUIDACIONES'!E28)),"0"))&gt;12),TRUE)),1,0)</f>
        <v/>
      </c>
      <c r="F28">
        <f>IF(AND('LID_LIQUIDACIONES'!F28&lt;&gt;"",OR(LEN('LID_LIQUIDACIONES'!F28)&gt;3,COUNTIF(CL_MONEDA,'LID_LIQUIDACIONES'!F28)=0)),1,0)</f>
        <v/>
      </c>
      <c r="G28">
        <f>IF(AND('LID_LIQUIDACIONES'!G28&lt;&gt;"",COUNTIF(CL_ID_PAGOS,'LID_LIQUIDACIONES'!G28)=0),1,0)</f>
        <v/>
      </c>
      <c r="H28">
        <f>IF(AND('LID_LIQUIDACIONES'!H28&lt;&gt;"",COUNTIF(CL_FLAG_HORARIO,'LID_LIQUIDACIONES'!H28)=0),1,0)</f>
        <v/>
      </c>
      <c r="I28">
        <f>IF(AND('LID_LIQUIDACIONES'!I28&lt;&gt;"",COUNTIF(CL_CAT_ID_PAGOS_RET,'LID_LIQUIDACIONES'!I28)=0),1,0)</f>
        <v/>
      </c>
      <c r="J28">
        <f>IF(AND('LID_LIQUIDACIONES'!J28&lt;&gt;"",NOT(ISNUMBER('LID_LIQUIDACIONES'!J28))),1,0)</f>
        <v/>
      </c>
      <c r="K28">
        <f>IF(AND('LID_LIQUIDACIONES'!K28&lt;&gt;"",LEN('LID_LIQUIDACIONES'!K28)&gt;5),1,0)</f>
        <v/>
      </c>
      <c r="L28">
        <f>IF(AND('LID_LIQUIDACIONES'!L28&lt;&gt;"",IF(ISNUMBER('LID_LIQUIDACIONES'!L28),OR('LID_LIQUIDACIONES'!L28&lt;&gt;ROUND('LID_LIQUIDACIONES'!L28,0),LEN(TEXT(INT(ABS('LID_LIQUIDACIONES'!L28)),"0"))&gt;12),TRUE)),1,0)</f>
        <v/>
      </c>
      <c r="M28">
        <f>IF(AND('LID_LIQUIDACIONES'!M28&lt;&gt;"",COUNTIF(CL_CAT_MOTIVO_RET,'LID_LIQUIDACIONES'!M28)=0),1,0)</f>
        <v/>
      </c>
      <c r="N28">
        <f>IF(AND('LID_LIQUIDACIONES'!N28&lt;&gt;"",LEN('LID_LIQUIDACIONES'!N28)&gt;50),1,0)</f>
        <v/>
      </c>
      <c r="O28">
        <f>IF(AND('LID_LIQUIDACIONES'!O28&lt;&gt;"",COUNTIF(CL_CARACT_LIQ,'LID_LIQUIDACIONES'!O28)=0),1,0)</f>
        <v/>
      </c>
      <c r="P28">
        <f>IF(AND('LID_LIQUIDACIONES'!P28&lt;&gt;"",NOT(ISNUMBER('LID_LIQUIDACIONES'!P28))),1,0)</f>
        <v/>
      </c>
    </row>
    <row r="29">
      <c r="A29">
        <f>IF(AND('LID_LIQUIDACIONES'!A29&lt;&gt;"",NOT(ISNUMBER('LID_LIQUIDACIONES'!A29))),1,0)</f>
        <v/>
      </c>
      <c r="B29">
        <f>IF(AND('LID_LIQUIDACIONES'!B29&lt;&gt;"",LEN('LID_LIQUIDACIONES'!B29)&gt;5),1,0)</f>
        <v/>
      </c>
      <c r="C29">
        <f>IF(AND('LID_LIQUIDACIONES'!C29&lt;&gt;"",COUNTIF(CL_TIPO_VALOR,'LID_LIQUIDACIONES'!C29)=0),1,0)</f>
        <v/>
      </c>
      <c r="D29">
        <f>IF(AND('LID_LIQUIDACIONES'!D29&lt;&gt;"",COUNTIF(CL_TIPO_OBLIGACI_N,'LID_LIQUIDACIONES'!D29)=0),1,0)</f>
        <v/>
      </c>
      <c r="E29">
        <f>IF(AND('LID_LIQUIDACIONES'!E29&lt;&gt;"",IF(ISNUMBER('LID_LIQUIDACIONES'!E29),OR('LID_LIQUIDACIONES'!E29&lt;&gt;ROUND('LID_LIQUIDACIONES'!E29,0),LEN(TEXT(INT(ABS('LID_LIQUIDACIONES'!E29)),"0"))&gt;12),TRUE)),1,0)</f>
        <v/>
      </c>
      <c r="F29">
        <f>IF(AND('LID_LIQUIDACIONES'!F29&lt;&gt;"",OR(LEN('LID_LIQUIDACIONES'!F29)&gt;3,COUNTIF(CL_MONEDA,'LID_LIQUIDACIONES'!F29)=0)),1,0)</f>
        <v/>
      </c>
      <c r="G29">
        <f>IF(AND('LID_LIQUIDACIONES'!G29&lt;&gt;"",COUNTIF(CL_ID_PAGOS,'LID_LIQUIDACIONES'!G29)=0),1,0)</f>
        <v/>
      </c>
      <c r="H29">
        <f>IF(AND('LID_LIQUIDACIONES'!H29&lt;&gt;"",COUNTIF(CL_FLAG_HORARIO,'LID_LIQUIDACIONES'!H29)=0),1,0)</f>
        <v/>
      </c>
      <c r="I29">
        <f>IF(AND('LID_LIQUIDACIONES'!I29&lt;&gt;"",COUNTIF(CL_CAT_ID_PAGOS_RET,'LID_LIQUIDACIONES'!I29)=0),1,0)</f>
        <v/>
      </c>
      <c r="J29">
        <f>IF(AND('LID_LIQUIDACIONES'!J29&lt;&gt;"",NOT(ISNUMBER('LID_LIQUIDACIONES'!J29))),1,0)</f>
        <v/>
      </c>
      <c r="K29">
        <f>IF(AND('LID_LIQUIDACIONES'!K29&lt;&gt;"",LEN('LID_LIQUIDACIONES'!K29)&gt;5),1,0)</f>
        <v/>
      </c>
      <c r="L29">
        <f>IF(AND('LID_LIQUIDACIONES'!L29&lt;&gt;"",IF(ISNUMBER('LID_LIQUIDACIONES'!L29),OR('LID_LIQUIDACIONES'!L29&lt;&gt;ROUND('LID_LIQUIDACIONES'!L29,0),LEN(TEXT(INT(ABS('LID_LIQUIDACIONES'!L29)),"0"))&gt;12),TRUE)),1,0)</f>
        <v/>
      </c>
      <c r="M29">
        <f>IF(AND('LID_LIQUIDACIONES'!M29&lt;&gt;"",COUNTIF(CL_CAT_MOTIVO_RET,'LID_LIQUIDACIONES'!M29)=0),1,0)</f>
        <v/>
      </c>
      <c r="N29">
        <f>IF(AND('LID_LIQUIDACIONES'!N29&lt;&gt;"",LEN('LID_LIQUIDACIONES'!N29)&gt;50),1,0)</f>
        <v/>
      </c>
      <c r="O29">
        <f>IF(AND('LID_LIQUIDACIONES'!O29&lt;&gt;"",COUNTIF(CL_CARACT_LIQ,'LID_LIQUIDACIONES'!O29)=0),1,0)</f>
        <v/>
      </c>
      <c r="P29">
        <f>IF(AND('LID_LIQUIDACIONES'!P29&lt;&gt;"",NOT(ISNUMBER('LID_LIQUIDACIONES'!P29))),1,0)</f>
        <v/>
      </c>
    </row>
    <row r="30">
      <c r="A30">
        <f>IF(AND('LID_LIQUIDACIONES'!A30&lt;&gt;"",NOT(ISNUMBER('LID_LIQUIDACIONES'!A30))),1,0)</f>
        <v/>
      </c>
      <c r="B30">
        <f>IF(AND('LID_LIQUIDACIONES'!B30&lt;&gt;"",LEN('LID_LIQUIDACIONES'!B30)&gt;5),1,0)</f>
        <v/>
      </c>
      <c r="C30">
        <f>IF(AND('LID_LIQUIDACIONES'!C30&lt;&gt;"",COUNTIF(CL_TIPO_VALOR,'LID_LIQUIDACIONES'!C30)=0),1,0)</f>
        <v/>
      </c>
      <c r="D30">
        <f>IF(AND('LID_LIQUIDACIONES'!D30&lt;&gt;"",COUNTIF(CL_TIPO_OBLIGACI_N,'LID_LIQUIDACIONES'!D30)=0),1,0)</f>
        <v/>
      </c>
      <c r="E30">
        <f>IF(AND('LID_LIQUIDACIONES'!E30&lt;&gt;"",IF(ISNUMBER('LID_LIQUIDACIONES'!E30),OR('LID_LIQUIDACIONES'!E30&lt;&gt;ROUND('LID_LIQUIDACIONES'!E30,0),LEN(TEXT(INT(ABS('LID_LIQUIDACIONES'!E30)),"0"))&gt;12),TRUE)),1,0)</f>
        <v/>
      </c>
      <c r="F30">
        <f>IF(AND('LID_LIQUIDACIONES'!F30&lt;&gt;"",OR(LEN('LID_LIQUIDACIONES'!F30)&gt;3,COUNTIF(CL_MONEDA,'LID_LIQUIDACIONES'!F30)=0)),1,0)</f>
        <v/>
      </c>
      <c r="G30">
        <f>IF(AND('LID_LIQUIDACIONES'!G30&lt;&gt;"",COUNTIF(CL_ID_PAGOS,'LID_LIQUIDACIONES'!G30)=0),1,0)</f>
        <v/>
      </c>
      <c r="H30">
        <f>IF(AND('LID_LIQUIDACIONES'!H30&lt;&gt;"",COUNTIF(CL_FLAG_HORARIO,'LID_LIQUIDACIONES'!H30)=0),1,0)</f>
        <v/>
      </c>
      <c r="I30">
        <f>IF(AND('LID_LIQUIDACIONES'!I30&lt;&gt;"",COUNTIF(CL_CAT_ID_PAGOS_RET,'LID_LIQUIDACIONES'!I30)=0),1,0)</f>
        <v/>
      </c>
      <c r="J30">
        <f>IF(AND('LID_LIQUIDACIONES'!J30&lt;&gt;"",NOT(ISNUMBER('LID_LIQUIDACIONES'!J30))),1,0)</f>
        <v/>
      </c>
      <c r="K30">
        <f>IF(AND('LID_LIQUIDACIONES'!K30&lt;&gt;"",LEN('LID_LIQUIDACIONES'!K30)&gt;5),1,0)</f>
        <v/>
      </c>
      <c r="L30">
        <f>IF(AND('LID_LIQUIDACIONES'!L30&lt;&gt;"",IF(ISNUMBER('LID_LIQUIDACIONES'!L30),OR('LID_LIQUIDACIONES'!L30&lt;&gt;ROUND('LID_LIQUIDACIONES'!L30,0),LEN(TEXT(INT(ABS('LID_LIQUIDACIONES'!L30)),"0"))&gt;12),TRUE)),1,0)</f>
        <v/>
      </c>
      <c r="M30">
        <f>IF(AND('LID_LIQUIDACIONES'!M30&lt;&gt;"",COUNTIF(CL_CAT_MOTIVO_RET,'LID_LIQUIDACIONES'!M30)=0),1,0)</f>
        <v/>
      </c>
      <c r="N30">
        <f>IF(AND('LID_LIQUIDACIONES'!N30&lt;&gt;"",LEN('LID_LIQUIDACIONES'!N30)&gt;50),1,0)</f>
        <v/>
      </c>
      <c r="O30">
        <f>IF(AND('LID_LIQUIDACIONES'!O30&lt;&gt;"",COUNTIF(CL_CARACT_LIQ,'LID_LIQUIDACIONES'!O30)=0),1,0)</f>
        <v/>
      </c>
      <c r="P30">
        <f>IF(AND('LID_LIQUIDACIONES'!P30&lt;&gt;"",NOT(ISNUMBER('LID_LIQUIDACIONES'!P30))),1,0)</f>
        <v/>
      </c>
    </row>
    <row r="31">
      <c r="A31">
        <f>IF(AND('LID_LIQUIDACIONES'!A31&lt;&gt;"",NOT(ISNUMBER('LID_LIQUIDACIONES'!A31))),1,0)</f>
        <v/>
      </c>
      <c r="B31">
        <f>IF(AND('LID_LIQUIDACIONES'!B31&lt;&gt;"",LEN('LID_LIQUIDACIONES'!B31)&gt;5),1,0)</f>
        <v/>
      </c>
      <c r="C31">
        <f>IF(AND('LID_LIQUIDACIONES'!C31&lt;&gt;"",COUNTIF(CL_TIPO_VALOR,'LID_LIQUIDACIONES'!C31)=0),1,0)</f>
        <v/>
      </c>
      <c r="D31">
        <f>IF(AND('LID_LIQUIDACIONES'!D31&lt;&gt;"",COUNTIF(CL_TIPO_OBLIGACI_N,'LID_LIQUIDACIONES'!D31)=0),1,0)</f>
        <v/>
      </c>
      <c r="E31">
        <f>IF(AND('LID_LIQUIDACIONES'!E31&lt;&gt;"",IF(ISNUMBER('LID_LIQUIDACIONES'!E31),OR('LID_LIQUIDACIONES'!E31&lt;&gt;ROUND('LID_LIQUIDACIONES'!E31,0),LEN(TEXT(INT(ABS('LID_LIQUIDACIONES'!E31)),"0"))&gt;12),TRUE)),1,0)</f>
        <v/>
      </c>
      <c r="F31">
        <f>IF(AND('LID_LIQUIDACIONES'!F31&lt;&gt;"",OR(LEN('LID_LIQUIDACIONES'!F31)&gt;3,COUNTIF(CL_MONEDA,'LID_LIQUIDACIONES'!F31)=0)),1,0)</f>
        <v/>
      </c>
      <c r="G31">
        <f>IF(AND('LID_LIQUIDACIONES'!G31&lt;&gt;"",COUNTIF(CL_ID_PAGOS,'LID_LIQUIDACIONES'!G31)=0),1,0)</f>
        <v/>
      </c>
      <c r="H31">
        <f>IF(AND('LID_LIQUIDACIONES'!H31&lt;&gt;"",COUNTIF(CL_FLAG_HORARIO,'LID_LIQUIDACIONES'!H31)=0),1,0)</f>
        <v/>
      </c>
      <c r="I31">
        <f>IF(AND('LID_LIQUIDACIONES'!I31&lt;&gt;"",COUNTIF(CL_CAT_ID_PAGOS_RET,'LID_LIQUIDACIONES'!I31)=0),1,0)</f>
        <v/>
      </c>
      <c r="J31">
        <f>IF(AND('LID_LIQUIDACIONES'!J31&lt;&gt;"",NOT(ISNUMBER('LID_LIQUIDACIONES'!J31))),1,0)</f>
        <v/>
      </c>
      <c r="K31">
        <f>IF(AND('LID_LIQUIDACIONES'!K31&lt;&gt;"",LEN('LID_LIQUIDACIONES'!K31)&gt;5),1,0)</f>
        <v/>
      </c>
      <c r="L31">
        <f>IF(AND('LID_LIQUIDACIONES'!L31&lt;&gt;"",IF(ISNUMBER('LID_LIQUIDACIONES'!L31),OR('LID_LIQUIDACIONES'!L31&lt;&gt;ROUND('LID_LIQUIDACIONES'!L31,0),LEN(TEXT(INT(ABS('LID_LIQUIDACIONES'!L31)),"0"))&gt;12),TRUE)),1,0)</f>
        <v/>
      </c>
      <c r="M31">
        <f>IF(AND('LID_LIQUIDACIONES'!M31&lt;&gt;"",COUNTIF(CL_CAT_MOTIVO_RET,'LID_LIQUIDACIONES'!M31)=0),1,0)</f>
        <v/>
      </c>
      <c r="N31">
        <f>IF(AND('LID_LIQUIDACIONES'!N31&lt;&gt;"",LEN('LID_LIQUIDACIONES'!N31)&gt;50),1,0)</f>
        <v/>
      </c>
      <c r="O31">
        <f>IF(AND('LID_LIQUIDACIONES'!O31&lt;&gt;"",COUNTIF(CL_CARACT_LIQ,'LID_LIQUIDACIONES'!O31)=0),1,0)</f>
        <v/>
      </c>
      <c r="P31">
        <f>IF(AND('LID_LIQUIDACIONES'!P31&lt;&gt;"",NOT(ISNUMBER('LID_LIQUIDACIONES'!P31))),1,0)</f>
        <v/>
      </c>
    </row>
    <row r="32">
      <c r="A32">
        <f>IF(AND('LID_LIQUIDACIONES'!A32&lt;&gt;"",NOT(ISNUMBER('LID_LIQUIDACIONES'!A32))),1,0)</f>
        <v/>
      </c>
      <c r="B32">
        <f>IF(AND('LID_LIQUIDACIONES'!B32&lt;&gt;"",LEN('LID_LIQUIDACIONES'!B32)&gt;5),1,0)</f>
        <v/>
      </c>
      <c r="C32">
        <f>IF(AND('LID_LIQUIDACIONES'!C32&lt;&gt;"",COUNTIF(CL_TIPO_VALOR,'LID_LIQUIDACIONES'!C32)=0),1,0)</f>
        <v/>
      </c>
      <c r="D32">
        <f>IF(AND('LID_LIQUIDACIONES'!D32&lt;&gt;"",COUNTIF(CL_TIPO_OBLIGACI_N,'LID_LIQUIDACIONES'!D32)=0),1,0)</f>
        <v/>
      </c>
      <c r="E32">
        <f>IF(AND('LID_LIQUIDACIONES'!E32&lt;&gt;"",IF(ISNUMBER('LID_LIQUIDACIONES'!E32),OR('LID_LIQUIDACIONES'!E32&lt;&gt;ROUND('LID_LIQUIDACIONES'!E32,0),LEN(TEXT(INT(ABS('LID_LIQUIDACIONES'!E32)),"0"))&gt;12),TRUE)),1,0)</f>
        <v/>
      </c>
      <c r="F32">
        <f>IF(AND('LID_LIQUIDACIONES'!F32&lt;&gt;"",OR(LEN('LID_LIQUIDACIONES'!F32)&gt;3,COUNTIF(CL_MONEDA,'LID_LIQUIDACIONES'!F32)=0)),1,0)</f>
        <v/>
      </c>
      <c r="G32">
        <f>IF(AND('LID_LIQUIDACIONES'!G32&lt;&gt;"",COUNTIF(CL_ID_PAGOS,'LID_LIQUIDACIONES'!G32)=0),1,0)</f>
        <v/>
      </c>
      <c r="H32">
        <f>IF(AND('LID_LIQUIDACIONES'!H32&lt;&gt;"",COUNTIF(CL_FLAG_HORARIO,'LID_LIQUIDACIONES'!H32)=0),1,0)</f>
        <v/>
      </c>
      <c r="I32">
        <f>IF(AND('LID_LIQUIDACIONES'!I32&lt;&gt;"",COUNTIF(CL_CAT_ID_PAGOS_RET,'LID_LIQUIDACIONES'!I32)=0),1,0)</f>
        <v/>
      </c>
      <c r="J32">
        <f>IF(AND('LID_LIQUIDACIONES'!J32&lt;&gt;"",NOT(ISNUMBER('LID_LIQUIDACIONES'!J32))),1,0)</f>
        <v/>
      </c>
      <c r="K32">
        <f>IF(AND('LID_LIQUIDACIONES'!K32&lt;&gt;"",LEN('LID_LIQUIDACIONES'!K32)&gt;5),1,0)</f>
        <v/>
      </c>
      <c r="L32">
        <f>IF(AND('LID_LIQUIDACIONES'!L32&lt;&gt;"",IF(ISNUMBER('LID_LIQUIDACIONES'!L32),OR('LID_LIQUIDACIONES'!L32&lt;&gt;ROUND('LID_LIQUIDACIONES'!L32,0),LEN(TEXT(INT(ABS('LID_LIQUIDACIONES'!L32)),"0"))&gt;12),TRUE)),1,0)</f>
        <v/>
      </c>
      <c r="M32">
        <f>IF(AND('LID_LIQUIDACIONES'!M32&lt;&gt;"",COUNTIF(CL_CAT_MOTIVO_RET,'LID_LIQUIDACIONES'!M32)=0),1,0)</f>
        <v/>
      </c>
      <c r="N32">
        <f>IF(AND('LID_LIQUIDACIONES'!N32&lt;&gt;"",LEN('LID_LIQUIDACIONES'!N32)&gt;50),1,0)</f>
        <v/>
      </c>
      <c r="O32">
        <f>IF(AND('LID_LIQUIDACIONES'!O32&lt;&gt;"",COUNTIF(CL_CARACT_LIQ,'LID_LIQUIDACIONES'!O32)=0),1,0)</f>
        <v/>
      </c>
      <c r="P32">
        <f>IF(AND('LID_LIQUIDACIONES'!P32&lt;&gt;"",NOT(ISNUMBER('LID_LIQUIDACIONES'!P32))),1,0)</f>
        <v/>
      </c>
    </row>
    <row r="33">
      <c r="A33">
        <f>IF(AND('LID_LIQUIDACIONES'!A33&lt;&gt;"",NOT(ISNUMBER('LID_LIQUIDACIONES'!A33))),1,0)</f>
        <v/>
      </c>
      <c r="B33">
        <f>IF(AND('LID_LIQUIDACIONES'!B33&lt;&gt;"",LEN('LID_LIQUIDACIONES'!B33)&gt;5),1,0)</f>
        <v/>
      </c>
      <c r="C33">
        <f>IF(AND('LID_LIQUIDACIONES'!C33&lt;&gt;"",COUNTIF(CL_TIPO_VALOR,'LID_LIQUIDACIONES'!C33)=0),1,0)</f>
        <v/>
      </c>
      <c r="D33">
        <f>IF(AND('LID_LIQUIDACIONES'!D33&lt;&gt;"",COUNTIF(CL_TIPO_OBLIGACI_N,'LID_LIQUIDACIONES'!D33)=0),1,0)</f>
        <v/>
      </c>
      <c r="E33">
        <f>IF(AND('LID_LIQUIDACIONES'!E33&lt;&gt;"",IF(ISNUMBER('LID_LIQUIDACIONES'!E33),OR('LID_LIQUIDACIONES'!E33&lt;&gt;ROUND('LID_LIQUIDACIONES'!E33,0),LEN(TEXT(INT(ABS('LID_LIQUIDACIONES'!E33)),"0"))&gt;12),TRUE)),1,0)</f>
        <v/>
      </c>
      <c r="F33">
        <f>IF(AND('LID_LIQUIDACIONES'!F33&lt;&gt;"",OR(LEN('LID_LIQUIDACIONES'!F33)&gt;3,COUNTIF(CL_MONEDA,'LID_LIQUIDACIONES'!F33)=0)),1,0)</f>
        <v/>
      </c>
      <c r="G33">
        <f>IF(AND('LID_LIQUIDACIONES'!G33&lt;&gt;"",COUNTIF(CL_ID_PAGOS,'LID_LIQUIDACIONES'!G33)=0),1,0)</f>
        <v/>
      </c>
      <c r="H33">
        <f>IF(AND('LID_LIQUIDACIONES'!H33&lt;&gt;"",COUNTIF(CL_FLAG_HORARIO,'LID_LIQUIDACIONES'!H33)=0),1,0)</f>
        <v/>
      </c>
      <c r="I33">
        <f>IF(AND('LID_LIQUIDACIONES'!I33&lt;&gt;"",COUNTIF(CL_CAT_ID_PAGOS_RET,'LID_LIQUIDACIONES'!I33)=0),1,0)</f>
        <v/>
      </c>
      <c r="J33">
        <f>IF(AND('LID_LIQUIDACIONES'!J33&lt;&gt;"",NOT(ISNUMBER('LID_LIQUIDACIONES'!J33))),1,0)</f>
        <v/>
      </c>
      <c r="K33">
        <f>IF(AND('LID_LIQUIDACIONES'!K33&lt;&gt;"",LEN('LID_LIQUIDACIONES'!K33)&gt;5),1,0)</f>
        <v/>
      </c>
      <c r="L33">
        <f>IF(AND('LID_LIQUIDACIONES'!L33&lt;&gt;"",IF(ISNUMBER('LID_LIQUIDACIONES'!L33),OR('LID_LIQUIDACIONES'!L33&lt;&gt;ROUND('LID_LIQUIDACIONES'!L33,0),LEN(TEXT(INT(ABS('LID_LIQUIDACIONES'!L33)),"0"))&gt;12),TRUE)),1,0)</f>
        <v/>
      </c>
      <c r="M33">
        <f>IF(AND('LID_LIQUIDACIONES'!M33&lt;&gt;"",COUNTIF(CL_CAT_MOTIVO_RET,'LID_LIQUIDACIONES'!M33)=0),1,0)</f>
        <v/>
      </c>
      <c r="N33">
        <f>IF(AND('LID_LIQUIDACIONES'!N33&lt;&gt;"",LEN('LID_LIQUIDACIONES'!N33)&gt;50),1,0)</f>
        <v/>
      </c>
      <c r="O33">
        <f>IF(AND('LID_LIQUIDACIONES'!O33&lt;&gt;"",COUNTIF(CL_CARACT_LIQ,'LID_LIQUIDACIONES'!O33)=0),1,0)</f>
        <v/>
      </c>
      <c r="P33">
        <f>IF(AND('LID_LIQUIDACIONES'!P33&lt;&gt;"",NOT(ISNUMBER('LID_LIQUIDACIONES'!P33))),1,0)</f>
        <v/>
      </c>
    </row>
    <row r="34">
      <c r="A34">
        <f>IF(AND('LID_LIQUIDACIONES'!A34&lt;&gt;"",NOT(ISNUMBER('LID_LIQUIDACIONES'!A34))),1,0)</f>
        <v/>
      </c>
      <c r="B34">
        <f>IF(AND('LID_LIQUIDACIONES'!B34&lt;&gt;"",LEN('LID_LIQUIDACIONES'!B34)&gt;5),1,0)</f>
        <v/>
      </c>
      <c r="C34">
        <f>IF(AND('LID_LIQUIDACIONES'!C34&lt;&gt;"",COUNTIF(CL_TIPO_VALOR,'LID_LIQUIDACIONES'!C34)=0),1,0)</f>
        <v/>
      </c>
      <c r="D34">
        <f>IF(AND('LID_LIQUIDACIONES'!D34&lt;&gt;"",COUNTIF(CL_TIPO_OBLIGACI_N,'LID_LIQUIDACIONES'!D34)=0),1,0)</f>
        <v/>
      </c>
      <c r="E34">
        <f>IF(AND('LID_LIQUIDACIONES'!E34&lt;&gt;"",IF(ISNUMBER('LID_LIQUIDACIONES'!E34),OR('LID_LIQUIDACIONES'!E34&lt;&gt;ROUND('LID_LIQUIDACIONES'!E34,0),LEN(TEXT(INT(ABS('LID_LIQUIDACIONES'!E34)),"0"))&gt;12),TRUE)),1,0)</f>
        <v/>
      </c>
      <c r="F34">
        <f>IF(AND('LID_LIQUIDACIONES'!F34&lt;&gt;"",OR(LEN('LID_LIQUIDACIONES'!F34)&gt;3,COUNTIF(CL_MONEDA,'LID_LIQUIDACIONES'!F34)=0)),1,0)</f>
        <v/>
      </c>
      <c r="G34">
        <f>IF(AND('LID_LIQUIDACIONES'!G34&lt;&gt;"",COUNTIF(CL_ID_PAGOS,'LID_LIQUIDACIONES'!G34)=0),1,0)</f>
        <v/>
      </c>
      <c r="H34">
        <f>IF(AND('LID_LIQUIDACIONES'!H34&lt;&gt;"",COUNTIF(CL_FLAG_HORARIO,'LID_LIQUIDACIONES'!H34)=0),1,0)</f>
        <v/>
      </c>
      <c r="I34">
        <f>IF(AND('LID_LIQUIDACIONES'!I34&lt;&gt;"",COUNTIF(CL_CAT_ID_PAGOS_RET,'LID_LIQUIDACIONES'!I34)=0),1,0)</f>
        <v/>
      </c>
      <c r="J34">
        <f>IF(AND('LID_LIQUIDACIONES'!J34&lt;&gt;"",NOT(ISNUMBER('LID_LIQUIDACIONES'!J34))),1,0)</f>
        <v/>
      </c>
      <c r="K34">
        <f>IF(AND('LID_LIQUIDACIONES'!K34&lt;&gt;"",LEN('LID_LIQUIDACIONES'!K34)&gt;5),1,0)</f>
        <v/>
      </c>
      <c r="L34">
        <f>IF(AND('LID_LIQUIDACIONES'!L34&lt;&gt;"",IF(ISNUMBER('LID_LIQUIDACIONES'!L34),OR('LID_LIQUIDACIONES'!L34&lt;&gt;ROUND('LID_LIQUIDACIONES'!L34,0),LEN(TEXT(INT(ABS('LID_LIQUIDACIONES'!L34)),"0"))&gt;12),TRUE)),1,0)</f>
        <v/>
      </c>
      <c r="M34">
        <f>IF(AND('LID_LIQUIDACIONES'!M34&lt;&gt;"",COUNTIF(CL_CAT_MOTIVO_RET,'LID_LIQUIDACIONES'!M34)=0),1,0)</f>
        <v/>
      </c>
      <c r="N34">
        <f>IF(AND('LID_LIQUIDACIONES'!N34&lt;&gt;"",LEN('LID_LIQUIDACIONES'!N34)&gt;50),1,0)</f>
        <v/>
      </c>
      <c r="O34">
        <f>IF(AND('LID_LIQUIDACIONES'!O34&lt;&gt;"",COUNTIF(CL_CARACT_LIQ,'LID_LIQUIDACIONES'!O34)=0),1,0)</f>
        <v/>
      </c>
      <c r="P34">
        <f>IF(AND('LID_LIQUIDACIONES'!P34&lt;&gt;"",NOT(ISNUMBER('LID_LIQUIDACIONES'!P34))),1,0)</f>
        <v/>
      </c>
    </row>
    <row r="35">
      <c r="A35">
        <f>IF(AND('LID_LIQUIDACIONES'!A35&lt;&gt;"",NOT(ISNUMBER('LID_LIQUIDACIONES'!A35))),1,0)</f>
        <v/>
      </c>
      <c r="B35">
        <f>IF(AND('LID_LIQUIDACIONES'!B35&lt;&gt;"",LEN('LID_LIQUIDACIONES'!B35)&gt;5),1,0)</f>
        <v/>
      </c>
      <c r="C35">
        <f>IF(AND('LID_LIQUIDACIONES'!C35&lt;&gt;"",COUNTIF(CL_TIPO_VALOR,'LID_LIQUIDACIONES'!C35)=0),1,0)</f>
        <v/>
      </c>
      <c r="D35">
        <f>IF(AND('LID_LIQUIDACIONES'!D35&lt;&gt;"",COUNTIF(CL_TIPO_OBLIGACI_N,'LID_LIQUIDACIONES'!D35)=0),1,0)</f>
        <v/>
      </c>
      <c r="E35">
        <f>IF(AND('LID_LIQUIDACIONES'!E35&lt;&gt;"",IF(ISNUMBER('LID_LIQUIDACIONES'!E35),OR('LID_LIQUIDACIONES'!E35&lt;&gt;ROUND('LID_LIQUIDACIONES'!E35,0),LEN(TEXT(INT(ABS('LID_LIQUIDACIONES'!E35)),"0"))&gt;12),TRUE)),1,0)</f>
        <v/>
      </c>
      <c r="F35">
        <f>IF(AND('LID_LIQUIDACIONES'!F35&lt;&gt;"",OR(LEN('LID_LIQUIDACIONES'!F35)&gt;3,COUNTIF(CL_MONEDA,'LID_LIQUIDACIONES'!F35)=0)),1,0)</f>
        <v/>
      </c>
      <c r="G35">
        <f>IF(AND('LID_LIQUIDACIONES'!G35&lt;&gt;"",COUNTIF(CL_ID_PAGOS,'LID_LIQUIDACIONES'!G35)=0),1,0)</f>
        <v/>
      </c>
      <c r="H35">
        <f>IF(AND('LID_LIQUIDACIONES'!H35&lt;&gt;"",COUNTIF(CL_FLAG_HORARIO,'LID_LIQUIDACIONES'!H35)=0),1,0)</f>
        <v/>
      </c>
      <c r="I35">
        <f>IF(AND('LID_LIQUIDACIONES'!I35&lt;&gt;"",COUNTIF(CL_CAT_ID_PAGOS_RET,'LID_LIQUIDACIONES'!I35)=0),1,0)</f>
        <v/>
      </c>
      <c r="J35">
        <f>IF(AND('LID_LIQUIDACIONES'!J35&lt;&gt;"",NOT(ISNUMBER('LID_LIQUIDACIONES'!J35))),1,0)</f>
        <v/>
      </c>
      <c r="K35">
        <f>IF(AND('LID_LIQUIDACIONES'!K35&lt;&gt;"",LEN('LID_LIQUIDACIONES'!K35)&gt;5),1,0)</f>
        <v/>
      </c>
      <c r="L35">
        <f>IF(AND('LID_LIQUIDACIONES'!L35&lt;&gt;"",IF(ISNUMBER('LID_LIQUIDACIONES'!L35),OR('LID_LIQUIDACIONES'!L35&lt;&gt;ROUND('LID_LIQUIDACIONES'!L35,0),LEN(TEXT(INT(ABS('LID_LIQUIDACIONES'!L35)),"0"))&gt;12),TRUE)),1,0)</f>
        <v/>
      </c>
      <c r="M35">
        <f>IF(AND('LID_LIQUIDACIONES'!M35&lt;&gt;"",COUNTIF(CL_CAT_MOTIVO_RET,'LID_LIQUIDACIONES'!M35)=0),1,0)</f>
        <v/>
      </c>
      <c r="N35">
        <f>IF(AND('LID_LIQUIDACIONES'!N35&lt;&gt;"",LEN('LID_LIQUIDACIONES'!N35)&gt;50),1,0)</f>
        <v/>
      </c>
      <c r="O35">
        <f>IF(AND('LID_LIQUIDACIONES'!O35&lt;&gt;"",COUNTIF(CL_CARACT_LIQ,'LID_LIQUIDACIONES'!O35)=0),1,0)</f>
        <v/>
      </c>
      <c r="P35">
        <f>IF(AND('LID_LIQUIDACIONES'!P35&lt;&gt;"",NOT(ISNUMBER('LID_LIQUIDACIONES'!P35))),1,0)</f>
        <v/>
      </c>
    </row>
    <row r="36">
      <c r="A36">
        <f>IF(AND('LID_LIQUIDACIONES'!A36&lt;&gt;"",NOT(ISNUMBER('LID_LIQUIDACIONES'!A36))),1,0)</f>
        <v/>
      </c>
      <c r="B36">
        <f>IF(AND('LID_LIQUIDACIONES'!B36&lt;&gt;"",LEN('LID_LIQUIDACIONES'!B36)&gt;5),1,0)</f>
        <v/>
      </c>
      <c r="C36">
        <f>IF(AND('LID_LIQUIDACIONES'!C36&lt;&gt;"",COUNTIF(CL_TIPO_VALOR,'LID_LIQUIDACIONES'!C36)=0),1,0)</f>
        <v/>
      </c>
      <c r="D36">
        <f>IF(AND('LID_LIQUIDACIONES'!D36&lt;&gt;"",COUNTIF(CL_TIPO_OBLIGACI_N,'LID_LIQUIDACIONES'!D36)=0),1,0)</f>
        <v/>
      </c>
      <c r="E36">
        <f>IF(AND('LID_LIQUIDACIONES'!E36&lt;&gt;"",IF(ISNUMBER('LID_LIQUIDACIONES'!E36),OR('LID_LIQUIDACIONES'!E36&lt;&gt;ROUND('LID_LIQUIDACIONES'!E36,0),LEN(TEXT(INT(ABS('LID_LIQUIDACIONES'!E36)),"0"))&gt;12),TRUE)),1,0)</f>
        <v/>
      </c>
      <c r="F36">
        <f>IF(AND('LID_LIQUIDACIONES'!F36&lt;&gt;"",OR(LEN('LID_LIQUIDACIONES'!F36)&gt;3,COUNTIF(CL_MONEDA,'LID_LIQUIDACIONES'!F36)=0)),1,0)</f>
        <v/>
      </c>
      <c r="G36">
        <f>IF(AND('LID_LIQUIDACIONES'!G36&lt;&gt;"",COUNTIF(CL_ID_PAGOS,'LID_LIQUIDACIONES'!G36)=0),1,0)</f>
        <v/>
      </c>
      <c r="H36">
        <f>IF(AND('LID_LIQUIDACIONES'!H36&lt;&gt;"",COUNTIF(CL_FLAG_HORARIO,'LID_LIQUIDACIONES'!H36)=0),1,0)</f>
        <v/>
      </c>
      <c r="I36">
        <f>IF(AND('LID_LIQUIDACIONES'!I36&lt;&gt;"",COUNTIF(CL_CAT_ID_PAGOS_RET,'LID_LIQUIDACIONES'!I36)=0),1,0)</f>
        <v/>
      </c>
      <c r="J36">
        <f>IF(AND('LID_LIQUIDACIONES'!J36&lt;&gt;"",NOT(ISNUMBER('LID_LIQUIDACIONES'!J36))),1,0)</f>
        <v/>
      </c>
      <c r="K36">
        <f>IF(AND('LID_LIQUIDACIONES'!K36&lt;&gt;"",LEN('LID_LIQUIDACIONES'!K36)&gt;5),1,0)</f>
        <v/>
      </c>
      <c r="L36">
        <f>IF(AND('LID_LIQUIDACIONES'!L36&lt;&gt;"",IF(ISNUMBER('LID_LIQUIDACIONES'!L36),OR('LID_LIQUIDACIONES'!L36&lt;&gt;ROUND('LID_LIQUIDACIONES'!L36,0),LEN(TEXT(INT(ABS('LID_LIQUIDACIONES'!L36)),"0"))&gt;12),TRUE)),1,0)</f>
        <v/>
      </c>
      <c r="M36">
        <f>IF(AND('LID_LIQUIDACIONES'!M36&lt;&gt;"",COUNTIF(CL_CAT_MOTIVO_RET,'LID_LIQUIDACIONES'!M36)=0),1,0)</f>
        <v/>
      </c>
      <c r="N36">
        <f>IF(AND('LID_LIQUIDACIONES'!N36&lt;&gt;"",LEN('LID_LIQUIDACIONES'!N36)&gt;50),1,0)</f>
        <v/>
      </c>
      <c r="O36">
        <f>IF(AND('LID_LIQUIDACIONES'!O36&lt;&gt;"",COUNTIF(CL_CARACT_LIQ,'LID_LIQUIDACIONES'!O36)=0),1,0)</f>
        <v/>
      </c>
      <c r="P36">
        <f>IF(AND('LID_LIQUIDACIONES'!P36&lt;&gt;"",NOT(ISNUMBER('LID_LIQUIDACIONES'!P36))),1,0)</f>
        <v/>
      </c>
    </row>
    <row r="37">
      <c r="A37">
        <f>IF(AND('LID_LIQUIDACIONES'!A37&lt;&gt;"",NOT(ISNUMBER('LID_LIQUIDACIONES'!A37))),1,0)</f>
        <v/>
      </c>
      <c r="B37">
        <f>IF(AND('LID_LIQUIDACIONES'!B37&lt;&gt;"",LEN('LID_LIQUIDACIONES'!B37)&gt;5),1,0)</f>
        <v/>
      </c>
      <c r="C37">
        <f>IF(AND('LID_LIQUIDACIONES'!C37&lt;&gt;"",COUNTIF(CL_TIPO_VALOR,'LID_LIQUIDACIONES'!C37)=0),1,0)</f>
        <v/>
      </c>
      <c r="D37">
        <f>IF(AND('LID_LIQUIDACIONES'!D37&lt;&gt;"",COUNTIF(CL_TIPO_OBLIGACI_N,'LID_LIQUIDACIONES'!D37)=0),1,0)</f>
        <v/>
      </c>
      <c r="E37">
        <f>IF(AND('LID_LIQUIDACIONES'!E37&lt;&gt;"",IF(ISNUMBER('LID_LIQUIDACIONES'!E37),OR('LID_LIQUIDACIONES'!E37&lt;&gt;ROUND('LID_LIQUIDACIONES'!E37,0),LEN(TEXT(INT(ABS('LID_LIQUIDACIONES'!E37)),"0"))&gt;12),TRUE)),1,0)</f>
        <v/>
      </c>
      <c r="F37">
        <f>IF(AND('LID_LIQUIDACIONES'!F37&lt;&gt;"",OR(LEN('LID_LIQUIDACIONES'!F37)&gt;3,COUNTIF(CL_MONEDA,'LID_LIQUIDACIONES'!F37)=0)),1,0)</f>
        <v/>
      </c>
      <c r="G37">
        <f>IF(AND('LID_LIQUIDACIONES'!G37&lt;&gt;"",COUNTIF(CL_ID_PAGOS,'LID_LIQUIDACIONES'!G37)=0),1,0)</f>
        <v/>
      </c>
      <c r="H37">
        <f>IF(AND('LID_LIQUIDACIONES'!H37&lt;&gt;"",COUNTIF(CL_FLAG_HORARIO,'LID_LIQUIDACIONES'!H37)=0),1,0)</f>
        <v/>
      </c>
      <c r="I37">
        <f>IF(AND('LID_LIQUIDACIONES'!I37&lt;&gt;"",COUNTIF(CL_CAT_ID_PAGOS_RET,'LID_LIQUIDACIONES'!I37)=0),1,0)</f>
        <v/>
      </c>
      <c r="J37">
        <f>IF(AND('LID_LIQUIDACIONES'!J37&lt;&gt;"",NOT(ISNUMBER('LID_LIQUIDACIONES'!J37))),1,0)</f>
        <v/>
      </c>
      <c r="K37">
        <f>IF(AND('LID_LIQUIDACIONES'!K37&lt;&gt;"",LEN('LID_LIQUIDACIONES'!K37)&gt;5),1,0)</f>
        <v/>
      </c>
      <c r="L37">
        <f>IF(AND('LID_LIQUIDACIONES'!L37&lt;&gt;"",IF(ISNUMBER('LID_LIQUIDACIONES'!L37),OR('LID_LIQUIDACIONES'!L37&lt;&gt;ROUND('LID_LIQUIDACIONES'!L37,0),LEN(TEXT(INT(ABS('LID_LIQUIDACIONES'!L37)),"0"))&gt;12),TRUE)),1,0)</f>
        <v/>
      </c>
      <c r="M37">
        <f>IF(AND('LID_LIQUIDACIONES'!M37&lt;&gt;"",COUNTIF(CL_CAT_MOTIVO_RET,'LID_LIQUIDACIONES'!M37)=0),1,0)</f>
        <v/>
      </c>
      <c r="N37">
        <f>IF(AND('LID_LIQUIDACIONES'!N37&lt;&gt;"",LEN('LID_LIQUIDACIONES'!N37)&gt;50),1,0)</f>
        <v/>
      </c>
      <c r="O37">
        <f>IF(AND('LID_LIQUIDACIONES'!O37&lt;&gt;"",COUNTIF(CL_CARACT_LIQ,'LID_LIQUIDACIONES'!O37)=0),1,0)</f>
        <v/>
      </c>
      <c r="P37">
        <f>IF(AND('LID_LIQUIDACIONES'!P37&lt;&gt;"",NOT(ISNUMBER('LID_LIQUIDACIONES'!P37))),1,0)</f>
        <v/>
      </c>
    </row>
    <row r="38">
      <c r="A38">
        <f>IF(AND('LID_LIQUIDACIONES'!A38&lt;&gt;"",NOT(ISNUMBER('LID_LIQUIDACIONES'!A38))),1,0)</f>
        <v/>
      </c>
      <c r="B38">
        <f>IF(AND('LID_LIQUIDACIONES'!B38&lt;&gt;"",LEN('LID_LIQUIDACIONES'!B38)&gt;5),1,0)</f>
        <v/>
      </c>
      <c r="C38">
        <f>IF(AND('LID_LIQUIDACIONES'!C38&lt;&gt;"",COUNTIF(CL_TIPO_VALOR,'LID_LIQUIDACIONES'!C38)=0),1,0)</f>
        <v/>
      </c>
      <c r="D38">
        <f>IF(AND('LID_LIQUIDACIONES'!D38&lt;&gt;"",COUNTIF(CL_TIPO_OBLIGACI_N,'LID_LIQUIDACIONES'!D38)=0),1,0)</f>
        <v/>
      </c>
      <c r="E38">
        <f>IF(AND('LID_LIQUIDACIONES'!E38&lt;&gt;"",IF(ISNUMBER('LID_LIQUIDACIONES'!E38),OR('LID_LIQUIDACIONES'!E38&lt;&gt;ROUND('LID_LIQUIDACIONES'!E38,0),LEN(TEXT(INT(ABS('LID_LIQUIDACIONES'!E38)),"0"))&gt;12),TRUE)),1,0)</f>
        <v/>
      </c>
      <c r="F38">
        <f>IF(AND('LID_LIQUIDACIONES'!F38&lt;&gt;"",OR(LEN('LID_LIQUIDACIONES'!F38)&gt;3,COUNTIF(CL_MONEDA,'LID_LIQUIDACIONES'!F38)=0)),1,0)</f>
        <v/>
      </c>
      <c r="G38">
        <f>IF(AND('LID_LIQUIDACIONES'!G38&lt;&gt;"",COUNTIF(CL_ID_PAGOS,'LID_LIQUIDACIONES'!G38)=0),1,0)</f>
        <v/>
      </c>
      <c r="H38">
        <f>IF(AND('LID_LIQUIDACIONES'!H38&lt;&gt;"",COUNTIF(CL_FLAG_HORARIO,'LID_LIQUIDACIONES'!H38)=0),1,0)</f>
        <v/>
      </c>
      <c r="I38">
        <f>IF(AND('LID_LIQUIDACIONES'!I38&lt;&gt;"",COUNTIF(CL_CAT_ID_PAGOS_RET,'LID_LIQUIDACIONES'!I38)=0),1,0)</f>
        <v/>
      </c>
      <c r="J38">
        <f>IF(AND('LID_LIQUIDACIONES'!J38&lt;&gt;"",NOT(ISNUMBER('LID_LIQUIDACIONES'!J38))),1,0)</f>
        <v/>
      </c>
      <c r="K38">
        <f>IF(AND('LID_LIQUIDACIONES'!K38&lt;&gt;"",LEN('LID_LIQUIDACIONES'!K38)&gt;5),1,0)</f>
        <v/>
      </c>
      <c r="L38">
        <f>IF(AND('LID_LIQUIDACIONES'!L38&lt;&gt;"",IF(ISNUMBER('LID_LIQUIDACIONES'!L38),OR('LID_LIQUIDACIONES'!L38&lt;&gt;ROUND('LID_LIQUIDACIONES'!L38,0),LEN(TEXT(INT(ABS('LID_LIQUIDACIONES'!L38)),"0"))&gt;12),TRUE)),1,0)</f>
        <v/>
      </c>
      <c r="M38">
        <f>IF(AND('LID_LIQUIDACIONES'!M38&lt;&gt;"",COUNTIF(CL_CAT_MOTIVO_RET,'LID_LIQUIDACIONES'!M38)=0),1,0)</f>
        <v/>
      </c>
      <c r="N38">
        <f>IF(AND('LID_LIQUIDACIONES'!N38&lt;&gt;"",LEN('LID_LIQUIDACIONES'!N38)&gt;50),1,0)</f>
        <v/>
      </c>
      <c r="O38">
        <f>IF(AND('LID_LIQUIDACIONES'!O38&lt;&gt;"",COUNTIF(CL_CARACT_LIQ,'LID_LIQUIDACIONES'!O38)=0),1,0)</f>
        <v/>
      </c>
      <c r="P38">
        <f>IF(AND('LID_LIQUIDACIONES'!P38&lt;&gt;"",NOT(ISNUMBER('LID_LIQUIDACIONES'!P38))),1,0)</f>
        <v/>
      </c>
    </row>
    <row r="39">
      <c r="A39">
        <f>IF(AND('LID_LIQUIDACIONES'!A39&lt;&gt;"",NOT(ISNUMBER('LID_LIQUIDACIONES'!A39))),1,0)</f>
        <v/>
      </c>
      <c r="B39">
        <f>IF(AND('LID_LIQUIDACIONES'!B39&lt;&gt;"",LEN('LID_LIQUIDACIONES'!B39)&gt;5),1,0)</f>
        <v/>
      </c>
      <c r="C39">
        <f>IF(AND('LID_LIQUIDACIONES'!C39&lt;&gt;"",COUNTIF(CL_TIPO_VALOR,'LID_LIQUIDACIONES'!C39)=0),1,0)</f>
        <v/>
      </c>
      <c r="D39">
        <f>IF(AND('LID_LIQUIDACIONES'!D39&lt;&gt;"",COUNTIF(CL_TIPO_OBLIGACI_N,'LID_LIQUIDACIONES'!D39)=0),1,0)</f>
        <v/>
      </c>
      <c r="E39">
        <f>IF(AND('LID_LIQUIDACIONES'!E39&lt;&gt;"",IF(ISNUMBER('LID_LIQUIDACIONES'!E39),OR('LID_LIQUIDACIONES'!E39&lt;&gt;ROUND('LID_LIQUIDACIONES'!E39,0),LEN(TEXT(INT(ABS('LID_LIQUIDACIONES'!E39)),"0"))&gt;12),TRUE)),1,0)</f>
        <v/>
      </c>
      <c r="F39">
        <f>IF(AND('LID_LIQUIDACIONES'!F39&lt;&gt;"",OR(LEN('LID_LIQUIDACIONES'!F39)&gt;3,COUNTIF(CL_MONEDA,'LID_LIQUIDACIONES'!F39)=0)),1,0)</f>
        <v/>
      </c>
      <c r="G39">
        <f>IF(AND('LID_LIQUIDACIONES'!G39&lt;&gt;"",COUNTIF(CL_ID_PAGOS,'LID_LIQUIDACIONES'!G39)=0),1,0)</f>
        <v/>
      </c>
      <c r="H39">
        <f>IF(AND('LID_LIQUIDACIONES'!H39&lt;&gt;"",COUNTIF(CL_FLAG_HORARIO,'LID_LIQUIDACIONES'!H39)=0),1,0)</f>
        <v/>
      </c>
      <c r="I39">
        <f>IF(AND('LID_LIQUIDACIONES'!I39&lt;&gt;"",COUNTIF(CL_CAT_ID_PAGOS_RET,'LID_LIQUIDACIONES'!I39)=0),1,0)</f>
        <v/>
      </c>
      <c r="J39">
        <f>IF(AND('LID_LIQUIDACIONES'!J39&lt;&gt;"",NOT(ISNUMBER('LID_LIQUIDACIONES'!J39))),1,0)</f>
        <v/>
      </c>
      <c r="K39">
        <f>IF(AND('LID_LIQUIDACIONES'!K39&lt;&gt;"",LEN('LID_LIQUIDACIONES'!K39)&gt;5),1,0)</f>
        <v/>
      </c>
      <c r="L39">
        <f>IF(AND('LID_LIQUIDACIONES'!L39&lt;&gt;"",IF(ISNUMBER('LID_LIQUIDACIONES'!L39),OR('LID_LIQUIDACIONES'!L39&lt;&gt;ROUND('LID_LIQUIDACIONES'!L39,0),LEN(TEXT(INT(ABS('LID_LIQUIDACIONES'!L39)),"0"))&gt;12),TRUE)),1,0)</f>
        <v/>
      </c>
      <c r="M39">
        <f>IF(AND('LID_LIQUIDACIONES'!M39&lt;&gt;"",COUNTIF(CL_CAT_MOTIVO_RET,'LID_LIQUIDACIONES'!M39)=0),1,0)</f>
        <v/>
      </c>
      <c r="N39">
        <f>IF(AND('LID_LIQUIDACIONES'!N39&lt;&gt;"",LEN('LID_LIQUIDACIONES'!N39)&gt;50),1,0)</f>
        <v/>
      </c>
      <c r="O39">
        <f>IF(AND('LID_LIQUIDACIONES'!O39&lt;&gt;"",COUNTIF(CL_CARACT_LIQ,'LID_LIQUIDACIONES'!O39)=0),1,0)</f>
        <v/>
      </c>
      <c r="P39">
        <f>IF(AND('LID_LIQUIDACIONES'!P39&lt;&gt;"",NOT(ISNUMBER('LID_LIQUIDACIONES'!P39))),1,0)</f>
        <v/>
      </c>
    </row>
    <row r="40">
      <c r="A40">
        <f>IF(AND('LID_LIQUIDACIONES'!A40&lt;&gt;"",NOT(ISNUMBER('LID_LIQUIDACIONES'!A40))),1,0)</f>
        <v/>
      </c>
      <c r="B40">
        <f>IF(AND('LID_LIQUIDACIONES'!B40&lt;&gt;"",LEN('LID_LIQUIDACIONES'!B40)&gt;5),1,0)</f>
        <v/>
      </c>
      <c r="C40">
        <f>IF(AND('LID_LIQUIDACIONES'!C40&lt;&gt;"",COUNTIF(CL_TIPO_VALOR,'LID_LIQUIDACIONES'!C40)=0),1,0)</f>
        <v/>
      </c>
      <c r="D40">
        <f>IF(AND('LID_LIQUIDACIONES'!D40&lt;&gt;"",COUNTIF(CL_TIPO_OBLIGACI_N,'LID_LIQUIDACIONES'!D40)=0),1,0)</f>
        <v/>
      </c>
      <c r="E40">
        <f>IF(AND('LID_LIQUIDACIONES'!E40&lt;&gt;"",IF(ISNUMBER('LID_LIQUIDACIONES'!E40),OR('LID_LIQUIDACIONES'!E40&lt;&gt;ROUND('LID_LIQUIDACIONES'!E40,0),LEN(TEXT(INT(ABS('LID_LIQUIDACIONES'!E40)),"0"))&gt;12),TRUE)),1,0)</f>
        <v/>
      </c>
      <c r="F40">
        <f>IF(AND('LID_LIQUIDACIONES'!F40&lt;&gt;"",OR(LEN('LID_LIQUIDACIONES'!F40)&gt;3,COUNTIF(CL_MONEDA,'LID_LIQUIDACIONES'!F40)=0)),1,0)</f>
        <v/>
      </c>
      <c r="G40">
        <f>IF(AND('LID_LIQUIDACIONES'!G40&lt;&gt;"",COUNTIF(CL_ID_PAGOS,'LID_LIQUIDACIONES'!G40)=0),1,0)</f>
        <v/>
      </c>
      <c r="H40">
        <f>IF(AND('LID_LIQUIDACIONES'!H40&lt;&gt;"",COUNTIF(CL_FLAG_HORARIO,'LID_LIQUIDACIONES'!H40)=0),1,0)</f>
        <v/>
      </c>
      <c r="I40">
        <f>IF(AND('LID_LIQUIDACIONES'!I40&lt;&gt;"",COUNTIF(CL_CAT_ID_PAGOS_RET,'LID_LIQUIDACIONES'!I40)=0),1,0)</f>
        <v/>
      </c>
      <c r="J40">
        <f>IF(AND('LID_LIQUIDACIONES'!J40&lt;&gt;"",NOT(ISNUMBER('LID_LIQUIDACIONES'!J40))),1,0)</f>
        <v/>
      </c>
      <c r="K40">
        <f>IF(AND('LID_LIQUIDACIONES'!K40&lt;&gt;"",LEN('LID_LIQUIDACIONES'!K40)&gt;5),1,0)</f>
        <v/>
      </c>
      <c r="L40">
        <f>IF(AND('LID_LIQUIDACIONES'!L40&lt;&gt;"",IF(ISNUMBER('LID_LIQUIDACIONES'!L40),OR('LID_LIQUIDACIONES'!L40&lt;&gt;ROUND('LID_LIQUIDACIONES'!L40,0),LEN(TEXT(INT(ABS('LID_LIQUIDACIONES'!L40)),"0"))&gt;12),TRUE)),1,0)</f>
        <v/>
      </c>
      <c r="M40">
        <f>IF(AND('LID_LIQUIDACIONES'!M40&lt;&gt;"",COUNTIF(CL_CAT_MOTIVO_RET,'LID_LIQUIDACIONES'!M40)=0),1,0)</f>
        <v/>
      </c>
      <c r="N40">
        <f>IF(AND('LID_LIQUIDACIONES'!N40&lt;&gt;"",LEN('LID_LIQUIDACIONES'!N40)&gt;50),1,0)</f>
        <v/>
      </c>
      <c r="O40">
        <f>IF(AND('LID_LIQUIDACIONES'!O40&lt;&gt;"",COUNTIF(CL_CARACT_LIQ,'LID_LIQUIDACIONES'!O40)=0),1,0)</f>
        <v/>
      </c>
      <c r="P40">
        <f>IF(AND('LID_LIQUIDACIONES'!P40&lt;&gt;"",NOT(ISNUMBER('LID_LIQUIDACIONES'!P40))),1,0)</f>
        <v/>
      </c>
    </row>
    <row r="41">
      <c r="A41">
        <f>IF(AND('LID_LIQUIDACIONES'!A41&lt;&gt;"",NOT(ISNUMBER('LID_LIQUIDACIONES'!A41))),1,0)</f>
        <v/>
      </c>
      <c r="B41">
        <f>IF(AND('LID_LIQUIDACIONES'!B41&lt;&gt;"",LEN('LID_LIQUIDACIONES'!B41)&gt;5),1,0)</f>
        <v/>
      </c>
      <c r="C41">
        <f>IF(AND('LID_LIQUIDACIONES'!C41&lt;&gt;"",COUNTIF(CL_TIPO_VALOR,'LID_LIQUIDACIONES'!C41)=0),1,0)</f>
        <v/>
      </c>
      <c r="D41">
        <f>IF(AND('LID_LIQUIDACIONES'!D41&lt;&gt;"",COUNTIF(CL_TIPO_OBLIGACI_N,'LID_LIQUIDACIONES'!D41)=0),1,0)</f>
        <v/>
      </c>
      <c r="E41">
        <f>IF(AND('LID_LIQUIDACIONES'!E41&lt;&gt;"",IF(ISNUMBER('LID_LIQUIDACIONES'!E41),OR('LID_LIQUIDACIONES'!E41&lt;&gt;ROUND('LID_LIQUIDACIONES'!E41,0),LEN(TEXT(INT(ABS('LID_LIQUIDACIONES'!E41)),"0"))&gt;12),TRUE)),1,0)</f>
        <v/>
      </c>
      <c r="F41">
        <f>IF(AND('LID_LIQUIDACIONES'!F41&lt;&gt;"",OR(LEN('LID_LIQUIDACIONES'!F41)&gt;3,COUNTIF(CL_MONEDA,'LID_LIQUIDACIONES'!F41)=0)),1,0)</f>
        <v/>
      </c>
      <c r="G41">
        <f>IF(AND('LID_LIQUIDACIONES'!G41&lt;&gt;"",COUNTIF(CL_ID_PAGOS,'LID_LIQUIDACIONES'!G41)=0),1,0)</f>
        <v/>
      </c>
      <c r="H41">
        <f>IF(AND('LID_LIQUIDACIONES'!H41&lt;&gt;"",COUNTIF(CL_FLAG_HORARIO,'LID_LIQUIDACIONES'!H41)=0),1,0)</f>
        <v/>
      </c>
      <c r="I41">
        <f>IF(AND('LID_LIQUIDACIONES'!I41&lt;&gt;"",COUNTIF(CL_CAT_ID_PAGOS_RET,'LID_LIQUIDACIONES'!I41)=0),1,0)</f>
        <v/>
      </c>
      <c r="J41">
        <f>IF(AND('LID_LIQUIDACIONES'!J41&lt;&gt;"",NOT(ISNUMBER('LID_LIQUIDACIONES'!J41))),1,0)</f>
        <v/>
      </c>
      <c r="K41">
        <f>IF(AND('LID_LIQUIDACIONES'!K41&lt;&gt;"",LEN('LID_LIQUIDACIONES'!K41)&gt;5),1,0)</f>
        <v/>
      </c>
      <c r="L41">
        <f>IF(AND('LID_LIQUIDACIONES'!L41&lt;&gt;"",IF(ISNUMBER('LID_LIQUIDACIONES'!L41),OR('LID_LIQUIDACIONES'!L41&lt;&gt;ROUND('LID_LIQUIDACIONES'!L41,0),LEN(TEXT(INT(ABS('LID_LIQUIDACIONES'!L41)),"0"))&gt;12),TRUE)),1,0)</f>
        <v/>
      </c>
      <c r="M41">
        <f>IF(AND('LID_LIQUIDACIONES'!M41&lt;&gt;"",COUNTIF(CL_CAT_MOTIVO_RET,'LID_LIQUIDACIONES'!M41)=0),1,0)</f>
        <v/>
      </c>
      <c r="N41">
        <f>IF(AND('LID_LIQUIDACIONES'!N41&lt;&gt;"",LEN('LID_LIQUIDACIONES'!N41)&gt;50),1,0)</f>
        <v/>
      </c>
      <c r="O41">
        <f>IF(AND('LID_LIQUIDACIONES'!O41&lt;&gt;"",COUNTIF(CL_CARACT_LIQ,'LID_LIQUIDACIONES'!O41)=0),1,0)</f>
        <v/>
      </c>
      <c r="P41">
        <f>IF(AND('LID_LIQUIDACIONES'!P41&lt;&gt;"",NOT(ISNUMBER('LID_LIQUIDACIONES'!P41))),1,0)</f>
        <v/>
      </c>
    </row>
    <row r="42">
      <c r="A42">
        <f>IF(AND('LID_LIQUIDACIONES'!A42&lt;&gt;"",NOT(ISNUMBER('LID_LIQUIDACIONES'!A42))),1,0)</f>
        <v/>
      </c>
      <c r="B42">
        <f>IF(AND('LID_LIQUIDACIONES'!B42&lt;&gt;"",LEN('LID_LIQUIDACIONES'!B42)&gt;5),1,0)</f>
        <v/>
      </c>
      <c r="C42">
        <f>IF(AND('LID_LIQUIDACIONES'!C42&lt;&gt;"",COUNTIF(CL_TIPO_VALOR,'LID_LIQUIDACIONES'!C42)=0),1,0)</f>
        <v/>
      </c>
      <c r="D42">
        <f>IF(AND('LID_LIQUIDACIONES'!D42&lt;&gt;"",COUNTIF(CL_TIPO_OBLIGACI_N,'LID_LIQUIDACIONES'!D42)=0),1,0)</f>
        <v/>
      </c>
      <c r="E42">
        <f>IF(AND('LID_LIQUIDACIONES'!E42&lt;&gt;"",IF(ISNUMBER('LID_LIQUIDACIONES'!E42),OR('LID_LIQUIDACIONES'!E42&lt;&gt;ROUND('LID_LIQUIDACIONES'!E42,0),LEN(TEXT(INT(ABS('LID_LIQUIDACIONES'!E42)),"0"))&gt;12),TRUE)),1,0)</f>
        <v/>
      </c>
      <c r="F42">
        <f>IF(AND('LID_LIQUIDACIONES'!F42&lt;&gt;"",OR(LEN('LID_LIQUIDACIONES'!F42)&gt;3,COUNTIF(CL_MONEDA,'LID_LIQUIDACIONES'!F42)=0)),1,0)</f>
        <v/>
      </c>
      <c r="G42">
        <f>IF(AND('LID_LIQUIDACIONES'!G42&lt;&gt;"",COUNTIF(CL_ID_PAGOS,'LID_LIQUIDACIONES'!G42)=0),1,0)</f>
        <v/>
      </c>
      <c r="H42">
        <f>IF(AND('LID_LIQUIDACIONES'!H42&lt;&gt;"",COUNTIF(CL_FLAG_HORARIO,'LID_LIQUIDACIONES'!H42)=0),1,0)</f>
        <v/>
      </c>
      <c r="I42">
        <f>IF(AND('LID_LIQUIDACIONES'!I42&lt;&gt;"",COUNTIF(CL_CAT_ID_PAGOS_RET,'LID_LIQUIDACIONES'!I42)=0),1,0)</f>
        <v/>
      </c>
      <c r="J42">
        <f>IF(AND('LID_LIQUIDACIONES'!J42&lt;&gt;"",NOT(ISNUMBER('LID_LIQUIDACIONES'!J42))),1,0)</f>
        <v/>
      </c>
      <c r="K42">
        <f>IF(AND('LID_LIQUIDACIONES'!K42&lt;&gt;"",LEN('LID_LIQUIDACIONES'!K42)&gt;5),1,0)</f>
        <v/>
      </c>
      <c r="L42">
        <f>IF(AND('LID_LIQUIDACIONES'!L42&lt;&gt;"",IF(ISNUMBER('LID_LIQUIDACIONES'!L42),OR('LID_LIQUIDACIONES'!L42&lt;&gt;ROUND('LID_LIQUIDACIONES'!L42,0),LEN(TEXT(INT(ABS('LID_LIQUIDACIONES'!L42)),"0"))&gt;12),TRUE)),1,0)</f>
        <v/>
      </c>
      <c r="M42">
        <f>IF(AND('LID_LIQUIDACIONES'!M42&lt;&gt;"",COUNTIF(CL_CAT_MOTIVO_RET,'LID_LIQUIDACIONES'!M42)=0),1,0)</f>
        <v/>
      </c>
      <c r="N42">
        <f>IF(AND('LID_LIQUIDACIONES'!N42&lt;&gt;"",LEN('LID_LIQUIDACIONES'!N42)&gt;50),1,0)</f>
        <v/>
      </c>
      <c r="O42">
        <f>IF(AND('LID_LIQUIDACIONES'!O42&lt;&gt;"",COUNTIF(CL_CARACT_LIQ,'LID_LIQUIDACIONES'!O42)=0),1,0)</f>
        <v/>
      </c>
      <c r="P42">
        <f>IF(AND('LID_LIQUIDACIONES'!P42&lt;&gt;"",NOT(ISNUMBER('LID_LIQUIDACIONES'!P42))),1,0)</f>
        <v/>
      </c>
    </row>
    <row r="43">
      <c r="A43">
        <f>IF(AND('LID_LIQUIDACIONES'!A43&lt;&gt;"",NOT(ISNUMBER('LID_LIQUIDACIONES'!A43))),1,0)</f>
        <v/>
      </c>
      <c r="B43">
        <f>IF(AND('LID_LIQUIDACIONES'!B43&lt;&gt;"",LEN('LID_LIQUIDACIONES'!B43)&gt;5),1,0)</f>
        <v/>
      </c>
      <c r="C43">
        <f>IF(AND('LID_LIQUIDACIONES'!C43&lt;&gt;"",COUNTIF(CL_TIPO_VALOR,'LID_LIQUIDACIONES'!C43)=0),1,0)</f>
        <v/>
      </c>
      <c r="D43">
        <f>IF(AND('LID_LIQUIDACIONES'!D43&lt;&gt;"",COUNTIF(CL_TIPO_OBLIGACI_N,'LID_LIQUIDACIONES'!D43)=0),1,0)</f>
        <v/>
      </c>
      <c r="E43">
        <f>IF(AND('LID_LIQUIDACIONES'!E43&lt;&gt;"",IF(ISNUMBER('LID_LIQUIDACIONES'!E43),OR('LID_LIQUIDACIONES'!E43&lt;&gt;ROUND('LID_LIQUIDACIONES'!E43,0),LEN(TEXT(INT(ABS('LID_LIQUIDACIONES'!E43)),"0"))&gt;12),TRUE)),1,0)</f>
        <v/>
      </c>
      <c r="F43">
        <f>IF(AND('LID_LIQUIDACIONES'!F43&lt;&gt;"",OR(LEN('LID_LIQUIDACIONES'!F43)&gt;3,COUNTIF(CL_MONEDA,'LID_LIQUIDACIONES'!F43)=0)),1,0)</f>
        <v/>
      </c>
      <c r="G43">
        <f>IF(AND('LID_LIQUIDACIONES'!G43&lt;&gt;"",COUNTIF(CL_ID_PAGOS,'LID_LIQUIDACIONES'!G43)=0),1,0)</f>
        <v/>
      </c>
      <c r="H43">
        <f>IF(AND('LID_LIQUIDACIONES'!H43&lt;&gt;"",COUNTIF(CL_FLAG_HORARIO,'LID_LIQUIDACIONES'!H43)=0),1,0)</f>
        <v/>
      </c>
      <c r="I43">
        <f>IF(AND('LID_LIQUIDACIONES'!I43&lt;&gt;"",COUNTIF(CL_CAT_ID_PAGOS_RET,'LID_LIQUIDACIONES'!I43)=0),1,0)</f>
        <v/>
      </c>
      <c r="J43">
        <f>IF(AND('LID_LIQUIDACIONES'!J43&lt;&gt;"",NOT(ISNUMBER('LID_LIQUIDACIONES'!J43))),1,0)</f>
        <v/>
      </c>
      <c r="K43">
        <f>IF(AND('LID_LIQUIDACIONES'!K43&lt;&gt;"",LEN('LID_LIQUIDACIONES'!K43)&gt;5),1,0)</f>
        <v/>
      </c>
      <c r="L43">
        <f>IF(AND('LID_LIQUIDACIONES'!L43&lt;&gt;"",IF(ISNUMBER('LID_LIQUIDACIONES'!L43),OR('LID_LIQUIDACIONES'!L43&lt;&gt;ROUND('LID_LIQUIDACIONES'!L43,0),LEN(TEXT(INT(ABS('LID_LIQUIDACIONES'!L43)),"0"))&gt;12),TRUE)),1,0)</f>
        <v/>
      </c>
      <c r="M43">
        <f>IF(AND('LID_LIQUIDACIONES'!M43&lt;&gt;"",COUNTIF(CL_CAT_MOTIVO_RET,'LID_LIQUIDACIONES'!M43)=0),1,0)</f>
        <v/>
      </c>
      <c r="N43">
        <f>IF(AND('LID_LIQUIDACIONES'!N43&lt;&gt;"",LEN('LID_LIQUIDACIONES'!N43)&gt;50),1,0)</f>
        <v/>
      </c>
      <c r="O43">
        <f>IF(AND('LID_LIQUIDACIONES'!O43&lt;&gt;"",COUNTIF(CL_CARACT_LIQ,'LID_LIQUIDACIONES'!O43)=0),1,0)</f>
        <v/>
      </c>
      <c r="P43">
        <f>IF(AND('LID_LIQUIDACIONES'!P43&lt;&gt;"",NOT(ISNUMBER('LID_LIQUIDACIONES'!P43))),1,0)</f>
        <v/>
      </c>
    </row>
    <row r="44">
      <c r="A44">
        <f>IF(AND('LID_LIQUIDACIONES'!A44&lt;&gt;"",NOT(ISNUMBER('LID_LIQUIDACIONES'!A44))),1,0)</f>
        <v/>
      </c>
      <c r="B44">
        <f>IF(AND('LID_LIQUIDACIONES'!B44&lt;&gt;"",LEN('LID_LIQUIDACIONES'!B44)&gt;5),1,0)</f>
        <v/>
      </c>
      <c r="C44">
        <f>IF(AND('LID_LIQUIDACIONES'!C44&lt;&gt;"",COUNTIF(CL_TIPO_VALOR,'LID_LIQUIDACIONES'!C44)=0),1,0)</f>
        <v/>
      </c>
      <c r="D44">
        <f>IF(AND('LID_LIQUIDACIONES'!D44&lt;&gt;"",COUNTIF(CL_TIPO_OBLIGACI_N,'LID_LIQUIDACIONES'!D44)=0),1,0)</f>
        <v/>
      </c>
      <c r="E44">
        <f>IF(AND('LID_LIQUIDACIONES'!E44&lt;&gt;"",IF(ISNUMBER('LID_LIQUIDACIONES'!E44),OR('LID_LIQUIDACIONES'!E44&lt;&gt;ROUND('LID_LIQUIDACIONES'!E44,0),LEN(TEXT(INT(ABS('LID_LIQUIDACIONES'!E44)),"0"))&gt;12),TRUE)),1,0)</f>
        <v/>
      </c>
      <c r="F44">
        <f>IF(AND('LID_LIQUIDACIONES'!F44&lt;&gt;"",OR(LEN('LID_LIQUIDACIONES'!F44)&gt;3,COUNTIF(CL_MONEDA,'LID_LIQUIDACIONES'!F44)=0)),1,0)</f>
        <v/>
      </c>
      <c r="G44">
        <f>IF(AND('LID_LIQUIDACIONES'!G44&lt;&gt;"",COUNTIF(CL_ID_PAGOS,'LID_LIQUIDACIONES'!G44)=0),1,0)</f>
        <v/>
      </c>
      <c r="H44">
        <f>IF(AND('LID_LIQUIDACIONES'!H44&lt;&gt;"",COUNTIF(CL_FLAG_HORARIO,'LID_LIQUIDACIONES'!H44)=0),1,0)</f>
        <v/>
      </c>
      <c r="I44">
        <f>IF(AND('LID_LIQUIDACIONES'!I44&lt;&gt;"",COUNTIF(CL_CAT_ID_PAGOS_RET,'LID_LIQUIDACIONES'!I44)=0),1,0)</f>
        <v/>
      </c>
      <c r="J44">
        <f>IF(AND('LID_LIQUIDACIONES'!J44&lt;&gt;"",NOT(ISNUMBER('LID_LIQUIDACIONES'!J44))),1,0)</f>
        <v/>
      </c>
      <c r="K44">
        <f>IF(AND('LID_LIQUIDACIONES'!K44&lt;&gt;"",LEN('LID_LIQUIDACIONES'!K44)&gt;5),1,0)</f>
        <v/>
      </c>
      <c r="L44">
        <f>IF(AND('LID_LIQUIDACIONES'!L44&lt;&gt;"",IF(ISNUMBER('LID_LIQUIDACIONES'!L44),OR('LID_LIQUIDACIONES'!L44&lt;&gt;ROUND('LID_LIQUIDACIONES'!L44,0),LEN(TEXT(INT(ABS('LID_LIQUIDACIONES'!L44)),"0"))&gt;12),TRUE)),1,0)</f>
        <v/>
      </c>
      <c r="M44">
        <f>IF(AND('LID_LIQUIDACIONES'!M44&lt;&gt;"",COUNTIF(CL_CAT_MOTIVO_RET,'LID_LIQUIDACIONES'!M44)=0),1,0)</f>
        <v/>
      </c>
      <c r="N44">
        <f>IF(AND('LID_LIQUIDACIONES'!N44&lt;&gt;"",LEN('LID_LIQUIDACIONES'!N44)&gt;50),1,0)</f>
        <v/>
      </c>
      <c r="O44">
        <f>IF(AND('LID_LIQUIDACIONES'!O44&lt;&gt;"",COUNTIF(CL_CARACT_LIQ,'LID_LIQUIDACIONES'!O44)=0),1,0)</f>
        <v/>
      </c>
      <c r="P44">
        <f>IF(AND('LID_LIQUIDACIONES'!P44&lt;&gt;"",NOT(ISNUMBER('LID_LIQUIDACIONES'!P44))),1,0)</f>
        <v/>
      </c>
    </row>
    <row r="45">
      <c r="A45">
        <f>IF(AND('LID_LIQUIDACIONES'!A45&lt;&gt;"",NOT(ISNUMBER('LID_LIQUIDACIONES'!A45))),1,0)</f>
        <v/>
      </c>
      <c r="B45">
        <f>IF(AND('LID_LIQUIDACIONES'!B45&lt;&gt;"",LEN('LID_LIQUIDACIONES'!B45)&gt;5),1,0)</f>
        <v/>
      </c>
      <c r="C45">
        <f>IF(AND('LID_LIQUIDACIONES'!C45&lt;&gt;"",COUNTIF(CL_TIPO_VALOR,'LID_LIQUIDACIONES'!C45)=0),1,0)</f>
        <v/>
      </c>
      <c r="D45">
        <f>IF(AND('LID_LIQUIDACIONES'!D45&lt;&gt;"",COUNTIF(CL_TIPO_OBLIGACI_N,'LID_LIQUIDACIONES'!D45)=0),1,0)</f>
        <v/>
      </c>
      <c r="E45">
        <f>IF(AND('LID_LIQUIDACIONES'!E45&lt;&gt;"",IF(ISNUMBER('LID_LIQUIDACIONES'!E45),OR('LID_LIQUIDACIONES'!E45&lt;&gt;ROUND('LID_LIQUIDACIONES'!E45,0),LEN(TEXT(INT(ABS('LID_LIQUIDACIONES'!E45)),"0"))&gt;12),TRUE)),1,0)</f>
        <v/>
      </c>
      <c r="F45">
        <f>IF(AND('LID_LIQUIDACIONES'!F45&lt;&gt;"",OR(LEN('LID_LIQUIDACIONES'!F45)&gt;3,COUNTIF(CL_MONEDA,'LID_LIQUIDACIONES'!F45)=0)),1,0)</f>
        <v/>
      </c>
      <c r="G45">
        <f>IF(AND('LID_LIQUIDACIONES'!G45&lt;&gt;"",COUNTIF(CL_ID_PAGOS,'LID_LIQUIDACIONES'!G45)=0),1,0)</f>
        <v/>
      </c>
      <c r="H45">
        <f>IF(AND('LID_LIQUIDACIONES'!H45&lt;&gt;"",COUNTIF(CL_FLAG_HORARIO,'LID_LIQUIDACIONES'!H45)=0),1,0)</f>
        <v/>
      </c>
      <c r="I45">
        <f>IF(AND('LID_LIQUIDACIONES'!I45&lt;&gt;"",COUNTIF(CL_CAT_ID_PAGOS_RET,'LID_LIQUIDACIONES'!I45)=0),1,0)</f>
        <v/>
      </c>
      <c r="J45">
        <f>IF(AND('LID_LIQUIDACIONES'!J45&lt;&gt;"",NOT(ISNUMBER('LID_LIQUIDACIONES'!J45))),1,0)</f>
        <v/>
      </c>
      <c r="K45">
        <f>IF(AND('LID_LIQUIDACIONES'!K45&lt;&gt;"",LEN('LID_LIQUIDACIONES'!K45)&gt;5),1,0)</f>
        <v/>
      </c>
      <c r="L45">
        <f>IF(AND('LID_LIQUIDACIONES'!L45&lt;&gt;"",IF(ISNUMBER('LID_LIQUIDACIONES'!L45),OR('LID_LIQUIDACIONES'!L45&lt;&gt;ROUND('LID_LIQUIDACIONES'!L45,0),LEN(TEXT(INT(ABS('LID_LIQUIDACIONES'!L45)),"0"))&gt;12),TRUE)),1,0)</f>
        <v/>
      </c>
      <c r="M45">
        <f>IF(AND('LID_LIQUIDACIONES'!M45&lt;&gt;"",COUNTIF(CL_CAT_MOTIVO_RET,'LID_LIQUIDACIONES'!M45)=0),1,0)</f>
        <v/>
      </c>
      <c r="N45">
        <f>IF(AND('LID_LIQUIDACIONES'!N45&lt;&gt;"",LEN('LID_LIQUIDACIONES'!N45)&gt;50),1,0)</f>
        <v/>
      </c>
      <c r="O45">
        <f>IF(AND('LID_LIQUIDACIONES'!O45&lt;&gt;"",COUNTIF(CL_CARACT_LIQ,'LID_LIQUIDACIONES'!O45)=0),1,0)</f>
        <v/>
      </c>
      <c r="P45">
        <f>IF(AND('LID_LIQUIDACIONES'!P45&lt;&gt;"",NOT(ISNUMBER('LID_LIQUIDACIONES'!P45))),1,0)</f>
        <v/>
      </c>
    </row>
    <row r="46">
      <c r="A46">
        <f>IF(AND('LID_LIQUIDACIONES'!A46&lt;&gt;"",NOT(ISNUMBER('LID_LIQUIDACIONES'!A46))),1,0)</f>
        <v/>
      </c>
      <c r="B46">
        <f>IF(AND('LID_LIQUIDACIONES'!B46&lt;&gt;"",LEN('LID_LIQUIDACIONES'!B46)&gt;5),1,0)</f>
        <v/>
      </c>
      <c r="C46">
        <f>IF(AND('LID_LIQUIDACIONES'!C46&lt;&gt;"",COUNTIF(CL_TIPO_VALOR,'LID_LIQUIDACIONES'!C46)=0),1,0)</f>
        <v/>
      </c>
      <c r="D46">
        <f>IF(AND('LID_LIQUIDACIONES'!D46&lt;&gt;"",COUNTIF(CL_TIPO_OBLIGACI_N,'LID_LIQUIDACIONES'!D46)=0),1,0)</f>
        <v/>
      </c>
      <c r="E46">
        <f>IF(AND('LID_LIQUIDACIONES'!E46&lt;&gt;"",IF(ISNUMBER('LID_LIQUIDACIONES'!E46),OR('LID_LIQUIDACIONES'!E46&lt;&gt;ROUND('LID_LIQUIDACIONES'!E46,0),LEN(TEXT(INT(ABS('LID_LIQUIDACIONES'!E46)),"0"))&gt;12),TRUE)),1,0)</f>
        <v/>
      </c>
      <c r="F46">
        <f>IF(AND('LID_LIQUIDACIONES'!F46&lt;&gt;"",OR(LEN('LID_LIQUIDACIONES'!F46)&gt;3,COUNTIF(CL_MONEDA,'LID_LIQUIDACIONES'!F46)=0)),1,0)</f>
        <v/>
      </c>
      <c r="G46">
        <f>IF(AND('LID_LIQUIDACIONES'!G46&lt;&gt;"",COUNTIF(CL_ID_PAGOS,'LID_LIQUIDACIONES'!G46)=0),1,0)</f>
        <v/>
      </c>
      <c r="H46">
        <f>IF(AND('LID_LIQUIDACIONES'!H46&lt;&gt;"",COUNTIF(CL_FLAG_HORARIO,'LID_LIQUIDACIONES'!H46)=0),1,0)</f>
        <v/>
      </c>
      <c r="I46">
        <f>IF(AND('LID_LIQUIDACIONES'!I46&lt;&gt;"",COUNTIF(CL_CAT_ID_PAGOS_RET,'LID_LIQUIDACIONES'!I46)=0),1,0)</f>
        <v/>
      </c>
      <c r="J46">
        <f>IF(AND('LID_LIQUIDACIONES'!J46&lt;&gt;"",NOT(ISNUMBER('LID_LIQUIDACIONES'!J46))),1,0)</f>
        <v/>
      </c>
      <c r="K46">
        <f>IF(AND('LID_LIQUIDACIONES'!K46&lt;&gt;"",LEN('LID_LIQUIDACIONES'!K46)&gt;5),1,0)</f>
        <v/>
      </c>
      <c r="L46">
        <f>IF(AND('LID_LIQUIDACIONES'!L46&lt;&gt;"",IF(ISNUMBER('LID_LIQUIDACIONES'!L46),OR('LID_LIQUIDACIONES'!L46&lt;&gt;ROUND('LID_LIQUIDACIONES'!L46,0),LEN(TEXT(INT(ABS('LID_LIQUIDACIONES'!L46)),"0"))&gt;12),TRUE)),1,0)</f>
        <v/>
      </c>
      <c r="M46">
        <f>IF(AND('LID_LIQUIDACIONES'!M46&lt;&gt;"",COUNTIF(CL_CAT_MOTIVO_RET,'LID_LIQUIDACIONES'!M46)=0),1,0)</f>
        <v/>
      </c>
      <c r="N46">
        <f>IF(AND('LID_LIQUIDACIONES'!N46&lt;&gt;"",LEN('LID_LIQUIDACIONES'!N46)&gt;50),1,0)</f>
        <v/>
      </c>
      <c r="O46">
        <f>IF(AND('LID_LIQUIDACIONES'!O46&lt;&gt;"",COUNTIF(CL_CARACT_LIQ,'LID_LIQUIDACIONES'!O46)=0),1,0)</f>
        <v/>
      </c>
      <c r="P46">
        <f>IF(AND('LID_LIQUIDACIONES'!P46&lt;&gt;"",NOT(ISNUMBER('LID_LIQUIDACIONES'!P46))),1,0)</f>
        <v/>
      </c>
    </row>
    <row r="47">
      <c r="A47">
        <f>IF(AND('LID_LIQUIDACIONES'!A47&lt;&gt;"",NOT(ISNUMBER('LID_LIQUIDACIONES'!A47))),1,0)</f>
        <v/>
      </c>
      <c r="B47">
        <f>IF(AND('LID_LIQUIDACIONES'!B47&lt;&gt;"",LEN('LID_LIQUIDACIONES'!B47)&gt;5),1,0)</f>
        <v/>
      </c>
      <c r="C47">
        <f>IF(AND('LID_LIQUIDACIONES'!C47&lt;&gt;"",COUNTIF(CL_TIPO_VALOR,'LID_LIQUIDACIONES'!C47)=0),1,0)</f>
        <v/>
      </c>
      <c r="D47">
        <f>IF(AND('LID_LIQUIDACIONES'!D47&lt;&gt;"",COUNTIF(CL_TIPO_OBLIGACI_N,'LID_LIQUIDACIONES'!D47)=0),1,0)</f>
        <v/>
      </c>
      <c r="E47">
        <f>IF(AND('LID_LIQUIDACIONES'!E47&lt;&gt;"",IF(ISNUMBER('LID_LIQUIDACIONES'!E47),OR('LID_LIQUIDACIONES'!E47&lt;&gt;ROUND('LID_LIQUIDACIONES'!E47,0),LEN(TEXT(INT(ABS('LID_LIQUIDACIONES'!E47)),"0"))&gt;12),TRUE)),1,0)</f>
        <v/>
      </c>
      <c r="F47">
        <f>IF(AND('LID_LIQUIDACIONES'!F47&lt;&gt;"",OR(LEN('LID_LIQUIDACIONES'!F47)&gt;3,COUNTIF(CL_MONEDA,'LID_LIQUIDACIONES'!F47)=0)),1,0)</f>
        <v/>
      </c>
      <c r="G47">
        <f>IF(AND('LID_LIQUIDACIONES'!G47&lt;&gt;"",COUNTIF(CL_ID_PAGOS,'LID_LIQUIDACIONES'!G47)=0),1,0)</f>
        <v/>
      </c>
      <c r="H47">
        <f>IF(AND('LID_LIQUIDACIONES'!H47&lt;&gt;"",COUNTIF(CL_FLAG_HORARIO,'LID_LIQUIDACIONES'!H47)=0),1,0)</f>
        <v/>
      </c>
      <c r="I47">
        <f>IF(AND('LID_LIQUIDACIONES'!I47&lt;&gt;"",COUNTIF(CL_CAT_ID_PAGOS_RET,'LID_LIQUIDACIONES'!I47)=0),1,0)</f>
        <v/>
      </c>
      <c r="J47">
        <f>IF(AND('LID_LIQUIDACIONES'!J47&lt;&gt;"",NOT(ISNUMBER('LID_LIQUIDACIONES'!J47))),1,0)</f>
        <v/>
      </c>
      <c r="K47">
        <f>IF(AND('LID_LIQUIDACIONES'!K47&lt;&gt;"",LEN('LID_LIQUIDACIONES'!K47)&gt;5),1,0)</f>
        <v/>
      </c>
      <c r="L47">
        <f>IF(AND('LID_LIQUIDACIONES'!L47&lt;&gt;"",IF(ISNUMBER('LID_LIQUIDACIONES'!L47),OR('LID_LIQUIDACIONES'!L47&lt;&gt;ROUND('LID_LIQUIDACIONES'!L47,0),LEN(TEXT(INT(ABS('LID_LIQUIDACIONES'!L47)),"0"))&gt;12),TRUE)),1,0)</f>
        <v/>
      </c>
      <c r="M47">
        <f>IF(AND('LID_LIQUIDACIONES'!M47&lt;&gt;"",COUNTIF(CL_CAT_MOTIVO_RET,'LID_LIQUIDACIONES'!M47)=0),1,0)</f>
        <v/>
      </c>
      <c r="N47">
        <f>IF(AND('LID_LIQUIDACIONES'!N47&lt;&gt;"",LEN('LID_LIQUIDACIONES'!N47)&gt;50),1,0)</f>
        <v/>
      </c>
      <c r="O47">
        <f>IF(AND('LID_LIQUIDACIONES'!O47&lt;&gt;"",COUNTIF(CL_CARACT_LIQ,'LID_LIQUIDACIONES'!O47)=0),1,0)</f>
        <v/>
      </c>
      <c r="P47">
        <f>IF(AND('LID_LIQUIDACIONES'!P47&lt;&gt;"",NOT(ISNUMBER('LID_LIQUIDACIONES'!P47))),1,0)</f>
        <v/>
      </c>
    </row>
    <row r="48">
      <c r="A48">
        <f>IF(AND('LID_LIQUIDACIONES'!A48&lt;&gt;"",NOT(ISNUMBER('LID_LIQUIDACIONES'!A48))),1,0)</f>
        <v/>
      </c>
      <c r="B48">
        <f>IF(AND('LID_LIQUIDACIONES'!B48&lt;&gt;"",LEN('LID_LIQUIDACIONES'!B48)&gt;5),1,0)</f>
        <v/>
      </c>
      <c r="C48">
        <f>IF(AND('LID_LIQUIDACIONES'!C48&lt;&gt;"",COUNTIF(CL_TIPO_VALOR,'LID_LIQUIDACIONES'!C48)=0),1,0)</f>
        <v/>
      </c>
      <c r="D48">
        <f>IF(AND('LID_LIQUIDACIONES'!D48&lt;&gt;"",COUNTIF(CL_TIPO_OBLIGACI_N,'LID_LIQUIDACIONES'!D48)=0),1,0)</f>
        <v/>
      </c>
      <c r="E48">
        <f>IF(AND('LID_LIQUIDACIONES'!E48&lt;&gt;"",IF(ISNUMBER('LID_LIQUIDACIONES'!E48),OR('LID_LIQUIDACIONES'!E48&lt;&gt;ROUND('LID_LIQUIDACIONES'!E48,0),LEN(TEXT(INT(ABS('LID_LIQUIDACIONES'!E48)),"0"))&gt;12),TRUE)),1,0)</f>
        <v/>
      </c>
      <c r="F48">
        <f>IF(AND('LID_LIQUIDACIONES'!F48&lt;&gt;"",OR(LEN('LID_LIQUIDACIONES'!F48)&gt;3,COUNTIF(CL_MONEDA,'LID_LIQUIDACIONES'!F48)=0)),1,0)</f>
        <v/>
      </c>
      <c r="G48">
        <f>IF(AND('LID_LIQUIDACIONES'!G48&lt;&gt;"",COUNTIF(CL_ID_PAGOS,'LID_LIQUIDACIONES'!G48)=0),1,0)</f>
        <v/>
      </c>
      <c r="H48">
        <f>IF(AND('LID_LIQUIDACIONES'!H48&lt;&gt;"",COUNTIF(CL_FLAG_HORARIO,'LID_LIQUIDACIONES'!H48)=0),1,0)</f>
        <v/>
      </c>
      <c r="I48">
        <f>IF(AND('LID_LIQUIDACIONES'!I48&lt;&gt;"",COUNTIF(CL_CAT_ID_PAGOS_RET,'LID_LIQUIDACIONES'!I48)=0),1,0)</f>
        <v/>
      </c>
      <c r="J48">
        <f>IF(AND('LID_LIQUIDACIONES'!J48&lt;&gt;"",NOT(ISNUMBER('LID_LIQUIDACIONES'!J48))),1,0)</f>
        <v/>
      </c>
      <c r="K48">
        <f>IF(AND('LID_LIQUIDACIONES'!K48&lt;&gt;"",LEN('LID_LIQUIDACIONES'!K48)&gt;5),1,0)</f>
        <v/>
      </c>
      <c r="L48">
        <f>IF(AND('LID_LIQUIDACIONES'!L48&lt;&gt;"",IF(ISNUMBER('LID_LIQUIDACIONES'!L48),OR('LID_LIQUIDACIONES'!L48&lt;&gt;ROUND('LID_LIQUIDACIONES'!L48,0),LEN(TEXT(INT(ABS('LID_LIQUIDACIONES'!L48)),"0"))&gt;12),TRUE)),1,0)</f>
        <v/>
      </c>
      <c r="M48">
        <f>IF(AND('LID_LIQUIDACIONES'!M48&lt;&gt;"",COUNTIF(CL_CAT_MOTIVO_RET,'LID_LIQUIDACIONES'!M48)=0),1,0)</f>
        <v/>
      </c>
      <c r="N48">
        <f>IF(AND('LID_LIQUIDACIONES'!N48&lt;&gt;"",LEN('LID_LIQUIDACIONES'!N48)&gt;50),1,0)</f>
        <v/>
      </c>
      <c r="O48">
        <f>IF(AND('LID_LIQUIDACIONES'!O48&lt;&gt;"",COUNTIF(CL_CARACT_LIQ,'LID_LIQUIDACIONES'!O48)=0),1,0)</f>
        <v/>
      </c>
      <c r="P48">
        <f>IF(AND('LID_LIQUIDACIONES'!P48&lt;&gt;"",NOT(ISNUMBER('LID_LIQUIDACIONES'!P48))),1,0)</f>
        <v/>
      </c>
    </row>
    <row r="49">
      <c r="A49">
        <f>IF(AND('LID_LIQUIDACIONES'!A49&lt;&gt;"",NOT(ISNUMBER('LID_LIQUIDACIONES'!A49))),1,0)</f>
        <v/>
      </c>
      <c r="B49">
        <f>IF(AND('LID_LIQUIDACIONES'!B49&lt;&gt;"",LEN('LID_LIQUIDACIONES'!B49)&gt;5),1,0)</f>
        <v/>
      </c>
      <c r="C49">
        <f>IF(AND('LID_LIQUIDACIONES'!C49&lt;&gt;"",COUNTIF(CL_TIPO_VALOR,'LID_LIQUIDACIONES'!C49)=0),1,0)</f>
        <v/>
      </c>
      <c r="D49">
        <f>IF(AND('LID_LIQUIDACIONES'!D49&lt;&gt;"",COUNTIF(CL_TIPO_OBLIGACI_N,'LID_LIQUIDACIONES'!D49)=0),1,0)</f>
        <v/>
      </c>
      <c r="E49">
        <f>IF(AND('LID_LIQUIDACIONES'!E49&lt;&gt;"",IF(ISNUMBER('LID_LIQUIDACIONES'!E49),OR('LID_LIQUIDACIONES'!E49&lt;&gt;ROUND('LID_LIQUIDACIONES'!E49,0),LEN(TEXT(INT(ABS('LID_LIQUIDACIONES'!E49)),"0"))&gt;12),TRUE)),1,0)</f>
        <v/>
      </c>
      <c r="F49">
        <f>IF(AND('LID_LIQUIDACIONES'!F49&lt;&gt;"",OR(LEN('LID_LIQUIDACIONES'!F49)&gt;3,COUNTIF(CL_MONEDA,'LID_LIQUIDACIONES'!F49)=0)),1,0)</f>
        <v/>
      </c>
      <c r="G49">
        <f>IF(AND('LID_LIQUIDACIONES'!G49&lt;&gt;"",COUNTIF(CL_ID_PAGOS,'LID_LIQUIDACIONES'!G49)=0),1,0)</f>
        <v/>
      </c>
      <c r="H49">
        <f>IF(AND('LID_LIQUIDACIONES'!H49&lt;&gt;"",COUNTIF(CL_FLAG_HORARIO,'LID_LIQUIDACIONES'!H49)=0),1,0)</f>
        <v/>
      </c>
      <c r="I49">
        <f>IF(AND('LID_LIQUIDACIONES'!I49&lt;&gt;"",COUNTIF(CL_CAT_ID_PAGOS_RET,'LID_LIQUIDACIONES'!I49)=0),1,0)</f>
        <v/>
      </c>
      <c r="J49">
        <f>IF(AND('LID_LIQUIDACIONES'!J49&lt;&gt;"",NOT(ISNUMBER('LID_LIQUIDACIONES'!J49))),1,0)</f>
        <v/>
      </c>
      <c r="K49">
        <f>IF(AND('LID_LIQUIDACIONES'!K49&lt;&gt;"",LEN('LID_LIQUIDACIONES'!K49)&gt;5),1,0)</f>
        <v/>
      </c>
      <c r="L49">
        <f>IF(AND('LID_LIQUIDACIONES'!L49&lt;&gt;"",IF(ISNUMBER('LID_LIQUIDACIONES'!L49),OR('LID_LIQUIDACIONES'!L49&lt;&gt;ROUND('LID_LIQUIDACIONES'!L49,0),LEN(TEXT(INT(ABS('LID_LIQUIDACIONES'!L49)),"0"))&gt;12),TRUE)),1,0)</f>
        <v/>
      </c>
      <c r="M49">
        <f>IF(AND('LID_LIQUIDACIONES'!M49&lt;&gt;"",COUNTIF(CL_CAT_MOTIVO_RET,'LID_LIQUIDACIONES'!M49)=0),1,0)</f>
        <v/>
      </c>
      <c r="N49">
        <f>IF(AND('LID_LIQUIDACIONES'!N49&lt;&gt;"",LEN('LID_LIQUIDACIONES'!N49)&gt;50),1,0)</f>
        <v/>
      </c>
      <c r="O49">
        <f>IF(AND('LID_LIQUIDACIONES'!O49&lt;&gt;"",COUNTIF(CL_CARACT_LIQ,'LID_LIQUIDACIONES'!O49)=0),1,0)</f>
        <v/>
      </c>
      <c r="P49">
        <f>IF(AND('LID_LIQUIDACIONES'!P49&lt;&gt;"",NOT(ISNUMBER('LID_LIQUIDACIONES'!P49))),1,0)</f>
        <v/>
      </c>
    </row>
    <row r="50">
      <c r="A50">
        <f>IF(AND('LID_LIQUIDACIONES'!A50&lt;&gt;"",NOT(ISNUMBER('LID_LIQUIDACIONES'!A50))),1,0)</f>
        <v/>
      </c>
      <c r="B50">
        <f>IF(AND('LID_LIQUIDACIONES'!B50&lt;&gt;"",LEN('LID_LIQUIDACIONES'!B50)&gt;5),1,0)</f>
        <v/>
      </c>
      <c r="C50">
        <f>IF(AND('LID_LIQUIDACIONES'!C50&lt;&gt;"",COUNTIF(CL_TIPO_VALOR,'LID_LIQUIDACIONES'!C50)=0),1,0)</f>
        <v/>
      </c>
      <c r="D50">
        <f>IF(AND('LID_LIQUIDACIONES'!D50&lt;&gt;"",COUNTIF(CL_TIPO_OBLIGACI_N,'LID_LIQUIDACIONES'!D50)=0),1,0)</f>
        <v/>
      </c>
      <c r="E50">
        <f>IF(AND('LID_LIQUIDACIONES'!E50&lt;&gt;"",IF(ISNUMBER('LID_LIQUIDACIONES'!E50),OR('LID_LIQUIDACIONES'!E50&lt;&gt;ROUND('LID_LIQUIDACIONES'!E50,0),LEN(TEXT(INT(ABS('LID_LIQUIDACIONES'!E50)),"0"))&gt;12),TRUE)),1,0)</f>
        <v/>
      </c>
      <c r="F50">
        <f>IF(AND('LID_LIQUIDACIONES'!F50&lt;&gt;"",OR(LEN('LID_LIQUIDACIONES'!F50)&gt;3,COUNTIF(CL_MONEDA,'LID_LIQUIDACIONES'!F50)=0)),1,0)</f>
        <v/>
      </c>
      <c r="G50">
        <f>IF(AND('LID_LIQUIDACIONES'!G50&lt;&gt;"",COUNTIF(CL_ID_PAGOS,'LID_LIQUIDACIONES'!G50)=0),1,0)</f>
        <v/>
      </c>
      <c r="H50">
        <f>IF(AND('LID_LIQUIDACIONES'!H50&lt;&gt;"",COUNTIF(CL_FLAG_HORARIO,'LID_LIQUIDACIONES'!H50)=0),1,0)</f>
        <v/>
      </c>
      <c r="I50">
        <f>IF(AND('LID_LIQUIDACIONES'!I50&lt;&gt;"",COUNTIF(CL_CAT_ID_PAGOS_RET,'LID_LIQUIDACIONES'!I50)=0),1,0)</f>
        <v/>
      </c>
      <c r="J50">
        <f>IF(AND('LID_LIQUIDACIONES'!J50&lt;&gt;"",NOT(ISNUMBER('LID_LIQUIDACIONES'!J50))),1,0)</f>
        <v/>
      </c>
      <c r="K50">
        <f>IF(AND('LID_LIQUIDACIONES'!K50&lt;&gt;"",LEN('LID_LIQUIDACIONES'!K50)&gt;5),1,0)</f>
        <v/>
      </c>
      <c r="L50">
        <f>IF(AND('LID_LIQUIDACIONES'!L50&lt;&gt;"",IF(ISNUMBER('LID_LIQUIDACIONES'!L50),OR('LID_LIQUIDACIONES'!L50&lt;&gt;ROUND('LID_LIQUIDACIONES'!L50,0),LEN(TEXT(INT(ABS('LID_LIQUIDACIONES'!L50)),"0"))&gt;12),TRUE)),1,0)</f>
        <v/>
      </c>
      <c r="M50">
        <f>IF(AND('LID_LIQUIDACIONES'!M50&lt;&gt;"",COUNTIF(CL_CAT_MOTIVO_RET,'LID_LIQUIDACIONES'!M50)=0),1,0)</f>
        <v/>
      </c>
      <c r="N50">
        <f>IF(AND('LID_LIQUIDACIONES'!N50&lt;&gt;"",LEN('LID_LIQUIDACIONES'!N50)&gt;50),1,0)</f>
        <v/>
      </c>
      <c r="O50">
        <f>IF(AND('LID_LIQUIDACIONES'!O50&lt;&gt;"",COUNTIF(CL_CARACT_LIQ,'LID_LIQUIDACIONES'!O50)=0),1,0)</f>
        <v/>
      </c>
      <c r="P50">
        <f>IF(AND('LID_LIQUIDACIONES'!P50&lt;&gt;"",NOT(ISNUMBER('LID_LIQUIDACIONES'!P50))),1,0)</f>
        <v/>
      </c>
    </row>
    <row r="51">
      <c r="A51">
        <f>IF(AND('LID_LIQUIDACIONES'!A51&lt;&gt;"",NOT(ISNUMBER('LID_LIQUIDACIONES'!A51))),1,0)</f>
        <v/>
      </c>
      <c r="B51">
        <f>IF(AND('LID_LIQUIDACIONES'!B51&lt;&gt;"",LEN('LID_LIQUIDACIONES'!B51)&gt;5),1,0)</f>
        <v/>
      </c>
      <c r="C51">
        <f>IF(AND('LID_LIQUIDACIONES'!C51&lt;&gt;"",COUNTIF(CL_TIPO_VALOR,'LID_LIQUIDACIONES'!C51)=0),1,0)</f>
        <v/>
      </c>
      <c r="D51">
        <f>IF(AND('LID_LIQUIDACIONES'!D51&lt;&gt;"",COUNTIF(CL_TIPO_OBLIGACI_N,'LID_LIQUIDACIONES'!D51)=0),1,0)</f>
        <v/>
      </c>
      <c r="E51">
        <f>IF(AND('LID_LIQUIDACIONES'!E51&lt;&gt;"",IF(ISNUMBER('LID_LIQUIDACIONES'!E51),OR('LID_LIQUIDACIONES'!E51&lt;&gt;ROUND('LID_LIQUIDACIONES'!E51,0),LEN(TEXT(INT(ABS('LID_LIQUIDACIONES'!E51)),"0"))&gt;12),TRUE)),1,0)</f>
        <v/>
      </c>
      <c r="F51">
        <f>IF(AND('LID_LIQUIDACIONES'!F51&lt;&gt;"",OR(LEN('LID_LIQUIDACIONES'!F51)&gt;3,COUNTIF(CL_MONEDA,'LID_LIQUIDACIONES'!F51)=0)),1,0)</f>
        <v/>
      </c>
      <c r="G51">
        <f>IF(AND('LID_LIQUIDACIONES'!G51&lt;&gt;"",COUNTIF(CL_ID_PAGOS,'LID_LIQUIDACIONES'!G51)=0),1,0)</f>
        <v/>
      </c>
      <c r="H51">
        <f>IF(AND('LID_LIQUIDACIONES'!H51&lt;&gt;"",COUNTIF(CL_FLAG_HORARIO,'LID_LIQUIDACIONES'!H51)=0),1,0)</f>
        <v/>
      </c>
      <c r="I51">
        <f>IF(AND('LID_LIQUIDACIONES'!I51&lt;&gt;"",COUNTIF(CL_CAT_ID_PAGOS_RET,'LID_LIQUIDACIONES'!I51)=0),1,0)</f>
        <v/>
      </c>
      <c r="J51">
        <f>IF(AND('LID_LIQUIDACIONES'!J51&lt;&gt;"",NOT(ISNUMBER('LID_LIQUIDACIONES'!J51))),1,0)</f>
        <v/>
      </c>
      <c r="K51">
        <f>IF(AND('LID_LIQUIDACIONES'!K51&lt;&gt;"",LEN('LID_LIQUIDACIONES'!K51)&gt;5),1,0)</f>
        <v/>
      </c>
      <c r="L51">
        <f>IF(AND('LID_LIQUIDACIONES'!L51&lt;&gt;"",IF(ISNUMBER('LID_LIQUIDACIONES'!L51),OR('LID_LIQUIDACIONES'!L51&lt;&gt;ROUND('LID_LIQUIDACIONES'!L51,0),LEN(TEXT(INT(ABS('LID_LIQUIDACIONES'!L51)),"0"))&gt;12),TRUE)),1,0)</f>
        <v/>
      </c>
      <c r="M51">
        <f>IF(AND('LID_LIQUIDACIONES'!M51&lt;&gt;"",COUNTIF(CL_CAT_MOTIVO_RET,'LID_LIQUIDACIONES'!M51)=0),1,0)</f>
        <v/>
      </c>
      <c r="N51">
        <f>IF(AND('LID_LIQUIDACIONES'!N51&lt;&gt;"",LEN('LID_LIQUIDACIONES'!N51)&gt;50),1,0)</f>
        <v/>
      </c>
      <c r="O51">
        <f>IF(AND('LID_LIQUIDACIONES'!O51&lt;&gt;"",COUNTIF(CL_CARACT_LIQ,'LID_LIQUIDACIONES'!O51)=0),1,0)</f>
        <v/>
      </c>
      <c r="P51">
        <f>IF(AND('LID_LIQUIDACIONES'!P51&lt;&gt;"",NOT(ISNUMBER('LID_LIQUIDACIONES'!P51))),1,0)</f>
        <v/>
      </c>
    </row>
    <row r="52">
      <c r="A52">
        <f>IF(AND('LID_LIQUIDACIONES'!A52&lt;&gt;"",NOT(ISNUMBER('LID_LIQUIDACIONES'!A52))),1,0)</f>
        <v/>
      </c>
      <c r="B52">
        <f>IF(AND('LID_LIQUIDACIONES'!B52&lt;&gt;"",LEN('LID_LIQUIDACIONES'!B52)&gt;5),1,0)</f>
        <v/>
      </c>
      <c r="C52">
        <f>IF(AND('LID_LIQUIDACIONES'!C52&lt;&gt;"",COUNTIF(CL_TIPO_VALOR,'LID_LIQUIDACIONES'!C52)=0),1,0)</f>
        <v/>
      </c>
      <c r="D52">
        <f>IF(AND('LID_LIQUIDACIONES'!D52&lt;&gt;"",COUNTIF(CL_TIPO_OBLIGACI_N,'LID_LIQUIDACIONES'!D52)=0),1,0)</f>
        <v/>
      </c>
      <c r="E52">
        <f>IF(AND('LID_LIQUIDACIONES'!E52&lt;&gt;"",IF(ISNUMBER('LID_LIQUIDACIONES'!E52),OR('LID_LIQUIDACIONES'!E52&lt;&gt;ROUND('LID_LIQUIDACIONES'!E52,0),LEN(TEXT(INT(ABS('LID_LIQUIDACIONES'!E52)),"0"))&gt;12),TRUE)),1,0)</f>
        <v/>
      </c>
      <c r="F52">
        <f>IF(AND('LID_LIQUIDACIONES'!F52&lt;&gt;"",OR(LEN('LID_LIQUIDACIONES'!F52)&gt;3,COUNTIF(CL_MONEDA,'LID_LIQUIDACIONES'!F52)=0)),1,0)</f>
        <v/>
      </c>
      <c r="G52">
        <f>IF(AND('LID_LIQUIDACIONES'!G52&lt;&gt;"",COUNTIF(CL_ID_PAGOS,'LID_LIQUIDACIONES'!G52)=0),1,0)</f>
        <v/>
      </c>
      <c r="H52">
        <f>IF(AND('LID_LIQUIDACIONES'!H52&lt;&gt;"",COUNTIF(CL_FLAG_HORARIO,'LID_LIQUIDACIONES'!H52)=0),1,0)</f>
        <v/>
      </c>
      <c r="I52">
        <f>IF(AND('LID_LIQUIDACIONES'!I52&lt;&gt;"",COUNTIF(CL_CAT_ID_PAGOS_RET,'LID_LIQUIDACIONES'!I52)=0),1,0)</f>
        <v/>
      </c>
      <c r="J52">
        <f>IF(AND('LID_LIQUIDACIONES'!J52&lt;&gt;"",NOT(ISNUMBER('LID_LIQUIDACIONES'!J52))),1,0)</f>
        <v/>
      </c>
      <c r="K52">
        <f>IF(AND('LID_LIQUIDACIONES'!K52&lt;&gt;"",LEN('LID_LIQUIDACIONES'!K52)&gt;5),1,0)</f>
        <v/>
      </c>
      <c r="L52">
        <f>IF(AND('LID_LIQUIDACIONES'!L52&lt;&gt;"",IF(ISNUMBER('LID_LIQUIDACIONES'!L52),OR('LID_LIQUIDACIONES'!L52&lt;&gt;ROUND('LID_LIQUIDACIONES'!L52,0),LEN(TEXT(INT(ABS('LID_LIQUIDACIONES'!L52)),"0"))&gt;12),TRUE)),1,0)</f>
        <v/>
      </c>
      <c r="M52">
        <f>IF(AND('LID_LIQUIDACIONES'!M52&lt;&gt;"",COUNTIF(CL_CAT_MOTIVO_RET,'LID_LIQUIDACIONES'!M52)=0),1,0)</f>
        <v/>
      </c>
      <c r="N52">
        <f>IF(AND('LID_LIQUIDACIONES'!N52&lt;&gt;"",LEN('LID_LIQUIDACIONES'!N52)&gt;50),1,0)</f>
        <v/>
      </c>
      <c r="O52">
        <f>IF(AND('LID_LIQUIDACIONES'!O52&lt;&gt;"",COUNTIF(CL_CARACT_LIQ,'LID_LIQUIDACIONES'!O52)=0),1,0)</f>
        <v/>
      </c>
      <c r="P52">
        <f>IF(AND('LID_LIQUIDACIONES'!P52&lt;&gt;"",NOT(ISNUMBER('LID_LIQUIDACIONES'!P52))),1,0)</f>
        <v/>
      </c>
    </row>
    <row r="53">
      <c r="A53">
        <f>IF(AND('LID_LIQUIDACIONES'!A53&lt;&gt;"",NOT(ISNUMBER('LID_LIQUIDACIONES'!A53))),1,0)</f>
        <v/>
      </c>
      <c r="B53">
        <f>IF(AND('LID_LIQUIDACIONES'!B53&lt;&gt;"",LEN('LID_LIQUIDACIONES'!B53)&gt;5),1,0)</f>
        <v/>
      </c>
      <c r="C53">
        <f>IF(AND('LID_LIQUIDACIONES'!C53&lt;&gt;"",COUNTIF(CL_TIPO_VALOR,'LID_LIQUIDACIONES'!C53)=0),1,0)</f>
        <v/>
      </c>
      <c r="D53">
        <f>IF(AND('LID_LIQUIDACIONES'!D53&lt;&gt;"",COUNTIF(CL_TIPO_OBLIGACI_N,'LID_LIQUIDACIONES'!D53)=0),1,0)</f>
        <v/>
      </c>
      <c r="E53">
        <f>IF(AND('LID_LIQUIDACIONES'!E53&lt;&gt;"",IF(ISNUMBER('LID_LIQUIDACIONES'!E53),OR('LID_LIQUIDACIONES'!E53&lt;&gt;ROUND('LID_LIQUIDACIONES'!E53,0),LEN(TEXT(INT(ABS('LID_LIQUIDACIONES'!E53)),"0"))&gt;12),TRUE)),1,0)</f>
        <v/>
      </c>
      <c r="F53">
        <f>IF(AND('LID_LIQUIDACIONES'!F53&lt;&gt;"",OR(LEN('LID_LIQUIDACIONES'!F53)&gt;3,COUNTIF(CL_MONEDA,'LID_LIQUIDACIONES'!F53)=0)),1,0)</f>
        <v/>
      </c>
      <c r="G53">
        <f>IF(AND('LID_LIQUIDACIONES'!G53&lt;&gt;"",COUNTIF(CL_ID_PAGOS,'LID_LIQUIDACIONES'!G53)=0),1,0)</f>
        <v/>
      </c>
      <c r="H53">
        <f>IF(AND('LID_LIQUIDACIONES'!H53&lt;&gt;"",COUNTIF(CL_FLAG_HORARIO,'LID_LIQUIDACIONES'!H53)=0),1,0)</f>
        <v/>
      </c>
      <c r="I53">
        <f>IF(AND('LID_LIQUIDACIONES'!I53&lt;&gt;"",COUNTIF(CL_CAT_ID_PAGOS_RET,'LID_LIQUIDACIONES'!I53)=0),1,0)</f>
        <v/>
      </c>
      <c r="J53">
        <f>IF(AND('LID_LIQUIDACIONES'!J53&lt;&gt;"",NOT(ISNUMBER('LID_LIQUIDACIONES'!J53))),1,0)</f>
        <v/>
      </c>
      <c r="K53">
        <f>IF(AND('LID_LIQUIDACIONES'!K53&lt;&gt;"",LEN('LID_LIQUIDACIONES'!K53)&gt;5),1,0)</f>
        <v/>
      </c>
      <c r="L53">
        <f>IF(AND('LID_LIQUIDACIONES'!L53&lt;&gt;"",IF(ISNUMBER('LID_LIQUIDACIONES'!L53),OR('LID_LIQUIDACIONES'!L53&lt;&gt;ROUND('LID_LIQUIDACIONES'!L53,0),LEN(TEXT(INT(ABS('LID_LIQUIDACIONES'!L53)),"0"))&gt;12),TRUE)),1,0)</f>
        <v/>
      </c>
      <c r="M53">
        <f>IF(AND('LID_LIQUIDACIONES'!M53&lt;&gt;"",COUNTIF(CL_CAT_MOTIVO_RET,'LID_LIQUIDACIONES'!M53)=0),1,0)</f>
        <v/>
      </c>
      <c r="N53">
        <f>IF(AND('LID_LIQUIDACIONES'!N53&lt;&gt;"",LEN('LID_LIQUIDACIONES'!N53)&gt;50),1,0)</f>
        <v/>
      </c>
      <c r="O53">
        <f>IF(AND('LID_LIQUIDACIONES'!O53&lt;&gt;"",COUNTIF(CL_CARACT_LIQ,'LID_LIQUIDACIONES'!O53)=0),1,0)</f>
        <v/>
      </c>
      <c r="P53">
        <f>IF(AND('LID_LIQUIDACIONES'!P53&lt;&gt;"",NOT(ISNUMBER('LID_LIQUIDACIONES'!P53))),1,0)</f>
        <v/>
      </c>
    </row>
    <row r="54">
      <c r="A54">
        <f>IF(AND('LID_LIQUIDACIONES'!A54&lt;&gt;"",NOT(ISNUMBER('LID_LIQUIDACIONES'!A54))),1,0)</f>
        <v/>
      </c>
      <c r="B54">
        <f>IF(AND('LID_LIQUIDACIONES'!B54&lt;&gt;"",LEN('LID_LIQUIDACIONES'!B54)&gt;5),1,0)</f>
        <v/>
      </c>
      <c r="C54">
        <f>IF(AND('LID_LIQUIDACIONES'!C54&lt;&gt;"",COUNTIF(CL_TIPO_VALOR,'LID_LIQUIDACIONES'!C54)=0),1,0)</f>
        <v/>
      </c>
      <c r="D54">
        <f>IF(AND('LID_LIQUIDACIONES'!D54&lt;&gt;"",COUNTIF(CL_TIPO_OBLIGACI_N,'LID_LIQUIDACIONES'!D54)=0),1,0)</f>
        <v/>
      </c>
      <c r="E54">
        <f>IF(AND('LID_LIQUIDACIONES'!E54&lt;&gt;"",IF(ISNUMBER('LID_LIQUIDACIONES'!E54),OR('LID_LIQUIDACIONES'!E54&lt;&gt;ROUND('LID_LIQUIDACIONES'!E54,0),LEN(TEXT(INT(ABS('LID_LIQUIDACIONES'!E54)),"0"))&gt;12),TRUE)),1,0)</f>
        <v/>
      </c>
      <c r="F54">
        <f>IF(AND('LID_LIQUIDACIONES'!F54&lt;&gt;"",OR(LEN('LID_LIQUIDACIONES'!F54)&gt;3,COUNTIF(CL_MONEDA,'LID_LIQUIDACIONES'!F54)=0)),1,0)</f>
        <v/>
      </c>
      <c r="G54">
        <f>IF(AND('LID_LIQUIDACIONES'!G54&lt;&gt;"",COUNTIF(CL_ID_PAGOS,'LID_LIQUIDACIONES'!G54)=0),1,0)</f>
        <v/>
      </c>
      <c r="H54">
        <f>IF(AND('LID_LIQUIDACIONES'!H54&lt;&gt;"",COUNTIF(CL_FLAG_HORARIO,'LID_LIQUIDACIONES'!H54)=0),1,0)</f>
        <v/>
      </c>
      <c r="I54">
        <f>IF(AND('LID_LIQUIDACIONES'!I54&lt;&gt;"",COUNTIF(CL_CAT_ID_PAGOS_RET,'LID_LIQUIDACIONES'!I54)=0),1,0)</f>
        <v/>
      </c>
      <c r="J54">
        <f>IF(AND('LID_LIQUIDACIONES'!J54&lt;&gt;"",NOT(ISNUMBER('LID_LIQUIDACIONES'!J54))),1,0)</f>
        <v/>
      </c>
      <c r="K54">
        <f>IF(AND('LID_LIQUIDACIONES'!K54&lt;&gt;"",LEN('LID_LIQUIDACIONES'!K54)&gt;5),1,0)</f>
        <v/>
      </c>
      <c r="L54">
        <f>IF(AND('LID_LIQUIDACIONES'!L54&lt;&gt;"",IF(ISNUMBER('LID_LIQUIDACIONES'!L54),OR('LID_LIQUIDACIONES'!L54&lt;&gt;ROUND('LID_LIQUIDACIONES'!L54,0),LEN(TEXT(INT(ABS('LID_LIQUIDACIONES'!L54)),"0"))&gt;12),TRUE)),1,0)</f>
        <v/>
      </c>
      <c r="M54">
        <f>IF(AND('LID_LIQUIDACIONES'!M54&lt;&gt;"",COUNTIF(CL_CAT_MOTIVO_RET,'LID_LIQUIDACIONES'!M54)=0),1,0)</f>
        <v/>
      </c>
      <c r="N54">
        <f>IF(AND('LID_LIQUIDACIONES'!N54&lt;&gt;"",LEN('LID_LIQUIDACIONES'!N54)&gt;50),1,0)</f>
        <v/>
      </c>
      <c r="O54">
        <f>IF(AND('LID_LIQUIDACIONES'!O54&lt;&gt;"",COUNTIF(CL_CARACT_LIQ,'LID_LIQUIDACIONES'!O54)=0),1,0)</f>
        <v/>
      </c>
      <c r="P54">
        <f>IF(AND('LID_LIQUIDACIONES'!P54&lt;&gt;"",NOT(ISNUMBER('LID_LIQUIDACIONES'!P54))),1,0)</f>
        <v/>
      </c>
    </row>
    <row r="55">
      <c r="A55">
        <f>IF(AND('LID_LIQUIDACIONES'!A55&lt;&gt;"",NOT(ISNUMBER('LID_LIQUIDACIONES'!A55))),1,0)</f>
        <v/>
      </c>
      <c r="B55">
        <f>IF(AND('LID_LIQUIDACIONES'!B55&lt;&gt;"",LEN('LID_LIQUIDACIONES'!B55)&gt;5),1,0)</f>
        <v/>
      </c>
      <c r="C55">
        <f>IF(AND('LID_LIQUIDACIONES'!C55&lt;&gt;"",COUNTIF(CL_TIPO_VALOR,'LID_LIQUIDACIONES'!C55)=0),1,0)</f>
        <v/>
      </c>
      <c r="D55">
        <f>IF(AND('LID_LIQUIDACIONES'!D55&lt;&gt;"",COUNTIF(CL_TIPO_OBLIGACI_N,'LID_LIQUIDACIONES'!D55)=0),1,0)</f>
        <v/>
      </c>
      <c r="E55">
        <f>IF(AND('LID_LIQUIDACIONES'!E55&lt;&gt;"",IF(ISNUMBER('LID_LIQUIDACIONES'!E55),OR('LID_LIQUIDACIONES'!E55&lt;&gt;ROUND('LID_LIQUIDACIONES'!E55,0),LEN(TEXT(INT(ABS('LID_LIQUIDACIONES'!E55)),"0"))&gt;12),TRUE)),1,0)</f>
        <v/>
      </c>
      <c r="F55">
        <f>IF(AND('LID_LIQUIDACIONES'!F55&lt;&gt;"",OR(LEN('LID_LIQUIDACIONES'!F55)&gt;3,COUNTIF(CL_MONEDA,'LID_LIQUIDACIONES'!F55)=0)),1,0)</f>
        <v/>
      </c>
      <c r="G55">
        <f>IF(AND('LID_LIQUIDACIONES'!G55&lt;&gt;"",COUNTIF(CL_ID_PAGOS,'LID_LIQUIDACIONES'!G55)=0),1,0)</f>
        <v/>
      </c>
      <c r="H55">
        <f>IF(AND('LID_LIQUIDACIONES'!H55&lt;&gt;"",COUNTIF(CL_FLAG_HORARIO,'LID_LIQUIDACIONES'!H55)=0),1,0)</f>
        <v/>
      </c>
      <c r="I55">
        <f>IF(AND('LID_LIQUIDACIONES'!I55&lt;&gt;"",COUNTIF(CL_CAT_ID_PAGOS_RET,'LID_LIQUIDACIONES'!I55)=0),1,0)</f>
        <v/>
      </c>
      <c r="J55">
        <f>IF(AND('LID_LIQUIDACIONES'!J55&lt;&gt;"",NOT(ISNUMBER('LID_LIQUIDACIONES'!J55))),1,0)</f>
        <v/>
      </c>
      <c r="K55">
        <f>IF(AND('LID_LIQUIDACIONES'!K55&lt;&gt;"",LEN('LID_LIQUIDACIONES'!K55)&gt;5),1,0)</f>
        <v/>
      </c>
      <c r="L55">
        <f>IF(AND('LID_LIQUIDACIONES'!L55&lt;&gt;"",IF(ISNUMBER('LID_LIQUIDACIONES'!L55),OR('LID_LIQUIDACIONES'!L55&lt;&gt;ROUND('LID_LIQUIDACIONES'!L55,0),LEN(TEXT(INT(ABS('LID_LIQUIDACIONES'!L55)),"0"))&gt;12),TRUE)),1,0)</f>
        <v/>
      </c>
      <c r="M55">
        <f>IF(AND('LID_LIQUIDACIONES'!M55&lt;&gt;"",COUNTIF(CL_CAT_MOTIVO_RET,'LID_LIQUIDACIONES'!M55)=0),1,0)</f>
        <v/>
      </c>
      <c r="N55">
        <f>IF(AND('LID_LIQUIDACIONES'!N55&lt;&gt;"",LEN('LID_LIQUIDACIONES'!N55)&gt;50),1,0)</f>
        <v/>
      </c>
      <c r="O55">
        <f>IF(AND('LID_LIQUIDACIONES'!O55&lt;&gt;"",COUNTIF(CL_CARACT_LIQ,'LID_LIQUIDACIONES'!O55)=0),1,0)</f>
        <v/>
      </c>
      <c r="P55">
        <f>IF(AND('LID_LIQUIDACIONES'!P55&lt;&gt;"",NOT(ISNUMBER('LID_LIQUIDACIONES'!P55))),1,0)</f>
        <v/>
      </c>
    </row>
    <row r="56">
      <c r="A56">
        <f>IF(AND('LID_LIQUIDACIONES'!A56&lt;&gt;"",NOT(ISNUMBER('LID_LIQUIDACIONES'!A56))),1,0)</f>
        <v/>
      </c>
      <c r="B56">
        <f>IF(AND('LID_LIQUIDACIONES'!B56&lt;&gt;"",LEN('LID_LIQUIDACIONES'!B56)&gt;5),1,0)</f>
        <v/>
      </c>
      <c r="C56">
        <f>IF(AND('LID_LIQUIDACIONES'!C56&lt;&gt;"",COUNTIF(CL_TIPO_VALOR,'LID_LIQUIDACIONES'!C56)=0),1,0)</f>
        <v/>
      </c>
      <c r="D56">
        <f>IF(AND('LID_LIQUIDACIONES'!D56&lt;&gt;"",COUNTIF(CL_TIPO_OBLIGACI_N,'LID_LIQUIDACIONES'!D56)=0),1,0)</f>
        <v/>
      </c>
      <c r="E56">
        <f>IF(AND('LID_LIQUIDACIONES'!E56&lt;&gt;"",IF(ISNUMBER('LID_LIQUIDACIONES'!E56),OR('LID_LIQUIDACIONES'!E56&lt;&gt;ROUND('LID_LIQUIDACIONES'!E56,0),LEN(TEXT(INT(ABS('LID_LIQUIDACIONES'!E56)),"0"))&gt;12),TRUE)),1,0)</f>
        <v/>
      </c>
      <c r="F56">
        <f>IF(AND('LID_LIQUIDACIONES'!F56&lt;&gt;"",OR(LEN('LID_LIQUIDACIONES'!F56)&gt;3,COUNTIF(CL_MONEDA,'LID_LIQUIDACIONES'!F56)=0)),1,0)</f>
        <v/>
      </c>
      <c r="G56">
        <f>IF(AND('LID_LIQUIDACIONES'!G56&lt;&gt;"",COUNTIF(CL_ID_PAGOS,'LID_LIQUIDACIONES'!G56)=0),1,0)</f>
        <v/>
      </c>
      <c r="H56">
        <f>IF(AND('LID_LIQUIDACIONES'!H56&lt;&gt;"",COUNTIF(CL_FLAG_HORARIO,'LID_LIQUIDACIONES'!H56)=0),1,0)</f>
        <v/>
      </c>
      <c r="I56">
        <f>IF(AND('LID_LIQUIDACIONES'!I56&lt;&gt;"",COUNTIF(CL_CAT_ID_PAGOS_RET,'LID_LIQUIDACIONES'!I56)=0),1,0)</f>
        <v/>
      </c>
      <c r="J56">
        <f>IF(AND('LID_LIQUIDACIONES'!J56&lt;&gt;"",NOT(ISNUMBER('LID_LIQUIDACIONES'!J56))),1,0)</f>
        <v/>
      </c>
      <c r="K56">
        <f>IF(AND('LID_LIQUIDACIONES'!K56&lt;&gt;"",LEN('LID_LIQUIDACIONES'!K56)&gt;5),1,0)</f>
        <v/>
      </c>
      <c r="L56">
        <f>IF(AND('LID_LIQUIDACIONES'!L56&lt;&gt;"",IF(ISNUMBER('LID_LIQUIDACIONES'!L56),OR('LID_LIQUIDACIONES'!L56&lt;&gt;ROUND('LID_LIQUIDACIONES'!L56,0),LEN(TEXT(INT(ABS('LID_LIQUIDACIONES'!L56)),"0"))&gt;12),TRUE)),1,0)</f>
        <v/>
      </c>
      <c r="M56">
        <f>IF(AND('LID_LIQUIDACIONES'!M56&lt;&gt;"",COUNTIF(CL_CAT_MOTIVO_RET,'LID_LIQUIDACIONES'!M56)=0),1,0)</f>
        <v/>
      </c>
      <c r="N56">
        <f>IF(AND('LID_LIQUIDACIONES'!N56&lt;&gt;"",LEN('LID_LIQUIDACIONES'!N56)&gt;50),1,0)</f>
        <v/>
      </c>
      <c r="O56">
        <f>IF(AND('LID_LIQUIDACIONES'!O56&lt;&gt;"",COUNTIF(CL_CARACT_LIQ,'LID_LIQUIDACIONES'!O56)=0),1,0)</f>
        <v/>
      </c>
      <c r="P56">
        <f>IF(AND('LID_LIQUIDACIONES'!P56&lt;&gt;"",NOT(ISNUMBER('LID_LIQUIDACIONES'!P56))),1,0)</f>
        <v/>
      </c>
    </row>
    <row r="57">
      <c r="A57">
        <f>IF(AND('LID_LIQUIDACIONES'!A57&lt;&gt;"",NOT(ISNUMBER('LID_LIQUIDACIONES'!A57))),1,0)</f>
        <v/>
      </c>
      <c r="B57">
        <f>IF(AND('LID_LIQUIDACIONES'!B57&lt;&gt;"",LEN('LID_LIQUIDACIONES'!B57)&gt;5),1,0)</f>
        <v/>
      </c>
      <c r="C57">
        <f>IF(AND('LID_LIQUIDACIONES'!C57&lt;&gt;"",COUNTIF(CL_TIPO_VALOR,'LID_LIQUIDACIONES'!C57)=0),1,0)</f>
        <v/>
      </c>
      <c r="D57">
        <f>IF(AND('LID_LIQUIDACIONES'!D57&lt;&gt;"",COUNTIF(CL_TIPO_OBLIGACI_N,'LID_LIQUIDACIONES'!D57)=0),1,0)</f>
        <v/>
      </c>
      <c r="E57">
        <f>IF(AND('LID_LIQUIDACIONES'!E57&lt;&gt;"",IF(ISNUMBER('LID_LIQUIDACIONES'!E57),OR('LID_LIQUIDACIONES'!E57&lt;&gt;ROUND('LID_LIQUIDACIONES'!E57,0),LEN(TEXT(INT(ABS('LID_LIQUIDACIONES'!E57)),"0"))&gt;12),TRUE)),1,0)</f>
        <v/>
      </c>
      <c r="F57">
        <f>IF(AND('LID_LIQUIDACIONES'!F57&lt;&gt;"",OR(LEN('LID_LIQUIDACIONES'!F57)&gt;3,COUNTIF(CL_MONEDA,'LID_LIQUIDACIONES'!F57)=0)),1,0)</f>
        <v/>
      </c>
      <c r="G57">
        <f>IF(AND('LID_LIQUIDACIONES'!G57&lt;&gt;"",COUNTIF(CL_ID_PAGOS,'LID_LIQUIDACIONES'!G57)=0),1,0)</f>
        <v/>
      </c>
      <c r="H57">
        <f>IF(AND('LID_LIQUIDACIONES'!H57&lt;&gt;"",COUNTIF(CL_FLAG_HORARIO,'LID_LIQUIDACIONES'!H57)=0),1,0)</f>
        <v/>
      </c>
      <c r="I57">
        <f>IF(AND('LID_LIQUIDACIONES'!I57&lt;&gt;"",COUNTIF(CL_CAT_ID_PAGOS_RET,'LID_LIQUIDACIONES'!I57)=0),1,0)</f>
        <v/>
      </c>
      <c r="J57">
        <f>IF(AND('LID_LIQUIDACIONES'!J57&lt;&gt;"",NOT(ISNUMBER('LID_LIQUIDACIONES'!J57))),1,0)</f>
        <v/>
      </c>
      <c r="K57">
        <f>IF(AND('LID_LIQUIDACIONES'!K57&lt;&gt;"",LEN('LID_LIQUIDACIONES'!K57)&gt;5),1,0)</f>
        <v/>
      </c>
      <c r="L57">
        <f>IF(AND('LID_LIQUIDACIONES'!L57&lt;&gt;"",IF(ISNUMBER('LID_LIQUIDACIONES'!L57),OR('LID_LIQUIDACIONES'!L57&lt;&gt;ROUND('LID_LIQUIDACIONES'!L57,0),LEN(TEXT(INT(ABS('LID_LIQUIDACIONES'!L57)),"0"))&gt;12),TRUE)),1,0)</f>
        <v/>
      </c>
      <c r="M57">
        <f>IF(AND('LID_LIQUIDACIONES'!M57&lt;&gt;"",COUNTIF(CL_CAT_MOTIVO_RET,'LID_LIQUIDACIONES'!M57)=0),1,0)</f>
        <v/>
      </c>
      <c r="N57">
        <f>IF(AND('LID_LIQUIDACIONES'!N57&lt;&gt;"",LEN('LID_LIQUIDACIONES'!N57)&gt;50),1,0)</f>
        <v/>
      </c>
      <c r="O57">
        <f>IF(AND('LID_LIQUIDACIONES'!O57&lt;&gt;"",COUNTIF(CL_CARACT_LIQ,'LID_LIQUIDACIONES'!O57)=0),1,0)</f>
        <v/>
      </c>
      <c r="P57">
        <f>IF(AND('LID_LIQUIDACIONES'!P57&lt;&gt;"",NOT(ISNUMBER('LID_LIQUIDACIONES'!P57))),1,0)</f>
        <v/>
      </c>
    </row>
    <row r="58">
      <c r="A58">
        <f>IF(AND('LID_LIQUIDACIONES'!A58&lt;&gt;"",NOT(ISNUMBER('LID_LIQUIDACIONES'!A58))),1,0)</f>
        <v/>
      </c>
      <c r="B58">
        <f>IF(AND('LID_LIQUIDACIONES'!B58&lt;&gt;"",LEN('LID_LIQUIDACIONES'!B58)&gt;5),1,0)</f>
        <v/>
      </c>
      <c r="C58">
        <f>IF(AND('LID_LIQUIDACIONES'!C58&lt;&gt;"",COUNTIF(CL_TIPO_VALOR,'LID_LIQUIDACIONES'!C58)=0),1,0)</f>
        <v/>
      </c>
      <c r="D58">
        <f>IF(AND('LID_LIQUIDACIONES'!D58&lt;&gt;"",COUNTIF(CL_TIPO_OBLIGACI_N,'LID_LIQUIDACIONES'!D58)=0),1,0)</f>
        <v/>
      </c>
      <c r="E58">
        <f>IF(AND('LID_LIQUIDACIONES'!E58&lt;&gt;"",IF(ISNUMBER('LID_LIQUIDACIONES'!E58),OR('LID_LIQUIDACIONES'!E58&lt;&gt;ROUND('LID_LIQUIDACIONES'!E58,0),LEN(TEXT(INT(ABS('LID_LIQUIDACIONES'!E58)),"0"))&gt;12),TRUE)),1,0)</f>
        <v/>
      </c>
      <c r="F58">
        <f>IF(AND('LID_LIQUIDACIONES'!F58&lt;&gt;"",OR(LEN('LID_LIQUIDACIONES'!F58)&gt;3,COUNTIF(CL_MONEDA,'LID_LIQUIDACIONES'!F58)=0)),1,0)</f>
        <v/>
      </c>
      <c r="G58">
        <f>IF(AND('LID_LIQUIDACIONES'!G58&lt;&gt;"",COUNTIF(CL_ID_PAGOS,'LID_LIQUIDACIONES'!G58)=0),1,0)</f>
        <v/>
      </c>
      <c r="H58">
        <f>IF(AND('LID_LIQUIDACIONES'!H58&lt;&gt;"",COUNTIF(CL_FLAG_HORARIO,'LID_LIQUIDACIONES'!H58)=0),1,0)</f>
        <v/>
      </c>
      <c r="I58">
        <f>IF(AND('LID_LIQUIDACIONES'!I58&lt;&gt;"",COUNTIF(CL_CAT_ID_PAGOS_RET,'LID_LIQUIDACIONES'!I58)=0),1,0)</f>
        <v/>
      </c>
      <c r="J58">
        <f>IF(AND('LID_LIQUIDACIONES'!J58&lt;&gt;"",NOT(ISNUMBER('LID_LIQUIDACIONES'!J58))),1,0)</f>
        <v/>
      </c>
      <c r="K58">
        <f>IF(AND('LID_LIQUIDACIONES'!K58&lt;&gt;"",LEN('LID_LIQUIDACIONES'!K58)&gt;5),1,0)</f>
        <v/>
      </c>
      <c r="L58">
        <f>IF(AND('LID_LIQUIDACIONES'!L58&lt;&gt;"",IF(ISNUMBER('LID_LIQUIDACIONES'!L58),OR('LID_LIQUIDACIONES'!L58&lt;&gt;ROUND('LID_LIQUIDACIONES'!L58,0),LEN(TEXT(INT(ABS('LID_LIQUIDACIONES'!L58)),"0"))&gt;12),TRUE)),1,0)</f>
        <v/>
      </c>
      <c r="M58">
        <f>IF(AND('LID_LIQUIDACIONES'!M58&lt;&gt;"",COUNTIF(CL_CAT_MOTIVO_RET,'LID_LIQUIDACIONES'!M58)=0),1,0)</f>
        <v/>
      </c>
      <c r="N58">
        <f>IF(AND('LID_LIQUIDACIONES'!N58&lt;&gt;"",LEN('LID_LIQUIDACIONES'!N58)&gt;50),1,0)</f>
        <v/>
      </c>
      <c r="O58">
        <f>IF(AND('LID_LIQUIDACIONES'!O58&lt;&gt;"",COUNTIF(CL_CARACT_LIQ,'LID_LIQUIDACIONES'!O58)=0),1,0)</f>
        <v/>
      </c>
      <c r="P58">
        <f>IF(AND('LID_LIQUIDACIONES'!P58&lt;&gt;"",NOT(ISNUMBER('LID_LIQUIDACIONES'!P58))),1,0)</f>
        <v/>
      </c>
    </row>
    <row r="59">
      <c r="A59">
        <f>IF(AND('LID_LIQUIDACIONES'!A59&lt;&gt;"",NOT(ISNUMBER('LID_LIQUIDACIONES'!A59))),1,0)</f>
        <v/>
      </c>
      <c r="B59">
        <f>IF(AND('LID_LIQUIDACIONES'!B59&lt;&gt;"",LEN('LID_LIQUIDACIONES'!B59)&gt;5),1,0)</f>
        <v/>
      </c>
      <c r="C59">
        <f>IF(AND('LID_LIQUIDACIONES'!C59&lt;&gt;"",COUNTIF(CL_TIPO_VALOR,'LID_LIQUIDACIONES'!C59)=0),1,0)</f>
        <v/>
      </c>
      <c r="D59">
        <f>IF(AND('LID_LIQUIDACIONES'!D59&lt;&gt;"",COUNTIF(CL_TIPO_OBLIGACI_N,'LID_LIQUIDACIONES'!D59)=0),1,0)</f>
        <v/>
      </c>
      <c r="E59">
        <f>IF(AND('LID_LIQUIDACIONES'!E59&lt;&gt;"",IF(ISNUMBER('LID_LIQUIDACIONES'!E59),OR('LID_LIQUIDACIONES'!E59&lt;&gt;ROUND('LID_LIQUIDACIONES'!E59,0),LEN(TEXT(INT(ABS('LID_LIQUIDACIONES'!E59)),"0"))&gt;12),TRUE)),1,0)</f>
        <v/>
      </c>
      <c r="F59">
        <f>IF(AND('LID_LIQUIDACIONES'!F59&lt;&gt;"",OR(LEN('LID_LIQUIDACIONES'!F59)&gt;3,COUNTIF(CL_MONEDA,'LID_LIQUIDACIONES'!F59)=0)),1,0)</f>
        <v/>
      </c>
      <c r="G59">
        <f>IF(AND('LID_LIQUIDACIONES'!G59&lt;&gt;"",COUNTIF(CL_ID_PAGOS,'LID_LIQUIDACIONES'!G59)=0),1,0)</f>
        <v/>
      </c>
      <c r="H59">
        <f>IF(AND('LID_LIQUIDACIONES'!H59&lt;&gt;"",COUNTIF(CL_FLAG_HORARIO,'LID_LIQUIDACIONES'!H59)=0),1,0)</f>
        <v/>
      </c>
      <c r="I59">
        <f>IF(AND('LID_LIQUIDACIONES'!I59&lt;&gt;"",COUNTIF(CL_CAT_ID_PAGOS_RET,'LID_LIQUIDACIONES'!I59)=0),1,0)</f>
        <v/>
      </c>
      <c r="J59">
        <f>IF(AND('LID_LIQUIDACIONES'!J59&lt;&gt;"",NOT(ISNUMBER('LID_LIQUIDACIONES'!J59))),1,0)</f>
        <v/>
      </c>
      <c r="K59">
        <f>IF(AND('LID_LIQUIDACIONES'!K59&lt;&gt;"",LEN('LID_LIQUIDACIONES'!K59)&gt;5),1,0)</f>
        <v/>
      </c>
      <c r="L59">
        <f>IF(AND('LID_LIQUIDACIONES'!L59&lt;&gt;"",IF(ISNUMBER('LID_LIQUIDACIONES'!L59),OR('LID_LIQUIDACIONES'!L59&lt;&gt;ROUND('LID_LIQUIDACIONES'!L59,0),LEN(TEXT(INT(ABS('LID_LIQUIDACIONES'!L59)),"0"))&gt;12),TRUE)),1,0)</f>
        <v/>
      </c>
      <c r="M59">
        <f>IF(AND('LID_LIQUIDACIONES'!M59&lt;&gt;"",COUNTIF(CL_CAT_MOTIVO_RET,'LID_LIQUIDACIONES'!M59)=0),1,0)</f>
        <v/>
      </c>
      <c r="N59">
        <f>IF(AND('LID_LIQUIDACIONES'!N59&lt;&gt;"",LEN('LID_LIQUIDACIONES'!N59)&gt;50),1,0)</f>
        <v/>
      </c>
      <c r="O59">
        <f>IF(AND('LID_LIQUIDACIONES'!O59&lt;&gt;"",COUNTIF(CL_CARACT_LIQ,'LID_LIQUIDACIONES'!O59)=0),1,0)</f>
        <v/>
      </c>
      <c r="P59">
        <f>IF(AND('LID_LIQUIDACIONES'!P59&lt;&gt;"",NOT(ISNUMBER('LID_LIQUIDACIONES'!P59))),1,0)</f>
        <v/>
      </c>
    </row>
    <row r="60">
      <c r="A60">
        <f>IF(AND('LID_LIQUIDACIONES'!A60&lt;&gt;"",NOT(ISNUMBER('LID_LIQUIDACIONES'!A60))),1,0)</f>
        <v/>
      </c>
      <c r="B60">
        <f>IF(AND('LID_LIQUIDACIONES'!B60&lt;&gt;"",LEN('LID_LIQUIDACIONES'!B60)&gt;5),1,0)</f>
        <v/>
      </c>
      <c r="C60">
        <f>IF(AND('LID_LIQUIDACIONES'!C60&lt;&gt;"",COUNTIF(CL_TIPO_VALOR,'LID_LIQUIDACIONES'!C60)=0),1,0)</f>
        <v/>
      </c>
      <c r="D60">
        <f>IF(AND('LID_LIQUIDACIONES'!D60&lt;&gt;"",COUNTIF(CL_TIPO_OBLIGACI_N,'LID_LIQUIDACIONES'!D60)=0),1,0)</f>
        <v/>
      </c>
      <c r="E60">
        <f>IF(AND('LID_LIQUIDACIONES'!E60&lt;&gt;"",IF(ISNUMBER('LID_LIQUIDACIONES'!E60),OR('LID_LIQUIDACIONES'!E60&lt;&gt;ROUND('LID_LIQUIDACIONES'!E60,0),LEN(TEXT(INT(ABS('LID_LIQUIDACIONES'!E60)),"0"))&gt;12),TRUE)),1,0)</f>
        <v/>
      </c>
      <c r="F60">
        <f>IF(AND('LID_LIQUIDACIONES'!F60&lt;&gt;"",OR(LEN('LID_LIQUIDACIONES'!F60)&gt;3,COUNTIF(CL_MONEDA,'LID_LIQUIDACIONES'!F60)=0)),1,0)</f>
        <v/>
      </c>
      <c r="G60">
        <f>IF(AND('LID_LIQUIDACIONES'!G60&lt;&gt;"",COUNTIF(CL_ID_PAGOS,'LID_LIQUIDACIONES'!G60)=0),1,0)</f>
        <v/>
      </c>
      <c r="H60">
        <f>IF(AND('LID_LIQUIDACIONES'!H60&lt;&gt;"",COUNTIF(CL_FLAG_HORARIO,'LID_LIQUIDACIONES'!H60)=0),1,0)</f>
        <v/>
      </c>
      <c r="I60">
        <f>IF(AND('LID_LIQUIDACIONES'!I60&lt;&gt;"",COUNTIF(CL_CAT_ID_PAGOS_RET,'LID_LIQUIDACIONES'!I60)=0),1,0)</f>
        <v/>
      </c>
      <c r="J60">
        <f>IF(AND('LID_LIQUIDACIONES'!J60&lt;&gt;"",NOT(ISNUMBER('LID_LIQUIDACIONES'!J60))),1,0)</f>
        <v/>
      </c>
      <c r="K60">
        <f>IF(AND('LID_LIQUIDACIONES'!K60&lt;&gt;"",LEN('LID_LIQUIDACIONES'!K60)&gt;5),1,0)</f>
        <v/>
      </c>
      <c r="L60">
        <f>IF(AND('LID_LIQUIDACIONES'!L60&lt;&gt;"",IF(ISNUMBER('LID_LIQUIDACIONES'!L60),OR('LID_LIQUIDACIONES'!L60&lt;&gt;ROUND('LID_LIQUIDACIONES'!L60,0),LEN(TEXT(INT(ABS('LID_LIQUIDACIONES'!L60)),"0"))&gt;12),TRUE)),1,0)</f>
        <v/>
      </c>
      <c r="M60">
        <f>IF(AND('LID_LIQUIDACIONES'!M60&lt;&gt;"",COUNTIF(CL_CAT_MOTIVO_RET,'LID_LIQUIDACIONES'!M60)=0),1,0)</f>
        <v/>
      </c>
      <c r="N60">
        <f>IF(AND('LID_LIQUIDACIONES'!N60&lt;&gt;"",LEN('LID_LIQUIDACIONES'!N60)&gt;50),1,0)</f>
        <v/>
      </c>
      <c r="O60">
        <f>IF(AND('LID_LIQUIDACIONES'!O60&lt;&gt;"",COUNTIF(CL_CARACT_LIQ,'LID_LIQUIDACIONES'!O60)=0),1,0)</f>
        <v/>
      </c>
      <c r="P60">
        <f>IF(AND('LID_LIQUIDACIONES'!P60&lt;&gt;"",NOT(ISNUMBER('LID_LIQUIDACIONES'!P60))),1,0)</f>
        <v/>
      </c>
    </row>
    <row r="61">
      <c r="A61">
        <f>IF(AND('LID_LIQUIDACIONES'!A61&lt;&gt;"",NOT(ISNUMBER('LID_LIQUIDACIONES'!A61))),1,0)</f>
        <v/>
      </c>
      <c r="B61">
        <f>IF(AND('LID_LIQUIDACIONES'!B61&lt;&gt;"",LEN('LID_LIQUIDACIONES'!B61)&gt;5),1,0)</f>
        <v/>
      </c>
      <c r="C61">
        <f>IF(AND('LID_LIQUIDACIONES'!C61&lt;&gt;"",COUNTIF(CL_TIPO_VALOR,'LID_LIQUIDACIONES'!C61)=0),1,0)</f>
        <v/>
      </c>
      <c r="D61">
        <f>IF(AND('LID_LIQUIDACIONES'!D61&lt;&gt;"",COUNTIF(CL_TIPO_OBLIGACI_N,'LID_LIQUIDACIONES'!D61)=0),1,0)</f>
        <v/>
      </c>
      <c r="E61">
        <f>IF(AND('LID_LIQUIDACIONES'!E61&lt;&gt;"",IF(ISNUMBER('LID_LIQUIDACIONES'!E61),OR('LID_LIQUIDACIONES'!E61&lt;&gt;ROUND('LID_LIQUIDACIONES'!E61,0),LEN(TEXT(INT(ABS('LID_LIQUIDACIONES'!E61)),"0"))&gt;12),TRUE)),1,0)</f>
        <v/>
      </c>
      <c r="F61">
        <f>IF(AND('LID_LIQUIDACIONES'!F61&lt;&gt;"",OR(LEN('LID_LIQUIDACIONES'!F61)&gt;3,COUNTIF(CL_MONEDA,'LID_LIQUIDACIONES'!F61)=0)),1,0)</f>
        <v/>
      </c>
      <c r="G61">
        <f>IF(AND('LID_LIQUIDACIONES'!G61&lt;&gt;"",COUNTIF(CL_ID_PAGOS,'LID_LIQUIDACIONES'!G61)=0),1,0)</f>
        <v/>
      </c>
      <c r="H61">
        <f>IF(AND('LID_LIQUIDACIONES'!H61&lt;&gt;"",COUNTIF(CL_FLAG_HORARIO,'LID_LIQUIDACIONES'!H61)=0),1,0)</f>
        <v/>
      </c>
      <c r="I61">
        <f>IF(AND('LID_LIQUIDACIONES'!I61&lt;&gt;"",COUNTIF(CL_CAT_ID_PAGOS_RET,'LID_LIQUIDACIONES'!I61)=0),1,0)</f>
        <v/>
      </c>
      <c r="J61">
        <f>IF(AND('LID_LIQUIDACIONES'!J61&lt;&gt;"",NOT(ISNUMBER('LID_LIQUIDACIONES'!J61))),1,0)</f>
        <v/>
      </c>
      <c r="K61">
        <f>IF(AND('LID_LIQUIDACIONES'!K61&lt;&gt;"",LEN('LID_LIQUIDACIONES'!K61)&gt;5),1,0)</f>
        <v/>
      </c>
      <c r="L61">
        <f>IF(AND('LID_LIQUIDACIONES'!L61&lt;&gt;"",IF(ISNUMBER('LID_LIQUIDACIONES'!L61),OR('LID_LIQUIDACIONES'!L61&lt;&gt;ROUND('LID_LIQUIDACIONES'!L61,0),LEN(TEXT(INT(ABS('LID_LIQUIDACIONES'!L61)),"0"))&gt;12),TRUE)),1,0)</f>
        <v/>
      </c>
      <c r="M61">
        <f>IF(AND('LID_LIQUIDACIONES'!M61&lt;&gt;"",COUNTIF(CL_CAT_MOTIVO_RET,'LID_LIQUIDACIONES'!M61)=0),1,0)</f>
        <v/>
      </c>
      <c r="N61">
        <f>IF(AND('LID_LIQUIDACIONES'!N61&lt;&gt;"",LEN('LID_LIQUIDACIONES'!N61)&gt;50),1,0)</f>
        <v/>
      </c>
      <c r="O61">
        <f>IF(AND('LID_LIQUIDACIONES'!O61&lt;&gt;"",COUNTIF(CL_CARACT_LIQ,'LID_LIQUIDACIONES'!O61)=0),1,0)</f>
        <v/>
      </c>
      <c r="P61">
        <f>IF(AND('LID_LIQUIDACIONES'!P61&lt;&gt;"",NOT(ISNUMBER('LID_LIQUIDACIONES'!P61))),1,0)</f>
        <v/>
      </c>
    </row>
    <row r="62">
      <c r="A62">
        <f>IF(AND('LID_LIQUIDACIONES'!A62&lt;&gt;"",NOT(ISNUMBER('LID_LIQUIDACIONES'!A62))),1,0)</f>
        <v/>
      </c>
      <c r="B62">
        <f>IF(AND('LID_LIQUIDACIONES'!B62&lt;&gt;"",LEN('LID_LIQUIDACIONES'!B62)&gt;5),1,0)</f>
        <v/>
      </c>
      <c r="C62">
        <f>IF(AND('LID_LIQUIDACIONES'!C62&lt;&gt;"",COUNTIF(CL_TIPO_VALOR,'LID_LIQUIDACIONES'!C62)=0),1,0)</f>
        <v/>
      </c>
      <c r="D62">
        <f>IF(AND('LID_LIQUIDACIONES'!D62&lt;&gt;"",COUNTIF(CL_TIPO_OBLIGACI_N,'LID_LIQUIDACIONES'!D62)=0),1,0)</f>
        <v/>
      </c>
      <c r="E62">
        <f>IF(AND('LID_LIQUIDACIONES'!E62&lt;&gt;"",IF(ISNUMBER('LID_LIQUIDACIONES'!E62),OR('LID_LIQUIDACIONES'!E62&lt;&gt;ROUND('LID_LIQUIDACIONES'!E62,0),LEN(TEXT(INT(ABS('LID_LIQUIDACIONES'!E62)),"0"))&gt;12),TRUE)),1,0)</f>
        <v/>
      </c>
      <c r="F62">
        <f>IF(AND('LID_LIQUIDACIONES'!F62&lt;&gt;"",OR(LEN('LID_LIQUIDACIONES'!F62)&gt;3,COUNTIF(CL_MONEDA,'LID_LIQUIDACIONES'!F62)=0)),1,0)</f>
        <v/>
      </c>
      <c r="G62">
        <f>IF(AND('LID_LIQUIDACIONES'!G62&lt;&gt;"",COUNTIF(CL_ID_PAGOS,'LID_LIQUIDACIONES'!G62)=0),1,0)</f>
        <v/>
      </c>
      <c r="H62">
        <f>IF(AND('LID_LIQUIDACIONES'!H62&lt;&gt;"",COUNTIF(CL_FLAG_HORARIO,'LID_LIQUIDACIONES'!H62)=0),1,0)</f>
        <v/>
      </c>
      <c r="I62">
        <f>IF(AND('LID_LIQUIDACIONES'!I62&lt;&gt;"",COUNTIF(CL_CAT_ID_PAGOS_RET,'LID_LIQUIDACIONES'!I62)=0),1,0)</f>
        <v/>
      </c>
      <c r="J62">
        <f>IF(AND('LID_LIQUIDACIONES'!J62&lt;&gt;"",NOT(ISNUMBER('LID_LIQUIDACIONES'!J62))),1,0)</f>
        <v/>
      </c>
      <c r="K62">
        <f>IF(AND('LID_LIQUIDACIONES'!K62&lt;&gt;"",LEN('LID_LIQUIDACIONES'!K62)&gt;5),1,0)</f>
        <v/>
      </c>
      <c r="L62">
        <f>IF(AND('LID_LIQUIDACIONES'!L62&lt;&gt;"",IF(ISNUMBER('LID_LIQUIDACIONES'!L62),OR('LID_LIQUIDACIONES'!L62&lt;&gt;ROUND('LID_LIQUIDACIONES'!L62,0),LEN(TEXT(INT(ABS('LID_LIQUIDACIONES'!L62)),"0"))&gt;12),TRUE)),1,0)</f>
        <v/>
      </c>
      <c r="M62">
        <f>IF(AND('LID_LIQUIDACIONES'!M62&lt;&gt;"",COUNTIF(CL_CAT_MOTIVO_RET,'LID_LIQUIDACIONES'!M62)=0),1,0)</f>
        <v/>
      </c>
      <c r="N62">
        <f>IF(AND('LID_LIQUIDACIONES'!N62&lt;&gt;"",LEN('LID_LIQUIDACIONES'!N62)&gt;50),1,0)</f>
        <v/>
      </c>
      <c r="O62">
        <f>IF(AND('LID_LIQUIDACIONES'!O62&lt;&gt;"",COUNTIF(CL_CARACT_LIQ,'LID_LIQUIDACIONES'!O62)=0),1,0)</f>
        <v/>
      </c>
      <c r="P62">
        <f>IF(AND('LID_LIQUIDACIONES'!P62&lt;&gt;"",NOT(ISNUMBER('LID_LIQUIDACIONES'!P62))),1,0)</f>
        <v/>
      </c>
    </row>
    <row r="63">
      <c r="A63">
        <f>IF(AND('LID_LIQUIDACIONES'!A63&lt;&gt;"",NOT(ISNUMBER('LID_LIQUIDACIONES'!A63))),1,0)</f>
        <v/>
      </c>
      <c r="B63">
        <f>IF(AND('LID_LIQUIDACIONES'!B63&lt;&gt;"",LEN('LID_LIQUIDACIONES'!B63)&gt;5),1,0)</f>
        <v/>
      </c>
      <c r="C63">
        <f>IF(AND('LID_LIQUIDACIONES'!C63&lt;&gt;"",COUNTIF(CL_TIPO_VALOR,'LID_LIQUIDACIONES'!C63)=0),1,0)</f>
        <v/>
      </c>
      <c r="D63">
        <f>IF(AND('LID_LIQUIDACIONES'!D63&lt;&gt;"",COUNTIF(CL_TIPO_OBLIGACI_N,'LID_LIQUIDACIONES'!D63)=0),1,0)</f>
        <v/>
      </c>
      <c r="E63">
        <f>IF(AND('LID_LIQUIDACIONES'!E63&lt;&gt;"",IF(ISNUMBER('LID_LIQUIDACIONES'!E63),OR('LID_LIQUIDACIONES'!E63&lt;&gt;ROUND('LID_LIQUIDACIONES'!E63,0),LEN(TEXT(INT(ABS('LID_LIQUIDACIONES'!E63)),"0"))&gt;12),TRUE)),1,0)</f>
        <v/>
      </c>
      <c r="F63">
        <f>IF(AND('LID_LIQUIDACIONES'!F63&lt;&gt;"",OR(LEN('LID_LIQUIDACIONES'!F63)&gt;3,COUNTIF(CL_MONEDA,'LID_LIQUIDACIONES'!F63)=0)),1,0)</f>
        <v/>
      </c>
      <c r="G63">
        <f>IF(AND('LID_LIQUIDACIONES'!G63&lt;&gt;"",COUNTIF(CL_ID_PAGOS,'LID_LIQUIDACIONES'!G63)=0),1,0)</f>
        <v/>
      </c>
      <c r="H63">
        <f>IF(AND('LID_LIQUIDACIONES'!H63&lt;&gt;"",COUNTIF(CL_FLAG_HORARIO,'LID_LIQUIDACIONES'!H63)=0),1,0)</f>
        <v/>
      </c>
      <c r="I63">
        <f>IF(AND('LID_LIQUIDACIONES'!I63&lt;&gt;"",COUNTIF(CL_CAT_ID_PAGOS_RET,'LID_LIQUIDACIONES'!I63)=0),1,0)</f>
        <v/>
      </c>
      <c r="J63">
        <f>IF(AND('LID_LIQUIDACIONES'!J63&lt;&gt;"",NOT(ISNUMBER('LID_LIQUIDACIONES'!J63))),1,0)</f>
        <v/>
      </c>
      <c r="K63">
        <f>IF(AND('LID_LIQUIDACIONES'!K63&lt;&gt;"",LEN('LID_LIQUIDACIONES'!K63)&gt;5),1,0)</f>
        <v/>
      </c>
      <c r="L63">
        <f>IF(AND('LID_LIQUIDACIONES'!L63&lt;&gt;"",IF(ISNUMBER('LID_LIQUIDACIONES'!L63),OR('LID_LIQUIDACIONES'!L63&lt;&gt;ROUND('LID_LIQUIDACIONES'!L63,0),LEN(TEXT(INT(ABS('LID_LIQUIDACIONES'!L63)),"0"))&gt;12),TRUE)),1,0)</f>
        <v/>
      </c>
      <c r="M63">
        <f>IF(AND('LID_LIQUIDACIONES'!M63&lt;&gt;"",COUNTIF(CL_CAT_MOTIVO_RET,'LID_LIQUIDACIONES'!M63)=0),1,0)</f>
        <v/>
      </c>
      <c r="N63">
        <f>IF(AND('LID_LIQUIDACIONES'!N63&lt;&gt;"",LEN('LID_LIQUIDACIONES'!N63)&gt;50),1,0)</f>
        <v/>
      </c>
      <c r="O63">
        <f>IF(AND('LID_LIQUIDACIONES'!O63&lt;&gt;"",COUNTIF(CL_CARACT_LIQ,'LID_LIQUIDACIONES'!O63)=0),1,0)</f>
        <v/>
      </c>
      <c r="P63">
        <f>IF(AND('LID_LIQUIDACIONES'!P63&lt;&gt;"",NOT(ISNUMBER('LID_LIQUIDACIONES'!P63))),1,0)</f>
        <v/>
      </c>
    </row>
    <row r="64">
      <c r="A64">
        <f>IF(AND('LID_LIQUIDACIONES'!A64&lt;&gt;"",NOT(ISNUMBER('LID_LIQUIDACIONES'!A64))),1,0)</f>
        <v/>
      </c>
      <c r="B64">
        <f>IF(AND('LID_LIQUIDACIONES'!B64&lt;&gt;"",LEN('LID_LIQUIDACIONES'!B64)&gt;5),1,0)</f>
        <v/>
      </c>
      <c r="C64">
        <f>IF(AND('LID_LIQUIDACIONES'!C64&lt;&gt;"",COUNTIF(CL_TIPO_VALOR,'LID_LIQUIDACIONES'!C64)=0),1,0)</f>
        <v/>
      </c>
      <c r="D64">
        <f>IF(AND('LID_LIQUIDACIONES'!D64&lt;&gt;"",COUNTIF(CL_TIPO_OBLIGACI_N,'LID_LIQUIDACIONES'!D64)=0),1,0)</f>
        <v/>
      </c>
      <c r="E64">
        <f>IF(AND('LID_LIQUIDACIONES'!E64&lt;&gt;"",IF(ISNUMBER('LID_LIQUIDACIONES'!E64),OR('LID_LIQUIDACIONES'!E64&lt;&gt;ROUND('LID_LIQUIDACIONES'!E64,0),LEN(TEXT(INT(ABS('LID_LIQUIDACIONES'!E64)),"0"))&gt;12),TRUE)),1,0)</f>
        <v/>
      </c>
      <c r="F64">
        <f>IF(AND('LID_LIQUIDACIONES'!F64&lt;&gt;"",OR(LEN('LID_LIQUIDACIONES'!F64)&gt;3,COUNTIF(CL_MONEDA,'LID_LIQUIDACIONES'!F64)=0)),1,0)</f>
        <v/>
      </c>
      <c r="G64">
        <f>IF(AND('LID_LIQUIDACIONES'!G64&lt;&gt;"",COUNTIF(CL_ID_PAGOS,'LID_LIQUIDACIONES'!G64)=0),1,0)</f>
        <v/>
      </c>
      <c r="H64">
        <f>IF(AND('LID_LIQUIDACIONES'!H64&lt;&gt;"",COUNTIF(CL_FLAG_HORARIO,'LID_LIQUIDACIONES'!H64)=0),1,0)</f>
        <v/>
      </c>
      <c r="I64">
        <f>IF(AND('LID_LIQUIDACIONES'!I64&lt;&gt;"",COUNTIF(CL_CAT_ID_PAGOS_RET,'LID_LIQUIDACIONES'!I64)=0),1,0)</f>
        <v/>
      </c>
      <c r="J64">
        <f>IF(AND('LID_LIQUIDACIONES'!J64&lt;&gt;"",NOT(ISNUMBER('LID_LIQUIDACIONES'!J64))),1,0)</f>
        <v/>
      </c>
      <c r="K64">
        <f>IF(AND('LID_LIQUIDACIONES'!K64&lt;&gt;"",LEN('LID_LIQUIDACIONES'!K64)&gt;5),1,0)</f>
        <v/>
      </c>
      <c r="L64">
        <f>IF(AND('LID_LIQUIDACIONES'!L64&lt;&gt;"",IF(ISNUMBER('LID_LIQUIDACIONES'!L64),OR('LID_LIQUIDACIONES'!L64&lt;&gt;ROUND('LID_LIQUIDACIONES'!L64,0),LEN(TEXT(INT(ABS('LID_LIQUIDACIONES'!L64)),"0"))&gt;12),TRUE)),1,0)</f>
        <v/>
      </c>
      <c r="M64">
        <f>IF(AND('LID_LIQUIDACIONES'!M64&lt;&gt;"",COUNTIF(CL_CAT_MOTIVO_RET,'LID_LIQUIDACIONES'!M64)=0),1,0)</f>
        <v/>
      </c>
      <c r="N64">
        <f>IF(AND('LID_LIQUIDACIONES'!N64&lt;&gt;"",LEN('LID_LIQUIDACIONES'!N64)&gt;50),1,0)</f>
        <v/>
      </c>
      <c r="O64">
        <f>IF(AND('LID_LIQUIDACIONES'!O64&lt;&gt;"",COUNTIF(CL_CARACT_LIQ,'LID_LIQUIDACIONES'!O64)=0),1,0)</f>
        <v/>
      </c>
      <c r="P64">
        <f>IF(AND('LID_LIQUIDACIONES'!P64&lt;&gt;"",NOT(ISNUMBER('LID_LIQUIDACIONES'!P64))),1,0)</f>
        <v/>
      </c>
    </row>
    <row r="65">
      <c r="A65">
        <f>IF(AND('LID_LIQUIDACIONES'!A65&lt;&gt;"",NOT(ISNUMBER('LID_LIQUIDACIONES'!A65))),1,0)</f>
        <v/>
      </c>
      <c r="B65">
        <f>IF(AND('LID_LIQUIDACIONES'!B65&lt;&gt;"",LEN('LID_LIQUIDACIONES'!B65)&gt;5),1,0)</f>
        <v/>
      </c>
      <c r="C65">
        <f>IF(AND('LID_LIQUIDACIONES'!C65&lt;&gt;"",COUNTIF(CL_TIPO_VALOR,'LID_LIQUIDACIONES'!C65)=0),1,0)</f>
        <v/>
      </c>
      <c r="D65">
        <f>IF(AND('LID_LIQUIDACIONES'!D65&lt;&gt;"",COUNTIF(CL_TIPO_OBLIGACI_N,'LID_LIQUIDACIONES'!D65)=0),1,0)</f>
        <v/>
      </c>
      <c r="E65">
        <f>IF(AND('LID_LIQUIDACIONES'!E65&lt;&gt;"",IF(ISNUMBER('LID_LIQUIDACIONES'!E65),OR('LID_LIQUIDACIONES'!E65&lt;&gt;ROUND('LID_LIQUIDACIONES'!E65,0),LEN(TEXT(INT(ABS('LID_LIQUIDACIONES'!E65)),"0"))&gt;12),TRUE)),1,0)</f>
        <v/>
      </c>
      <c r="F65">
        <f>IF(AND('LID_LIQUIDACIONES'!F65&lt;&gt;"",OR(LEN('LID_LIQUIDACIONES'!F65)&gt;3,COUNTIF(CL_MONEDA,'LID_LIQUIDACIONES'!F65)=0)),1,0)</f>
        <v/>
      </c>
      <c r="G65">
        <f>IF(AND('LID_LIQUIDACIONES'!G65&lt;&gt;"",COUNTIF(CL_ID_PAGOS,'LID_LIQUIDACIONES'!G65)=0),1,0)</f>
        <v/>
      </c>
      <c r="H65">
        <f>IF(AND('LID_LIQUIDACIONES'!H65&lt;&gt;"",COUNTIF(CL_FLAG_HORARIO,'LID_LIQUIDACIONES'!H65)=0),1,0)</f>
        <v/>
      </c>
      <c r="I65">
        <f>IF(AND('LID_LIQUIDACIONES'!I65&lt;&gt;"",COUNTIF(CL_CAT_ID_PAGOS_RET,'LID_LIQUIDACIONES'!I65)=0),1,0)</f>
        <v/>
      </c>
      <c r="J65">
        <f>IF(AND('LID_LIQUIDACIONES'!J65&lt;&gt;"",NOT(ISNUMBER('LID_LIQUIDACIONES'!J65))),1,0)</f>
        <v/>
      </c>
      <c r="K65">
        <f>IF(AND('LID_LIQUIDACIONES'!K65&lt;&gt;"",LEN('LID_LIQUIDACIONES'!K65)&gt;5),1,0)</f>
        <v/>
      </c>
      <c r="L65">
        <f>IF(AND('LID_LIQUIDACIONES'!L65&lt;&gt;"",IF(ISNUMBER('LID_LIQUIDACIONES'!L65),OR('LID_LIQUIDACIONES'!L65&lt;&gt;ROUND('LID_LIQUIDACIONES'!L65,0),LEN(TEXT(INT(ABS('LID_LIQUIDACIONES'!L65)),"0"))&gt;12),TRUE)),1,0)</f>
        <v/>
      </c>
      <c r="M65">
        <f>IF(AND('LID_LIQUIDACIONES'!M65&lt;&gt;"",COUNTIF(CL_CAT_MOTIVO_RET,'LID_LIQUIDACIONES'!M65)=0),1,0)</f>
        <v/>
      </c>
      <c r="N65">
        <f>IF(AND('LID_LIQUIDACIONES'!N65&lt;&gt;"",LEN('LID_LIQUIDACIONES'!N65)&gt;50),1,0)</f>
        <v/>
      </c>
      <c r="O65">
        <f>IF(AND('LID_LIQUIDACIONES'!O65&lt;&gt;"",COUNTIF(CL_CARACT_LIQ,'LID_LIQUIDACIONES'!O65)=0),1,0)</f>
        <v/>
      </c>
      <c r="P65">
        <f>IF(AND('LID_LIQUIDACIONES'!P65&lt;&gt;"",NOT(ISNUMBER('LID_LIQUIDACIONES'!P65))),1,0)</f>
        <v/>
      </c>
    </row>
    <row r="66">
      <c r="A66">
        <f>IF(AND('LID_LIQUIDACIONES'!A66&lt;&gt;"",NOT(ISNUMBER('LID_LIQUIDACIONES'!A66))),1,0)</f>
        <v/>
      </c>
      <c r="B66">
        <f>IF(AND('LID_LIQUIDACIONES'!B66&lt;&gt;"",LEN('LID_LIQUIDACIONES'!B66)&gt;5),1,0)</f>
        <v/>
      </c>
      <c r="C66">
        <f>IF(AND('LID_LIQUIDACIONES'!C66&lt;&gt;"",COUNTIF(CL_TIPO_VALOR,'LID_LIQUIDACIONES'!C66)=0),1,0)</f>
        <v/>
      </c>
      <c r="D66">
        <f>IF(AND('LID_LIQUIDACIONES'!D66&lt;&gt;"",COUNTIF(CL_TIPO_OBLIGACI_N,'LID_LIQUIDACIONES'!D66)=0),1,0)</f>
        <v/>
      </c>
      <c r="E66">
        <f>IF(AND('LID_LIQUIDACIONES'!E66&lt;&gt;"",IF(ISNUMBER('LID_LIQUIDACIONES'!E66),OR('LID_LIQUIDACIONES'!E66&lt;&gt;ROUND('LID_LIQUIDACIONES'!E66,0),LEN(TEXT(INT(ABS('LID_LIQUIDACIONES'!E66)),"0"))&gt;12),TRUE)),1,0)</f>
        <v/>
      </c>
      <c r="F66">
        <f>IF(AND('LID_LIQUIDACIONES'!F66&lt;&gt;"",OR(LEN('LID_LIQUIDACIONES'!F66)&gt;3,COUNTIF(CL_MONEDA,'LID_LIQUIDACIONES'!F66)=0)),1,0)</f>
        <v/>
      </c>
      <c r="G66">
        <f>IF(AND('LID_LIQUIDACIONES'!G66&lt;&gt;"",COUNTIF(CL_ID_PAGOS,'LID_LIQUIDACIONES'!G66)=0),1,0)</f>
        <v/>
      </c>
      <c r="H66">
        <f>IF(AND('LID_LIQUIDACIONES'!H66&lt;&gt;"",COUNTIF(CL_FLAG_HORARIO,'LID_LIQUIDACIONES'!H66)=0),1,0)</f>
        <v/>
      </c>
      <c r="I66">
        <f>IF(AND('LID_LIQUIDACIONES'!I66&lt;&gt;"",COUNTIF(CL_CAT_ID_PAGOS_RET,'LID_LIQUIDACIONES'!I66)=0),1,0)</f>
        <v/>
      </c>
      <c r="J66">
        <f>IF(AND('LID_LIQUIDACIONES'!J66&lt;&gt;"",NOT(ISNUMBER('LID_LIQUIDACIONES'!J66))),1,0)</f>
        <v/>
      </c>
      <c r="K66">
        <f>IF(AND('LID_LIQUIDACIONES'!K66&lt;&gt;"",LEN('LID_LIQUIDACIONES'!K66)&gt;5),1,0)</f>
        <v/>
      </c>
      <c r="L66">
        <f>IF(AND('LID_LIQUIDACIONES'!L66&lt;&gt;"",IF(ISNUMBER('LID_LIQUIDACIONES'!L66),OR('LID_LIQUIDACIONES'!L66&lt;&gt;ROUND('LID_LIQUIDACIONES'!L66,0),LEN(TEXT(INT(ABS('LID_LIQUIDACIONES'!L66)),"0"))&gt;12),TRUE)),1,0)</f>
        <v/>
      </c>
      <c r="M66">
        <f>IF(AND('LID_LIQUIDACIONES'!M66&lt;&gt;"",COUNTIF(CL_CAT_MOTIVO_RET,'LID_LIQUIDACIONES'!M66)=0),1,0)</f>
        <v/>
      </c>
      <c r="N66">
        <f>IF(AND('LID_LIQUIDACIONES'!N66&lt;&gt;"",LEN('LID_LIQUIDACIONES'!N66)&gt;50),1,0)</f>
        <v/>
      </c>
      <c r="O66">
        <f>IF(AND('LID_LIQUIDACIONES'!O66&lt;&gt;"",COUNTIF(CL_CARACT_LIQ,'LID_LIQUIDACIONES'!O66)=0),1,0)</f>
        <v/>
      </c>
      <c r="P66">
        <f>IF(AND('LID_LIQUIDACIONES'!P66&lt;&gt;"",NOT(ISNUMBER('LID_LIQUIDACIONES'!P66))),1,0)</f>
        <v/>
      </c>
    </row>
    <row r="67">
      <c r="A67">
        <f>IF(AND('LID_LIQUIDACIONES'!A67&lt;&gt;"",NOT(ISNUMBER('LID_LIQUIDACIONES'!A67))),1,0)</f>
        <v/>
      </c>
      <c r="B67">
        <f>IF(AND('LID_LIQUIDACIONES'!B67&lt;&gt;"",LEN('LID_LIQUIDACIONES'!B67)&gt;5),1,0)</f>
        <v/>
      </c>
      <c r="C67">
        <f>IF(AND('LID_LIQUIDACIONES'!C67&lt;&gt;"",COUNTIF(CL_TIPO_VALOR,'LID_LIQUIDACIONES'!C67)=0),1,0)</f>
        <v/>
      </c>
      <c r="D67">
        <f>IF(AND('LID_LIQUIDACIONES'!D67&lt;&gt;"",COUNTIF(CL_TIPO_OBLIGACI_N,'LID_LIQUIDACIONES'!D67)=0),1,0)</f>
        <v/>
      </c>
      <c r="E67">
        <f>IF(AND('LID_LIQUIDACIONES'!E67&lt;&gt;"",IF(ISNUMBER('LID_LIQUIDACIONES'!E67),OR('LID_LIQUIDACIONES'!E67&lt;&gt;ROUND('LID_LIQUIDACIONES'!E67,0),LEN(TEXT(INT(ABS('LID_LIQUIDACIONES'!E67)),"0"))&gt;12),TRUE)),1,0)</f>
        <v/>
      </c>
      <c r="F67">
        <f>IF(AND('LID_LIQUIDACIONES'!F67&lt;&gt;"",OR(LEN('LID_LIQUIDACIONES'!F67)&gt;3,COUNTIF(CL_MONEDA,'LID_LIQUIDACIONES'!F67)=0)),1,0)</f>
        <v/>
      </c>
      <c r="G67">
        <f>IF(AND('LID_LIQUIDACIONES'!G67&lt;&gt;"",COUNTIF(CL_ID_PAGOS,'LID_LIQUIDACIONES'!G67)=0),1,0)</f>
        <v/>
      </c>
      <c r="H67">
        <f>IF(AND('LID_LIQUIDACIONES'!H67&lt;&gt;"",COUNTIF(CL_FLAG_HORARIO,'LID_LIQUIDACIONES'!H67)=0),1,0)</f>
        <v/>
      </c>
      <c r="I67">
        <f>IF(AND('LID_LIQUIDACIONES'!I67&lt;&gt;"",COUNTIF(CL_CAT_ID_PAGOS_RET,'LID_LIQUIDACIONES'!I67)=0),1,0)</f>
        <v/>
      </c>
      <c r="J67">
        <f>IF(AND('LID_LIQUIDACIONES'!J67&lt;&gt;"",NOT(ISNUMBER('LID_LIQUIDACIONES'!J67))),1,0)</f>
        <v/>
      </c>
      <c r="K67">
        <f>IF(AND('LID_LIQUIDACIONES'!K67&lt;&gt;"",LEN('LID_LIQUIDACIONES'!K67)&gt;5),1,0)</f>
        <v/>
      </c>
      <c r="L67">
        <f>IF(AND('LID_LIQUIDACIONES'!L67&lt;&gt;"",IF(ISNUMBER('LID_LIQUIDACIONES'!L67),OR('LID_LIQUIDACIONES'!L67&lt;&gt;ROUND('LID_LIQUIDACIONES'!L67,0),LEN(TEXT(INT(ABS('LID_LIQUIDACIONES'!L67)),"0"))&gt;12),TRUE)),1,0)</f>
        <v/>
      </c>
      <c r="M67">
        <f>IF(AND('LID_LIQUIDACIONES'!M67&lt;&gt;"",COUNTIF(CL_CAT_MOTIVO_RET,'LID_LIQUIDACIONES'!M67)=0),1,0)</f>
        <v/>
      </c>
      <c r="N67">
        <f>IF(AND('LID_LIQUIDACIONES'!N67&lt;&gt;"",LEN('LID_LIQUIDACIONES'!N67)&gt;50),1,0)</f>
        <v/>
      </c>
      <c r="O67">
        <f>IF(AND('LID_LIQUIDACIONES'!O67&lt;&gt;"",COUNTIF(CL_CARACT_LIQ,'LID_LIQUIDACIONES'!O67)=0),1,0)</f>
        <v/>
      </c>
      <c r="P67">
        <f>IF(AND('LID_LIQUIDACIONES'!P67&lt;&gt;"",NOT(ISNUMBER('LID_LIQUIDACIONES'!P67))),1,0)</f>
        <v/>
      </c>
    </row>
    <row r="68">
      <c r="A68">
        <f>IF(AND('LID_LIQUIDACIONES'!A68&lt;&gt;"",NOT(ISNUMBER('LID_LIQUIDACIONES'!A68))),1,0)</f>
        <v/>
      </c>
      <c r="B68">
        <f>IF(AND('LID_LIQUIDACIONES'!B68&lt;&gt;"",LEN('LID_LIQUIDACIONES'!B68)&gt;5),1,0)</f>
        <v/>
      </c>
      <c r="C68">
        <f>IF(AND('LID_LIQUIDACIONES'!C68&lt;&gt;"",COUNTIF(CL_TIPO_VALOR,'LID_LIQUIDACIONES'!C68)=0),1,0)</f>
        <v/>
      </c>
      <c r="D68">
        <f>IF(AND('LID_LIQUIDACIONES'!D68&lt;&gt;"",COUNTIF(CL_TIPO_OBLIGACI_N,'LID_LIQUIDACIONES'!D68)=0),1,0)</f>
        <v/>
      </c>
      <c r="E68">
        <f>IF(AND('LID_LIQUIDACIONES'!E68&lt;&gt;"",IF(ISNUMBER('LID_LIQUIDACIONES'!E68),OR('LID_LIQUIDACIONES'!E68&lt;&gt;ROUND('LID_LIQUIDACIONES'!E68,0),LEN(TEXT(INT(ABS('LID_LIQUIDACIONES'!E68)),"0"))&gt;12),TRUE)),1,0)</f>
        <v/>
      </c>
      <c r="F68">
        <f>IF(AND('LID_LIQUIDACIONES'!F68&lt;&gt;"",OR(LEN('LID_LIQUIDACIONES'!F68)&gt;3,COUNTIF(CL_MONEDA,'LID_LIQUIDACIONES'!F68)=0)),1,0)</f>
        <v/>
      </c>
      <c r="G68">
        <f>IF(AND('LID_LIQUIDACIONES'!G68&lt;&gt;"",COUNTIF(CL_ID_PAGOS,'LID_LIQUIDACIONES'!G68)=0),1,0)</f>
        <v/>
      </c>
      <c r="H68">
        <f>IF(AND('LID_LIQUIDACIONES'!H68&lt;&gt;"",COUNTIF(CL_FLAG_HORARIO,'LID_LIQUIDACIONES'!H68)=0),1,0)</f>
        <v/>
      </c>
      <c r="I68">
        <f>IF(AND('LID_LIQUIDACIONES'!I68&lt;&gt;"",COUNTIF(CL_CAT_ID_PAGOS_RET,'LID_LIQUIDACIONES'!I68)=0),1,0)</f>
        <v/>
      </c>
      <c r="J68">
        <f>IF(AND('LID_LIQUIDACIONES'!J68&lt;&gt;"",NOT(ISNUMBER('LID_LIQUIDACIONES'!J68))),1,0)</f>
        <v/>
      </c>
      <c r="K68">
        <f>IF(AND('LID_LIQUIDACIONES'!K68&lt;&gt;"",LEN('LID_LIQUIDACIONES'!K68)&gt;5),1,0)</f>
        <v/>
      </c>
      <c r="L68">
        <f>IF(AND('LID_LIQUIDACIONES'!L68&lt;&gt;"",IF(ISNUMBER('LID_LIQUIDACIONES'!L68),OR('LID_LIQUIDACIONES'!L68&lt;&gt;ROUND('LID_LIQUIDACIONES'!L68,0),LEN(TEXT(INT(ABS('LID_LIQUIDACIONES'!L68)),"0"))&gt;12),TRUE)),1,0)</f>
        <v/>
      </c>
      <c r="M68">
        <f>IF(AND('LID_LIQUIDACIONES'!M68&lt;&gt;"",COUNTIF(CL_CAT_MOTIVO_RET,'LID_LIQUIDACIONES'!M68)=0),1,0)</f>
        <v/>
      </c>
      <c r="N68">
        <f>IF(AND('LID_LIQUIDACIONES'!N68&lt;&gt;"",LEN('LID_LIQUIDACIONES'!N68)&gt;50),1,0)</f>
        <v/>
      </c>
      <c r="O68">
        <f>IF(AND('LID_LIQUIDACIONES'!O68&lt;&gt;"",COUNTIF(CL_CARACT_LIQ,'LID_LIQUIDACIONES'!O68)=0),1,0)</f>
        <v/>
      </c>
      <c r="P68">
        <f>IF(AND('LID_LIQUIDACIONES'!P68&lt;&gt;"",NOT(ISNUMBER('LID_LIQUIDACIONES'!P68))),1,0)</f>
        <v/>
      </c>
    </row>
    <row r="69">
      <c r="A69">
        <f>IF(AND('LID_LIQUIDACIONES'!A69&lt;&gt;"",NOT(ISNUMBER('LID_LIQUIDACIONES'!A69))),1,0)</f>
        <v/>
      </c>
      <c r="B69">
        <f>IF(AND('LID_LIQUIDACIONES'!B69&lt;&gt;"",LEN('LID_LIQUIDACIONES'!B69)&gt;5),1,0)</f>
        <v/>
      </c>
      <c r="C69">
        <f>IF(AND('LID_LIQUIDACIONES'!C69&lt;&gt;"",COUNTIF(CL_TIPO_VALOR,'LID_LIQUIDACIONES'!C69)=0),1,0)</f>
        <v/>
      </c>
      <c r="D69">
        <f>IF(AND('LID_LIQUIDACIONES'!D69&lt;&gt;"",COUNTIF(CL_TIPO_OBLIGACI_N,'LID_LIQUIDACIONES'!D69)=0),1,0)</f>
        <v/>
      </c>
      <c r="E69">
        <f>IF(AND('LID_LIQUIDACIONES'!E69&lt;&gt;"",IF(ISNUMBER('LID_LIQUIDACIONES'!E69),OR('LID_LIQUIDACIONES'!E69&lt;&gt;ROUND('LID_LIQUIDACIONES'!E69,0),LEN(TEXT(INT(ABS('LID_LIQUIDACIONES'!E69)),"0"))&gt;12),TRUE)),1,0)</f>
        <v/>
      </c>
      <c r="F69">
        <f>IF(AND('LID_LIQUIDACIONES'!F69&lt;&gt;"",OR(LEN('LID_LIQUIDACIONES'!F69)&gt;3,COUNTIF(CL_MONEDA,'LID_LIQUIDACIONES'!F69)=0)),1,0)</f>
        <v/>
      </c>
      <c r="G69">
        <f>IF(AND('LID_LIQUIDACIONES'!G69&lt;&gt;"",COUNTIF(CL_ID_PAGOS,'LID_LIQUIDACIONES'!G69)=0),1,0)</f>
        <v/>
      </c>
      <c r="H69">
        <f>IF(AND('LID_LIQUIDACIONES'!H69&lt;&gt;"",COUNTIF(CL_FLAG_HORARIO,'LID_LIQUIDACIONES'!H69)=0),1,0)</f>
        <v/>
      </c>
      <c r="I69">
        <f>IF(AND('LID_LIQUIDACIONES'!I69&lt;&gt;"",COUNTIF(CL_CAT_ID_PAGOS_RET,'LID_LIQUIDACIONES'!I69)=0),1,0)</f>
        <v/>
      </c>
      <c r="J69">
        <f>IF(AND('LID_LIQUIDACIONES'!J69&lt;&gt;"",NOT(ISNUMBER('LID_LIQUIDACIONES'!J69))),1,0)</f>
        <v/>
      </c>
      <c r="K69">
        <f>IF(AND('LID_LIQUIDACIONES'!K69&lt;&gt;"",LEN('LID_LIQUIDACIONES'!K69)&gt;5),1,0)</f>
        <v/>
      </c>
      <c r="L69">
        <f>IF(AND('LID_LIQUIDACIONES'!L69&lt;&gt;"",IF(ISNUMBER('LID_LIQUIDACIONES'!L69),OR('LID_LIQUIDACIONES'!L69&lt;&gt;ROUND('LID_LIQUIDACIONES'!L69,0),LEN(TEXT(INT(ABS('LID_LIQUIDACIONES'!L69)),"0"))&gt;12),TRUE)),1,0)</f>
        <v/>
      </c>
      <c r="M69">
        <f>IF(AND('LID_LIQUIDACIONES'!M69&lt;&gt;"",COUNTIF(CL_CAT_MOTIVO_RET,'LID_LIQUIDACIONES'!M69)=0),1,0)</f>
        <v/>
      </c>
      <c r="N69">
        <f>IF(AND('LID_LIQUIDACIONES'!N69&lt;&gt;"",LEN('LID_LIQUIDACIONES'!N69)&gt;50),1,0)</f>
        <v/>
      </c>
      <c r="O69">
        <f>IF(AND('LID_LIQUIDACIONES'!O69&lt;&gt;"",COUNTIF(CL_CARACT_LIQ,'LID_LIQUIDACIONES'!O69)=0),1,0)</f>
        <v/>
      </c>
      <c r="P69">
        <f>IF(AND('LID_LIQUIDACIONES'!P69&lt;&gt;"",NOT(ISNUMBER('LID_LIQUIDACIONES'!P69))),1,0)</f>
        <v/>
      </c>
    </row>
    <row r="70">
      <c r="A70">
        <f>IF(AND('LID_LIQUIDACIONES'!A70&lt;&gt;"",NOT(ISNUMBER('LID_LIQUIDACIONES'!A70))),1,0)</f>
        <v/>
      </c>
      <c r="B70">
        <f>IF(AND('LID_LIQUIDACIONES'!B70&lt;&gt;"",LEN('LID_LIQUIDACIONES'!B70)&gt;5),1,0)</f>
        <v/>
      </c>
      <c r="C70">
        <f>IF(AND('LID_LIQUIDACIONES'!C70&lt;&gt;"",COUNTIF(CL_TIPO_VALOR,'LID_LIQUIDACIONES'!C70)=0),1,0)</f>
        <v/>
      </c>
      <c r="D70">
        <f>IF(AND('LID_LIQUIDACIONES'!D70&lt;&gt;"",COUNTIF(CL_TIPO_OBLIGACI_N,'LID_LIQUIDACIONES'!D70)=0),1,0)</f>
        <v/>
      </c>
      <c r="E70">
        <f>IF(AND('LID_LIQUIDACIONES'!E70&lt;&gt;"",IF(ISNUMBER('LID_LIQUIDACIONES'!E70),OR('LID_LIQUIDACIONES'!E70&lt;&gt;ROUND('LID_LIQUIDACIONES'!E70,0),LEN(TEXT(INT(ABS('LID_LIQUIDACIONES'!E70)),"0"))&gt;12),TRUE)),1,0)</f>
        <v/>
      </c>
      <c r="F70">
        <f>IF(AND('LID_LIQUIDACIONES'!F70&lt;&gt;"",OR(LEN('LID_LIQUIDACIONES'!F70)&gt;3,COUNTIF(CL_MONEDA,'LID_LIQUIDACIONES'!F70)=0)),1,0)</f>
        <v/>
      </c>
      <c r="G70">
        <f>IF(AND('LID_LIQUIDACIONES'!G70&lt;&gt;"",COUNTIF(CL_ID_PAGOS,'LID_LIQUIDACIONES'!G70)=0),1,0)</f>
        <v/>
      </c>
      <c r="H70">
        <f>IF(AND('LID_LIQUIDACIONES'!H70&lt;&gt;"",COUNTIF(CL_FLAG_HORARIO,'LID_LIQUIDACIONES'!H70)=0),1,0)</f>
        <v/>
      </c>
      <c r="I70">
        <f>IF(AND('LID_LIQUIDACIONES'!I70&lt;&gt;"",COUNTIF(CL_CAT_ID_PAGOS_RET,'LID_LIQUIDACIONES'!I70)=0),1,0)</f>
        <v/>
      </c>
      <c r="J70">
        <f>IF(AND('LID_LIQUIDACIONES'!J70&lt;&gt;"",NOT(ISNUMBER('LID_LIQUIDACIONES'!J70))),1,0)</f>
        <v/>
      </c>
      <c r="K70">
        <f>IF(AND('LID_LIQUIDACIONES'!K70&lt;&gt;"",LEN('LID_LIQUIDACIONES'!K70)&gt;5),1,0)</f>
        <v/>
      </c>
      <c r="L70">
        <f>IF(AND('LID_LIQUIDACIONES'!L70&lt;&gt;"",IF(ISNUMBER('LID_LIQUIDACIONES'!L70),OR('LID_LIQUIDACIONES'!L70&lt;&gt;ROUND('LID_LIQUIDACIONES'!L70,0),LEN(TEXT(INT(ABS('LID_LIQUIDACIONES'!L70)),"0"))&gt;12),TRUE)),1,0)</f>
        <v/>
      </c>
      <c r="M70">
        <f>IF(AND('LID_LIQUIDACIONES'!M70&lt;&gt;"",COUNTIF(CL_CAT_MOTIVO_RET,'LID_LIQUIDACIONES'!M70)=0),1,0)</f>
        <v/>
      </c>
      <c r="N70">
        <f>IF(AND('LID_LIQUIDACIONES'!N70&lt;&gt;"",LEN('LID_LIQUIDACIONES'!N70)&gt;50),1,0)</f>
        <v/>
      </c>
      <c r="O70">
        <f>IF(AND('LID_LIQUIDACIONES'!O70&lt;&gt;"",COUNTIF(CL_CARACT_LIQ,'LID_LIQUIDACIONES'!O70)=0),1,0)</f>
        <v/>
      </c>
      <c r="P70">
        <f>IF(AND('LID_LIQUIDACIONES'!P70&lt;&gt;"",NOT(ISNUMBER('LID_LIQUIDACIONES'!P70))),1,0)</f>
        <v/>
      </c>
    </row>
    <row r="71">
      <c r="A71">
        <f>IF(AND('LID_LIQUIDACIONES'!A71&lt;&gt;"",NOT(ISNUMBER('LID_LIQUIDACIONES'!A71))),1,0)</f>
        <v/>
      </c>
      <c r="B71">
        <f>IF(AND('LID_LIQUIDACIONES'!B71&lt;&gt;"",LEN('LID_LIQUIDACIONES'!B71)&gt;5),1,0)</f>
        <v/>
      </c>
      <c r="C71">
        <f>IF(AND('LID_LIQUIDACIONES'!C71&lt;&gt;"",COUNTIF(CL_TIPO_VALOR,'LID_LIQUIDACIONES'!C71)=0),1,0)</f>
        <v/>
      </c>
      <c r="D71">
        <f>IF(AND('LID_LIQUIDACIONES'!D71&lt;&gt;"",COUNTIF(CL_TIPO_OBLIGACI_N,'LID_LIQUIDACIONES'!D71)=0),1,0)</f>
        <v/>
      </c>
      <c r="E71">
        <f>IF(AND('LID_LIQUIDACIONES'!E71&lt;&gt;"",IF(ISNUMBER('LID_LIQUIDACIONES'!E71),OR('LID_LIQUIDACIONES'!E71&lt;&gt;ROUND('LID_LIQUIDACIONES'!E71,0),LEN(TEXT(INT(ABS('LID_LIQUIDACIONES'!E71)),"0"))&gt;12),TRUE)),1,0)</f>
        <v/>
      </c>
      <c r="F71">
        <f>IF(AND('LID_LIQUIDACIONES'!F71&lt;&gt;"",OR(LEN('LID_LIQUIDACIONES'!F71)&gt;3,COUNTIF(CL_MONEDA,'LID_LIQUIDACIONES'!F71)=0)),1,0)</f>
        <v/>
      </c>
      <c r="G71">
        <f>IF(AND('LID_LIQUIDACIONES'!G71&lt;&gt;"",COUNTIF(CL_ID_PAGOS,'LID_LIQUIDACIONES'!G71)=0),1,0)</f>
        <v/>
      </c>
      <c r="H71">
        <f>IF(AND('LID_LIQUIDACIONES'!H71&lt;&gt;"",COUNTIF(CL_FLAG_HORARIO,'LID_LIQUIDACIONES'!H71)=0),1,0)</f>
        <v/>
      </c>
      <c r="I71">
        <f>IF(AND('LID_LIQUIDACIONES'!I71&lt;&gt;"",COUNTIF(CL_CAT_ID_PAGOS_RET,'LID_LIQUIDACIONES'!I71)=0),1,0)</f>
        <v/>
      </c>
      <c r="J71">
        <f>IF(AND('LID_LIQUIDACIONES'!J71&lt;&gt;"",NOT(ISNUMBER('LID_LIQUIDACIONES'!J71))),1,0)</f>
        <v/>
      </c>
      <c r="K71">
        <f>IF(AND('LID_LIQUIDACIONES'!K71&lt;&gt;"",LEN('LID_LIQUIDACIONES'!K71)&gt;5),1,0)</f>
        <v/>
      </c>
      <c r="L71">
        <f>IF(AND('LID_LIQUIDACIONES'!L71&lt;&gt;"",IF(ISNUMBER('LID_LIQUIDACIONES'!L71),OR('LID_LIQUIDACIONES'!L71&lt;&gt;ROUND('LID_LIQUIDACIONES'!L71,0),LEN(TEXT(INT(ABS('LID_LIQUIDACIONES'!L71)),"0"))&gt;12),TRUE)),1,0)</f>
        <v/>
      </c>
      <c r="M71">
        <f>IF(AND('LID_LIQUIDACIONES'!M71&lt;&gt;"",COUNTIF(CL_CAT_MOTIVO_RET,'LID_LIQUIDACIONES'!M71)=0),1,0)</f>
        <v/>
      </c>
      <c r="N71">
        <f>IF(AND('LID_LIQUIDACIONES'!N71&lt;&gt;"",LEN('LID_LIQUIDACIONES'!N71)&gt;50),1,0)</f>
        <v/>
      </c>
      <c r="O71">
        <f>IF(AND('LID_LIQUIDACIONES'!O71&lt;&gt;"",COUNTIF(CL_CARACT_LIQ,'LID_LIQUIDACIONES'!O71)=0),1,0)</f>
        <v/>
      </c>
      <c r="P71">
        <f>IF(AND('LID_LIQUIDACIONES'!P71&lt;&gt;"",NOT(ISNUMBER('LID_LIQUIDACIONES'!P71))),1,0)</f>
        <v/>
      </c>
    </row>
    <row r="72">
      <c r="A72">
        <f>IF(AND('LID_LIQUIDACIONES'!A72&lt;&gt;"",NOT(ISNUMBER('LID_LIQUIDACIONES'!A72))),1,0)</f>
        <v/>
      </c>
      <c r="B72">
        <f>IF(AND('LID_LIQUIDACIONES'!B72&lt;&gt;"",LEN('LID_LIQUIDACIONES'!B72)&gt;5),1,0)</f>
        <v/>
      </c>
      <c r="C72">
        <f>IF(AND('LID_LIQUIDACIONES'!C72&lt;&gt;"",COUNTIF(CL_TIPO_VALOR,'LID_LIQUIDACIONES'!C72)=0),1,0)</f>
        <v/>
      </c>
      <c r="D72">
        <f>IF(AND('LID_LIQUIDACIONES'!D72&lt;&gt;"",COUNTIF(CL_TIPO_OBLIGACI_N,'LID_LIQUIDACIONES'!D72)=0),1,0)</f>
        <v/>
      </c>
      <c r="E72">
        <f>IF(AND('LID_LIQUIDACIONES'!E72&lt;&gt;"",IF(ISNUMBER('LID_LIQUIDACIONES'!E72),OR('LID_LIQUIDACIONES'!E72&lt;&gt;ROUND('LID_LIQUIDACIONES'!E72,0),LEN(TEXT(INT(ABS('LID_LIQUIDACIONES'!E72)),"0"))&gt;12),TRUE)),1,0)</f>
        <v/>
      </c>
      <c r="F72">
        <f>IF(AND('LID_LIQUIDACIONES'!F72&lt;&gt;"",OR(LEN('LID_LIQUIDACIONES'!F72)&gt;3,COUNTIF(CL_MONEDA,'LID_LIQUIDACIONES'!F72)=0)),1,0)</f>
        <v/>
      </c>
      <c r="G72">
        <f>IF(AND('LID_LIQUIDACIONES'!G72&lt;&gt;"",COUNTIF(CL_ID_PAGOS,'LID_LIQUIDACIONES'!G72)=0),1,0)</f>
        <v/>
      </c>
      <c r="H72">
        <f>IF(AND('LID_LIQUIDACIONES'!H72&lt;&gt;"",COUNTIF(CL_FLAG_HORARIO,'LID_LIQUIDACIONES'!H72)=0),1,0)</f>
        <v/>
      </c>
      <c r="I72">
        <f>IF(AND('LID_LIQUIDACIONES'!I72&lt;&gt;"",COUNTIF(CL_CAT_ID_PAGOS_RET,'LID_LIQUIDACIONES'!I72)=0),1,0)</f>
        <v/>
      </c>
      <c r="J72">
        <f>IF(AND('LID_LIQUIDACIONES'!J72&lt;&gt;"",NOT(ISNUMBER('LID_LIQUIDACIONES'!J72))),1,0)</f>
        <v/>
      </c>
      <c r="K72">
        <f>IF(AND('LID_LIQUIDACIONES'!K72&lt;&gt;"",LEN('LID_LIQUIDACIONES'!K72)&gt;5),1,0)</f>
        <v/>
      </c>
      <c r="L72">
        <f>IF(AND('LID_LIQUIDACIONES'!L72&lt;&gt;"",IF(ISNUMBER('LID_LIQUIDACIONES'!L72),OR('LID_LIQUIDACIONES'!L72&lt;&gt;ROUND('LID_LIQUIDACIONES'!L72,0),LEN(TEXT(INT(ABS('LID_LIQUIDACIONES'!L72)),"0"))&gt;12),TRUE)),1,0)</f>
        <v/>
      </c>
      <c r="M72">
        <f>IF(AND('LID_LIQUIDACIONES'!M72&lt;&gt;"",COUNTIF(CL_CAT_MOTIVO_RET,'LID_LIQUIDACIONES'!M72)=0),1,0)</f>
        <v/>
      </c>
      <c r="N72">
        <f>IF(AND('LID_LIQUIDACIONES'!N72&lt;&gt;"",LEN('LID_LIQUIDACIONES'!N72)&gt;50),1,0)</f>
        <v/>
      </c>
      <c r="O72">
        <f>IF(AND('LID_LIQUIDACIONES'!O72&lt;&gt;"",COUNTIF(CL_CARACT_LIQ,'LID_LIQUIDACIONES'!O72)=0),1,0)</f>
        <v/>
      </c>
      <c r="P72">
        <f>IF(AND('LID_LIQUIDACIONES'!P72&lt;&gt;"",NOT(ISNUMBER('LID_LIQUIDACIONES'!P72))),1,0)</f>
        <v/>
      </c>
    </row>
    <row r="73">
      <c r="A73">
        <f>IF(AND('LID_LIQUIDACIONES'!A73&lt;&gt;"",NOT(ISNUMBER('LID_LIQUIDACIONES'!A73))),1,0)</f>
        <v/>
      </c>
      <c r="B73">
        <f>IF(AND('LID_LIQUIDACIONES'!B73&lt;&gt;"",LEN('LID_LIQUIDACIONES'!B73)&gt;5),1,0)</f>
        <v/>
      </c>
      <c r="C73">
        <f>IF(AND('LID_LIQUIDACIONES'!C73&lt;&gt;"",COUNTIF(CL_TIPO_VALOR,'LID_LIQUIDACIONES'!C73)=0),1,0)</f>
        <v/>
      </c>
      <c r="D73">
        <f>IF(AND('LID_LIQUIDACIONES'!D73&lt;&gt;"",COUNTIF(CL_TIPO_OBLIGACI_N,'LID_LIQUIDACIONES'!D73)=0),1,0)</f>
        <v/>
      </c>
      <c r="E73">
        <f>IF(AND('LID_LIQUIDACIONES'!E73&lt;&gt;"",IF(ISNUMBER('LID_LIQUIDACIONES'!E73),OR('LID_LIQUIDACIONES'!E73&lt;&gt;ROUND('LID_LIQUIDACIONES'!E73,0),LEN(TEXT(INT(ABS('LID_LIQUIDACIONES'!E73)),"0"))&gt;12),TRUE)),1,0)</f>
        <v/>
      </c>
      <c r="F73">
        <f>IF(AND('LID_LIQUIDACIONES'!F73&lt;&gt;"",OR(LEN('LID_LIQUIDACIONES'!F73)&gt;3,COUNTIF(CL_MONEDA,'LID_LIQUIDACIONES'!F73)=0)),1,0)</f>
        <v/>
      </c>
      <c r="G73">
        <f>IF(AND('LID_LIQUIDACIONES'!G73&lt;&gt;"",COUNTIF(CL_ID_PAGOS,'LID_LIQUIDACIONES'!G73)=0),1,0)</f>
        <v/>
      </c>
      <c r="H73">
        <f>IF(AND('LID_LIQUIDACIONES'!H73&lt;&gt;"",COUNTIF(CL_FLAG_HORARIO,'LID_LIQUIDACIONES'!H73)=0),1,0)</f>
        <v/>
      </c>
      <c r="I73">
        <f>IF(AND('LID_LIQUIDACIONES'!I73&lt;&gt;"",COUNTIF(CL_CAT_ID_PAGOS_RET,'LID_LIQUIDACIONES'!I73)=0),1,0)</f>
        <v/>
      </c>
      <c r="J73">
        <f>IF(AND('LID_LIQUIDACIONES'!J73&lt;&gt;"",NOT(ISNUMBER('LID_LIQUIDACIONES'!J73))),1,0)</f>
        <v/>
      </c>
      <c r="K73">
        <f>IF(AND('LID_LIQUIDACIONES'!K73&lt;&gt;"",LEN('LID_LIQUIDACIONES'!K73)&gt;5),1,0)</f>
        <v/>
      </c>
      <c r="L73">
        <f>IF(AND('LID_LIQUIDACIONES'!L73&lt;&gt;"",IF(ISNUMBER('LID_LIQUIDACIONES'!L73),OR('LID_LIQUIDACIONES'!L73&lt;&gt;ROUND('LID_LIQUIDACIONES'!L73,0),LEN(TEXT(INT(ABS('LID_LIQUIDACIONES'!L73)),"0"))&gt;12),TRUE)),1,0)</f>
        <v/>
      </c>
      <c r="M73">
        <f>IF(AND('LID_LIQUIDACIONES'!M73&lt;&gt;"",COUNTIF(CL_CAT_MOTIVO_RET,'LID_LIQUIDACIONES'!M73)=0),1,0)</f>
        <v/>
      </c>
      <c r="N73">
        <f>IF(AND('LID_LIQUIDACIONES'!N73&lt;&gt;"",LEN('LID_LIQUIDACIONES'!N73)&gt;50),1,0)</f>
        <v/>
      </c>
      <c r="O73">
        <f>IF(AND('LID_LIQUIDACIONES'!O73&lt;&gt;"",COUNTIF(CL_CARACT_LIQ,'LID_LIQUIDACIONES'!O73)=0),1,0)</f>
        <v/>
      </c>
      <c r="P73">
        <f>IF(AND('LID_LIQUIDACIONES'!P73&lt;&gt;"",NOT(ISNUMBER('LID_LIQUIDACIONES'!P73))),1,0)</f>
        <v/>
      </c>
    </row>
    <row r="74">
      <c r="A74">
        <f>IF(AND('LID_LIQUIDACIONES'!A74&lt;&gt;"",NOT(ISNUMBER('LID_LIQUIDACIONES'!A74))),1,0)</f>
        <v/>
      </c>
      <c r="B74">
        <f>IF(AND('LID_LIQUIDACIONES'!B74&lt;&gt;"",LEN('LID_LIQUIDACIONES'!B74)&gt;5),1,0)</f>
        <v/>
      </c>
      <c r="C74">
        <f>IF(AND('LID_LIQUIDACIONES'!C74&lt;&gt;"",COUNTIF(CL_TIPO_VALOR,'LID_LIQUIDACIONES'!C74)=0),1,0)</f>
        <v/>
      </c>
      <c r="D74">
        <f>IF(AND('LID_LIQUIDACIONES'!D74&lt;&gt;"",COUNTIF(CL_TIPO_OBLIGACI_N,'LID_LIQUIDACIONES'!D74)=0),1,0)</f>
        <v/>
      </c>
      <c r="E74">
        <f>IF(AND('LID_LIQUIDACIONES'!E74&lt;&gt;"",IF(ISNUMBER('LID_LIQUIDACIONES'!E74),OR('LID_LIQUIDACIONES'!E74&lt;&gt;ROUND('LID_LIQUIDACIONES'!E74,0),LEN(TEXT(INT(ABS('LID_LIQUIDACIONES'!E74)),"0"))&gt;12),TRUE)),1,0)</f>
        <v/>
      </c>
      <c r="F74">
        <f>IF(AND('LID_LIQUIDACIONES'!F74&lt;&gt;"",OR(LEN('LID_LIQUIDACIONES'!F74)&gt;3,COUNTIF(CL_MONEDA,'LID_LIQUIDACIONES'!F74)=0)),1,0)</f>
        <v/>
      </c>
      <c r="G74">
        <f>IF(AND('LID_LIQUIDACIONES'!G74&lt;&gt;"",COUNTIF(CL_ID_PAGOS,'LID_LIQUIDACIONES'!G74)=0),1,0)</f>
        <v/>
      </c>
      <c r="H74">
        <f>IF(AND('LID_LIQUIDACIONES'!H74&lt;&gt;"",COUNTIF(CL_FLAG_HORARIO,'LID_LIQUIDACIONES'!H74)=0),1,0)</f>
        <v/>
      </c>
      <c r="I74">
        <f>IF(AND('LID_LIQUIDACIONES'!I74&lt;&gt;"",COUNTIF(CL_CAT_ID_PAGOS_RET,'LID_LIQUIDACIONES'!I74)=0),1,0)</f>
        <v/>
      </c>
      <c r="J74">
        <f>IF(AND('LID_LIQUIDACIONES'!J74&lt;&gt;"",NOT(ISNUMBER('LID_LIQUIDACIONES'!J74))),1,0)</f>
        <v/>
      </c>
      <c r="K74">
        <f>IF(AND('LID_LIQUIDACIONES'!K74&lt;&gt;"",LEN('LID_LIQUIDACIONES'!K74)&gt;5),1,0)</f>
        <v/>
      </c>
      <c r="L74">
        <f>IF(AND('LID_LIQUIDACIONES'!L74&lt;&gt;"",IF(ISNUMBER('LID_LIQUIDACIONES'!L74),OR('LID_LIQUIDACIONES'!L74&lt;&gt;ROUND('LID_LIQUIDACIONES'!L74,0),LEN(TEXT(INT(ABS('LID_LIQUIDACIONES'!L74)),"0"))&gt;12),TRUE)),1,0)</f>
        <v/>
      </c>
      <c r="M74">
        <f>IF(AND('LID_LIQUIDACIONES'!M74&lt;&gt;"",COUNTIF(CL_CAT_MOTIVO_RET,'LID_LIQUIDACIONES'!M74)=0),1,0)</f>
        <v/>
      </c>
      <c r="N74">
        <f>IF(AND('LID_LIQUIDACIONES'!N74&lt;&gt;"",LEN('LID_LIQUIDACIONES'!N74)&gt;50),1,0)</f>
        <v/>
      </c>
      <c r="O74">
        <f>IF(AND('LID_LIQUIDACIONES'!O74&lt;&gt;"",COUNTIF(CL_CARACT_LIQ,'LID_LIQUIDACIONES'!O74)=0),1,0)</f>
        <v/>
      </c>
      <c r="P74">
        <f>IF(AND('LID_LIQUIDACIONES'!P74&lt;&gt;"",NOT(ISNUMBER('LID_LIQUIDACIONES'!P74))),1,0)</f>
        <v/>
      </c>
    </row>
    <row r="75">
      <c r="A75">
        <f>IF(AND('LID_LIQUIDACIONES'!A75&lt;&gt;"",NOT(ISNUMBER('LID_LIQUIDACIONES'!A75))),1,0)</f>
        <v/>
      </c>
      <c r="B75">
        <f>IF(AND('LID_LIQUIDACIONES'!B75&lt;&gt;"",LEN('LID_LIQUIDACIONES'!B75)&gt;5),1,0)</f>
        <v/>
      </c>
      <c r="C75">
        <f>IF(AND('LID_LIQUIDACIONES'!C75&lt;&gt;"",COUNTIF(CL_TIPO_VALOR,'LID_LIQUIDACIONES'!C75)=0),1,0)</f>
        <v/>
      </c>
      <c r="D75">
        <f>IF(AND('LID_LIQUIDACIONES'!D75&lt;&gt;"",COUNTIF(CL_TIPO_OBLIGACI_N,'LID_LIQUIDACIONES'!D75)=0),1,0)</f>
        <v/>
      </c>
      <c r="E75">
        <f>IF(AND('LID_LIQUIDACIONES'!E75&lt;&gt;"",IF(ISNUMBER('LID_LIQUIDACIONES'!E75),OR('LID_LIQUIDACIONES'!E75&lt;&gt;ROUND('LID_LIQUIDACIONES'!E75,0),LEN(TEXT(INT(ABS('LID_LIQUIDACIONES'!E75)),"0"))&gt;12),TRUE)),1,0)</f>
        <v/>
      </c>
      <c r="F75">
        <f>IF(AND('LID_LIQUIDACIONES'!F75&lt;&gt;"",OR(LEN('LID_LIQUIDACIONES'!F75)&gt;3,COUNTIF(CL_MONEDA,'LID_LIQUIDACIONES'!F75)=0)),1,0)</f>
        <v/>
      </c>
      <c r="G75">
        <f>IF(AND('LID_LIQUIDACIONES'!G75&lt;&gt;"",COUNTIF(CL_ID_PAGOS,'LID_LIQUIDACIONES'!G75)=0),1,0)</f>
        <v/>
      </c>
      <c r="H75">
        <f>IF(AND('LID_LIQUIDACIONES'!H75&lt;&gt;"",COUNTIF(CL_FLAG_HORARIO,'LID_LIQUIDACIONES'!H75)=0),1,0)</f>
        <v/>
      </c>
      <c r="I75">
        <f>IF(AND('LID_LIQUIDACIONES'!I75&lt;&gt;"",COUNTIF(CL_CAT_ID_PAGOS_RET,'LID_LIQUIDACIONES'!I75)=0),1,0)</f>
        <v/>
      </c>
      <c r="J75">
        <f>IF(AND('LID_LIQUIDACIONES'!J75&lt;&gt;"",NOT(ISNUMBER('LID_LIQUIDACIONES'!J75))),1,0)</f>
        <v/>
      </c>
      <c r="K75">
        <f>IF(AND('LID_LIQUIDACIONES'!K75&lt;&gt;"",LEN('LID_LIQUIDACIONES'!K75)&gt;5),1,0)</f>
        <v/>
      </c>
      <c r="L75">
        <f>IF(AND('LID_LIQUIDACIONES'!L75&lt;&gt;"",IF(ISNUMBER('LID_LIQUIDACIONES'!L75),OR('LID_LIQUIDACIONES'!L75&lt;&gt;ROUND('LID_LIQUIDACIONES'!L75,0),LEN(TEXT(INT(ABS('LID_LIQUIDACIONES'!L75)),"0"))&gt;12),TRUE)),1,0)</f>
        <v/>
      </c>
      <c r="M75">
        <f>IF(AND('LID_LIQUIDACIONES'!M75&lt;&gt;"",COUNTIF(CL_CAT_MOTIVO_RET,'LID_LIQUIDACIONES'!M75)=0),1,0)</f>
        <v/>
      </c>
      <c r="N75">
        <f>IF(AND('LID_LIQUIDACIONES'!N75&lt;&gt;"",LEN('LID_LIQUIDACIONES'!N75)&gt;50),1,0)</f>
        <v/>
      </c>
      <c r="O75">
        <f>IF(AND('LID_LIQUIDACIONES'!O75&lt;&gt;"",COUNTIF(CL_CARACT_LIQ,'LID_LIQUIDACIONES'!O75)=0),1,0)</f>
        <v/>
      </c>
      <c r="P75">
        <f>IF(AND('LID_LIQUIDACIONES'!P75&lt;&gt;"",NOT(ISNUMBER('LID_LIQUIDACIONES'!P75))),1,0)</f>
        <v/>
      </c>
    </row>
    <row r="76">
      <c r="A76">
        <f>IF(AND('LID_LIQUIDACIONES'!A76&lt;&gt;"",NOT(ISNUMBER('LID_LIQUIDACIONES'!A76))),1,0)</f>
        <v/>
      </c>
      <c r="B76">
        <f>IF(AND('LID_LIQUIDACIONES'!B76&lt;&gt;"",LEN('LID_LIQUIDACIONES'!B76)&gt;5),1,0)</f>
        <v/>
      </c>
      <c r="C76">
        <f>IF(AND('LID_LIQUIDACIONES'!C76&lt;&gt;"",COUNTIF(CL_TIPO_VALOR,'LID_LIQUIDACIONES'!C76)=0),1,0)</f>
        <v/>
      </c>
      <c r="D76">
        <f>IF(AND('LID_LIQUIDACIONES'!D76&lt;&gt;"",COUNTIF(CL_TIPO_OBLIGACI_N,'LID_LIQUIDACIONES'!D76)=0),1,0)</f>
        <v/>
      </c>
      <c r="E76">
        <f>IF(AND('LID_LIQUIDACIONES'!E76&lt;&gt;"",IF(ISNUMBER('LID_LIQUIDACIONES'!E76),OR('LID_LIQUIDACIONES'!E76&lt;&gt;ROUND('LID_LIQUIDACIONES'!E76,0),LEN(TEXT(INT(ABS('LID_LIQUIDACIONES'!E76)),"0"))&gt;12),TRUE)),1,0)</f>
        <v/>
      </c>
      <c r="F76">
        <f>IF(AND('LID_LIQUIDACIONES'!F76&lt;&gt;"",OR(LEN('LID_LIQUIDACIONES'!F76)&gt;3,COUNTIF(CL_MONEDA,'LID_LIQUIDACIONES'!F76)=0)),1,0)</f>
        <v/>
      </c>
      <c r="G76">
        <f>IF(AND('LID_LIQUIDACIONES'!G76&lt;&gt;"",COUNTIF(CL_ID_PAGOS,'LID_LIQUIDACIONES'!G76)=0),1,0)</f>
        <v/>
      </c>
      <c r="H76">
        <f>IF(AND('LID_LIQUIDACIONES'!H76&lt;&gt;"",COUNTIF(CL_FLAG_HORARIO,'LID_LIQUIDACIONES'!H76)=0),1,0)</f>
        <v/>
      </c>
      <c r="I76">
        <f>IF(AND('LID_LIQUIDACIONES'!I76&lt;&gt;"",COUNTIF(CL_CAT_ID_PAGOS_RET,'LID_LIQUIDACIONES'!I76)=0),1,0)</f>
        <v/>
      </c>
      <c r="J76">
        <f>IF(AND('LID_LIQUIDACIONES'!J76&lt;&gt;"",NOT(ISNUMBER('LID_LIQUIDACIONES'!J76))),1,0)</f>
        <v/>
      </c>
      <c r="K76">
        <f>IF(AND('LID_LIQUIDACIONES'!K76&lt;&gt;"",LEN('LID_LIQUIDACIONES'!K76)&gt;5),1,0)</f>
        <v/>
      </c>
      <c r="L76">
        <f>IF(AND('LID_LIQUIDACIONES'!L76&lt;&gt;"",IF(ISNUMBER('LID_LIQUIDACIONES'!L76),OR('LID_LIQUIDACIONES'!L76&lt;&gt;ROUND('LID_LIQUIDACIONES'!L76,0),LEN(TEXT(INT(ABS('LID_LIQUIDACIONES'!L76)),"0"))&gt;12),TRUE)),1,0)</f>
        <v/>
      </c>
      <c r="M76">
        <f>IF(AND('LID_LIQUIDACIONES'!M76&lt;&gt;"",COUNTIF(CL_CAT_MOTIVO_RET,'LID_LIQUIDACIONES'!M76)=0),1,0)</f>
        <v/>
      </c>
      <c r="N76">
        <f>IF(AND('LID_LIQUIDACIONES'!N76&lt;&gt;"",LEN('LID_LIQUIDACIONES'!N76)&gt;50),1,0)</f>
        <v/>
      </c>
      <c r="O76">
        <f>IF(AND('LID_LIQUIDACIONES'!O76&lt;&gt;"",COUNTIF(CL_CARACT_LIQ,'LID_LIQUIDACIONES'!O76)=0),1,0)</f>
        <v/>
      </c>
      <c r="P76">
        <f>IF(AND('LID_LIQUIDACIONES'!P76&lt;&gt;"",NOT(ISNUMBER('LID_LIQUIDACIONES'!P76))),1,0)</f>
        <v/>
      </c>
    </row>
    <row r="77">
      <c r="A77">
        <f>IF(AND('LID_LIQUIDACIONES'!A77&lt;&gt;"",NOT(ISNUMBER('LID_LIQUIDACIONES'!A77))),1,0)</f>
        <v/>
      </c>
      <c r="B77">
        <f>IF(AND('LID_LIQUIDACIONES'!B77&lt;&gt;"",LEN('LID_LIQUIDACIONES'!B77)&gt;5),1,0)</f>
        <v/>
      </c>
      <c r="C77">
        <f>IF(AND('LID_LIQUIDACIONES'!C77&lt;&gt;"",COUNTIF(CL_TIPO_VALOR,'LID_LIQUIDACIONES'!C77)=0),1,0)</f>
        <v/>
      </c>
      <c r="D77">
        <f>IF(AND('LID_LIQUIDACIONES'!D77&lt;&gt;"",COUNTIF(CL_TIPO_OBLIGACI_N,'LID_LIQUIDACIONES'!D77)=0),1,0)</f>
        <v/>
      </c>
      <c r="E77">
        <f>IF(AND('LID_LIQUIDACIONES'!E77&lt;&gt;"",IF(ISNUMBER('LID_LIQUIDACIONES'!E77),OR('LID_LIQUIDACIONES'!E77&lt;&gt;ROUND('LID_LIQUIDACIONES'!E77,0),LEN(TEXT(INT(ABS('LID_LIQUIDACIONES'!E77)),"0"))&gt;12),TRUE)),1,0)</f>
        <v/>
      </c>
      <c r="F77">
        <f>IF(AND('LID_LIQUIDACIONES'!F77&lt;&gt;"",OR(LEN('LID_LIQUIDACIONES'!F77)&gt;3,COUNTIF(CL_MONEDA,'LID_LIQUIDACIONES'!F77)=0)),1,0)</f>
        <v/>
      </c>
      <c r="G77">
        <f>IF(AND('LID_LIQUIDACIONES'!G77&lt;&gt;"",COUNTIF(CL_ID_PAGOS,'LID_LIQUIDACIONES'!G77)=0),1,0)</f>
        <v/>
      </c>
      <c r="H77">
        <f>IF(AND('LID_LIQUIDACIONES'!H77&lt;&gt;"",COUNTIF(CL_FLAG_HORARIO,'LID_LIQUIDACIONES'!H77)=0),1,0)</f>
        <v/>
      </c>
      <c r="I77">
        <f>IF(AND('LID_LIQUIDACIONES'!I77&lt;&gt;"",COUNTIF(CL_CAT_ID_PAGOS_RET,'LID_LIQUIDACIONES'!I77)=0),1,0)</f>
        <v/>
      </c>
      <c r="J77">
        <f>IF(AND('LID_LIQUIDACIONES'!J77&lt;&gt;"",NOT(ISNUMBER('LID_LIQUIDACIONES'!J77))),1,0)</f>
        <v/>
      </c>
      <c r="K77">
        <f>IF(AND('LID_LIQUIDACIONES'!K77&lt;&gt;"",LEN('LID_LIQUIDACIONES'!K77)&gt;5),1,0)</f>
        <v/>
      </c>
      <c r="L77">
        <f>IF(AND('LID_LIQUIDACIONES'!L77&lt;&gt;"",IF(ISNUMBER('LID_LIQUIDACIONES'!L77),OR('LID_LIQUIDACIONES'!L77&lt;&gt;ROUND('LID_LIQUIDACIONES'!L77,0),LEN(TEXT(INT(ABS('LID_LIQUIDACIONES'!L77)),"0"))&gt;12),TRUE)),1,0)</f>
        <v/>
      </c>
      <c r="M77">
        <f>IF(AND('LID_LIQUIDACIONES'!M77&lt;&gt;"",COUNTIF(CL_CAT_MOTIVO_RET,'LID_LIQUIDACIONES'!M77)=0),1,0)</f>
        <v/>
      </c>
      <c r="N77">
        <f>IF(AND('LID_LIQUIDACIONES'!N77&lt;&gt;"",LEN('LID_LIQUIDACIONES'!N77)&gt;50),1,0)</f>
        <v/>
      </c>
      <c r="O77">
        <f>IF(AND('LID_LIQUIDACIONES'!O77&lt;&gt;"",COUNTIF(CL_CARACT_LIQ,'LID_LIQUIDACIONES'!O77)=0),1,0)</f>
        <v/>
      </c>
      <c r="P77">
        <f>IF(AND('LID_LIQUIDACIONES'!P77&lt;&gt;"",NOT(ISNUMBER('LID_LIQUIDACIONES'!P77))),1,0)</f>
        <v/>
      </c>
    </row>
    <row r="78">
      <c r="A78">
        <f>IF(AND('LID_LIQUIDACIONES'!A78&lt;&gt;"",NOT(ISNUMBER('LID_LIQUIDACIONES'!A78))),1,0)</f>
        <v/>
      </c>
      <c r="B78">
        <f>IF(AND('LID_LIQUIDACIONES'!B78&lt;&gt;"",LEN('LID_LIQUIDACIONES'!B78)&gt;5),1,0)</f>
        <v/>
      </c>
      <c r="C78">
        <f>IF(AND('LID_LIQUIDACIONES'!C78&lt;&gt;"",COUNTIF(CL_TIPO_VALOR,'LID_LIQUIDACIONES'!C78)=0),1,0)</f>
        <v/>
      </c>
      <c r="D78">
        <f>IF(AND('LID_LIQUIDACIONES'!D78&lt;&gt;"",COUNTIF(CL_TIPO_OBLIGACI_N,'LID_LIQUIDACIONES'!D78)=0),1,0)</f>
        <v/>
      </c>
      <c r="E78">
        <f>IF(AND('LID_LIQUIDACIONES'!E78&lt;&gt;"",IF(ISNUMBER('LID_LIQUIDACIONES'!E78),OR('LID_LIQUIDACIONES'!E78&lt;&gt;ROUND('LID_LIQUIDACIONES'!E78,0),LEN(TEXT(INT(ABS('LID_LIQUIDACIONES'!E78)),"0"))&gt;12),TRUE)),1,0)</f>
        <v/>
      </c>
      <c r="F78">
        <f>IF(AND('LID_LIQUIDACIONES'!F78&lt;&gt;"",OR(LEN('LID_LIQUIDACIONES'!F78)&gt;3,COUNTIF(CL_MONEDA,'LID_LIQUIDACIONES'!F78)=0)),1,0)</f>
        <v/>
      </c>
      <c r="G78">
        <f>IF(AND('LID_LIQUIDACIONES'!G78&lt;&gt;"",COUNTIF(CL_ID_PAGOS,'LID_LIQUIDACIONES'!G78)=0),1,0)</f>
        <v/>
      </c>
      <c r="H78">
        <f>IF(AND('LID_LIQUIDACIONES'!H78&lt;&gt;"",COUNTIF(CL_FLAG_HORARIO,'LID_LIQUIDACIONES'!H78)=0),1,0)</f>
        <v/>
      </c>
      <c r="I78">
        <f>IF(AND('LID_LIQUIDACIONES'!I78&lt;&gt;"",COUNTIF(CL_CAT_ID_PAGOS_RET,'LID_LIQUIDACIONES'!I78)=0),1,0)</f>
        <v/>
      </c>
      <c r="J78">
        <f>IF(AND('LID_LIQUIDACIONES'!J78&lt;&gt;"",NOT(ISNUMBER('LID_LIQUIDACIONES'!J78))),1,0)</f>
        <v/>
      </c>
      <c r="K78">
        <f>IF(AND('LID_LIQUIDACIONES'!K78&lt;&gt;"",LEN('LID_LIQUIDACIONES'!K78)&gt;5),1,0)</f>
        <v/>
      </c>
      <c r="L78">
        <f>IF(AND('LID_LIQUIDACIONES'!L78&lt;&gt;"",IF(ISNUMBER('LID_LIQUIDACIONES'!L78),OR('LID_LIQUIDACIONES'!L78&lt;&gt;ROUND('LID_LIQUIDACIONES'!L78,0),LEN(TEXT(INT(ABS('LID_LIQUIDACIONES'!L78)),"0"))&gt;12),TRUE)),1,0)</f>
        <v/>
      </c>
      <c r="M78">
        <f>IF(AND('LID_LIQUIDACIONES'!M78&lt;&gt;"",COUNTIF(CL_CAT_MOTIVO_RET,'LID_LIQUIDACIONES'!M78)=0),1,0)</f>
        <v/>
      </c>
      <c r="N78">
        <f>IF(AND('LID_LIQUIDACIONES'!N78&lt;&gt;"",LEN('LID_LIQUIDACIONES'!N78)&gt;50),1,0)</f>
        <v/>
      </c>
      <c r="O78">
        <f>IF(AND('LID_LIQUIDACIONES'!O78&lt;&gt;"",COUNTIF(CL_CARACT_LIQ,'LID_LIQUIDACIONES'!O78)=0),1,0)</f>
        <v/>
      </c>
      <c r="P78">
        <f>IF(AND('LID_LIQUIDACIONES'!P78&lt;&gt;"",NOT(ISNUMBER('LID_LIQUIDACIONES'!P78))),1,0)</f>
        <v/>
      </c>
    </row>
    <row r="79">
      <c r="A79">
        <f>IF(AND('LID_LIQUIDACIONES'!A79&lt;&gt;"",NOT(ISNUMBER('LID_LIQUIDACIONES'!A79))),1,0)</f>
        <v/>
      </c>
      <c r="B79">
        <f>IF(AND('LID_LIQUIDACIONES'!B79&lt;&gt;"",LEN('LID_LIQUIDACIONES'!B79)&gt;5),1,0)</f>
        <v/>
      </c>
      <c r="C79">
        <f>IF(AND('LID_LIQUIDACIONES'!C79&lt;&gt;"",COUNTIF(CL_TIPO_VALOR,'LID_LIQUIDACIONES'!C79)=0),1,0)</f>
        <v/>
      </c>
      <c r="D79">
        <f>IF(AND('LID_LIQUIDACIONES'!D79&lt;&gt;"",COUNTIF(CL_TIPO_OBLIGACI_N,'LID_LIQUIDACIONES'!D79)=0),1,0)</f>
        <v/>
      </c>
      <c r="E79">
        <f>IF(AND('LID_LIQUIDACIONES'!E79&lt;&gt;"",IF(ISNUMBER('LID_LIQUIDACIONES'!E79),OR('LID_LIQUIDACIONES'!E79&lt;&gt;ROUND('LID_LIQUIDACIONES'!E79,0),LEN(TEXT(INT(ABS('LID_LIQUIDACIONES'!E79)),"0"))&gt;12),TRUE)),1,0)</f>
        <v/>
      </c>
      <c r="F79">
        <f>IF(AND('LID_LIQUIDACIONES'!F79&lt;&gt;"",OR(LEN('LID_LIQUIDACIONES'!F79)&gt;3,COUNTIF(CL_MONEDA,'LID_LIQUIDACIONES'!F79)=0)),1,0)</f>
        <v/>
      </c>
      <c r="G79">
        <f>IF(AND('LID_LIQUIDACIONES'!G79&lt;&gt;"",COUNTIF(CL_ID_PAGOS,'LID_LIQUIDACIONES'!G79)=0),1,0)</f>
        <v/>
      </c>
      <c r="H79">
        <f>IF(AND('LID_LIQUIDACIONES'!H79&lt;&gt;"",COUNTIF(CL_FLAG_HORARIO,'LID_LIQUIDACIONES'!H79)=0),1,0)</f>
        <v/>
      </c>
      <c r="I79">
        <f>IF(AND('LID_LIQUIDACIONES'!I79&lt;&gt;"",COUNTIF(CL_CAT_ID_PAGOS_RET,'LID_LIQUIDACIONES'!I79)=0),1,0)</f>
        <v/>
      </c>
      <c r="J79">
        <f>IF(AND('LID_LIQUIDACIONES'!J79&lt;&gt;"",NOT(ISNUMBER('LID_LIQUIDACIONES'!J79))),1,0)</f>
        <v/>
      </c>
      <c r="K79">
        <f>IF(AND('LID_LIQUIDACIONES'!K79&lt;&gt;"",LEN('LID_LIQUIDACIONES'!K79)&gt;5),1,0)</f>
        <v/>
      </c>
      <c r="L79">
        <f>IF(AND('LID_LIQUIDACIONES'!L79&lt;&gt;"",IF(ISNUMBER('LID_LIQUIDACIONES'!L79),OR('LID_LIQUIDACIONES'!L79&lt;&gt;ROUND('LID_LIQUIDACIONES'!L79,0),LEN(TEXT(INT(ABS('LID_LIQUIDACIONES'!L79)),"0"))&gt;12),TRUE)),1,0)</f>
        <v/>
      </c>
      <c r="M79">
        <f>IF(AND('LID_LIQUIDACIONES'!M79&lt;&gt;"",COUNTIF(CL_CAT_MOTIVO_RET,'LID_LIQUIDACIONES'!M79)=0),1,0)</f>
        <v/>
      </c>
      <c r="N79">
        <f>IF(AND('LID_LIQUIDACIONES'!N79&lt;&gt;"",LEN('LID_LIQUIDACIONES'!N79)&gt;50),1,0)</f>
        <v/>
      </c>
      <c r="O79">
        <f>IF(AND('LID_LIQUIDACIONES'!O79&lt;&gt;"",COUNTIF(CL_CARACT_LIQ,'LID_LIQUIDACIONES'!O79)=0),1,0)</f>
        <v/>
      </c>
      <c r="P79">
        <f>IF(AND('LID_LIQUIDACIONES'!P79&lt;&gt;"",NOT(ISNUMBER('LID_LIQUIDACIONES'!P79))),1,0)</f>
        <v/>
      </c>
    </row>
    <row r="80">
      <c r="A80">
        <f>IF(AND('LID_LIQUIDACIONES'!A80&lt;&gt;"",NOT(ISNUMBER('LID_LIQUIDACIONES'!A80))),1,0)</f>
        <v/>
      </c>
      <c r="B80">
        <f>IF(AND('LID_LIQUIDACIONES'!B80&lt;&gt;"",LEN('LID_LIQUIDACIONES'!B80)&gt;5),1,0)</f>
        <v/>
      </c>
      <c r="C80">
        <f>IF(AND('LID_LIQUIDACIONES'!C80&lt;&gt;"",COUNTIF(CL_TIPO_VALOR,'LID_LIQUIDACIONES'!C80)=0),1,0)</f>
        <v/>
      </c>
      <c r="D80">
        <f>IF(AND('LID_LIQUIDACIONES'!D80&lt;&gt;"",COUNTIF(CL_TIPO_OBLIGACI_N,'LID_LIQUIDACIONES'!D80)=0),1,0)</f>
        <v/>
      </c>
      <c r="E80">
        <f>IF(AND('LID_LIQUIDACIONES'!E80&lt;&gt;"",IF(ISNUMBER('LID_LIQUIDACIONES'!E80),OR('LID_LIQUIDACIONES'!E80&lt;&gt;ROUND('LID_LIQUIDACIONES'!E80,0),LEN(TEXT(INT(ABS('LID_LIQUIDACIONES'!E80)),"0"))&gt;12),TRUE)),1,0)</f>
        <v/>
      </c>
      <c r="F80">
        <f>IF(AND('LID_LIQUIDACIONES'!F80&lt;&gt;"",OR(LEN('LID_LIQUIDACIONES'!F80)&gt;3,COUNTIF(CL_MONEDA,'LID_LIQUIDACIONES'!F80)=0)),1,0)</f>
        <v/>
      </c>
      <c r="G80">
        <f>IF(AND('LID_LIQUIDACIONES'!G80&lt;&gt;"",COUNTIF(CL_ID_PAGOS,'LID_LIQUIDACIONES'!G80)=0),1,0)</f>
        <v/>
      </c>
      <c r="H80">
        <f>IF(AND('LID_LIQUIDACIONES'!H80&lt;&gt;"",COUNTIF(CL_FLAG_HORARIO,'LID_LIQUIDACIONES'!H80)=0),1,0)</f>
        <v/>
      </c>
      <c r="I80">
        <f>IF(AND('LID_LIQUIDACIONES'!I80&lt;&gt;"",COUNTIF(CL_CAT_ID_PAGOS_RET,'LID_LIQUIDACIONES'!I80)=0),1,0)</f>
        <v/>
      </c>
      <c r="J80">
        <f>IF(AND('LID_LIQUIDACIONES'!J80&lt;&gt;"",NOT(ISNUMBER('LID_LIQUIDACIONES'!J80))),1,0)</f>
        <v/>
      </c>
      <c r="K80">
        <f>IF(AND('LID_LIQUIDACIONES'!K80&lt;&gt;"",LEN('LID_LIQUIDACIONES'!K80)&gt;5),1,0)</f>
        <v/>
      </c>
      <c r="L80">
        <f>IF(AND('LID_LIQUIDACIONES'!L80&lt;&gt;"",IF(ISNUMBER('LID_LIQUIDACIONES'!L80),OR('LID_LIQUIDACIONES'!L80&lt;&gt;ROUND('LID_LIQUIDACIONES'!L80,0),LEN(TEXT(INT(ABS('LID_LIQUIDACIONES'!L80)),"0"))&gt;12),TRUE)),1,0)</f>
        <v/>
      </c>
      <c r="M80">
        <f>IF(AND('LID_LIQUIDACIONES'!M80&lt;&gt;"",COUNTIF(CL_CAT_MOTIVO_RET,'LID_LIQUIDACIONES'!M80)=0),1,0)</f>
        <v/>
      </c>
      <c r="N80">
        <f>IF(AND('LID_LIQUIDACIONES'!N80&lt;&gt;"",LEN('LID_LIQUIDACIONES'!N80)&gt;50),1,0)</f>
        <v/>
      </c>
      <c r="O80">
        <f>IF(AND('LID_LIQUIDACIONES'!O80&lt;&gt;"",COUNTIF(CL_CARACT_LIQ,'LID_LIQUIDACIONES'!O80)=0),1,0)</f>
        <v/>
      </c>
      <c r="P80">
        <f>IF(AND('LID_LIQUIDACIONES'!P80&lt;&gt;"",NOT(ISNUMBER('LID_LIQUIDACIONES'!P80))),1,0)</f>
        <v/>
      </c>
    </row>
    <row r="81">
      <c r="A81">
        <f>IF(AND('LID_LIQUIDACIONES'!A81&lt;&gt;"",NOT(ISNUMBER('LID_LIQUIDACIONES'!A81))),1,0)</f>
        <v/>
      </c>
      <c r="B81">
        <f>IF(AND('LID_LIQUIDACIONES'!B81&lt;&gt;"",LEN('LID_LIQUIDACIONES'!B81)&gt;5),1,0)</f>
        <v/>
      </c>
      <c r="C81">
        <f>IF(AND('LID_LIQUIDACIONES'!C81&lt;&gt;"",COUNTIF(CL_TIPO_VALOR,'LID_LIQUIDACIONES'!C81)=0),1,0)</f>
        <v/>
      </c>
      <c r="D81">
        <f>IF(AND('LID_LIQUIDACIONES'!D81&lt;&gt;"",COUNTIF(CL_TIPO_OBLIGACI_N,'LID_LIQUIDACIONES'!D81)=0),1,0)</f>
        <v/>
      </c>
      <c r="E81">
        <f>IF(AND('LID_LIQUIDACIONES'!E81&lt;&gt;"",IF(ISNUMBER('LID_LIQUIDACIONES'!E81),OR('LID_LIQUIDACIONES'!E81&lt;&gt;ROUND('LID_LIQUIDACIONES'!E81,0),LEN(TEXT(INT(ABS('LID_LIQUIDACIONES'!E81)),"0"))&gt;12),TRUE)),1,0)</f>
        <v/>
      </c>
      <c r="F81">
        <f>IF(AND('LID_LIQUIDACIONES'!F81&lt;&gt;"",OR(LEN('LID_LIQUIDACIONES'!F81)&gt;3,COUNTIF(CL_MONEDA,'LID_LIQUIDACIONES'!F81)=0)),1,0)</f>
        <v/>
      </c>
      <c r="G81">
        <f>IF(AND('LID_LIQUIDACIONES'!G81&lt;&gt;"",COUNTIF(CL_ID_PAGOS,'LID_LIQUIDACIONES'!G81)=0),1,0)</f>
        <v/>
      </c>
      <c r="H81">
        <f>IF(AND('LID_LIQUIDACIONES'!H81&lt;&gt;"",COUNTIF(CL_FLAG_HORARIO,'LID_LIQUIDACIONES'!H81)=0),1,0)</f>
        <v/>
      </c>
      <c r="I81">
        <f>IF(AND('LID_LIQUIDACIONES'!I81&lt;&gt;"",COUNTIF(CL_CAT_ID_PAGOS_RET,'LID_LIQUIDACIONES'!I81)=0),1,0)</f>
        <v/>
      </c>
      <c r="J81">
        <f>IF(AND('LID_LIQUIDACIONES'!J81&lt;&gt;"",NOT(ISNUMBER('LID_LIQUIDACIONES'!J81))),1,0)</f>
        <v/>
      </c>
      <c r="K81">
        <f>IF(AND('LID_LIQUIDACIONES'!K81&lt;&gt;"",LEN('LID_LIQUIDACIONES'!K81)&gt;5),1,0)</f>
        <v/>
      </c>
      <c r="L81">
        <f>IF(AND('LID_LIQUIDACIONES'!L81&lt;&gt;"",IF(ISNUMBER('LID_LIQUIDACIONES'!L81),OR('LID_LIQUIDACIONES'!L81&lt;&gt;ROUND('LID_LIQUIDACIONES'!L81,0),LEN(TEXT(INT(ABS('LID_LIQUIDACIONES'!L81)),"0"))&gt;12),TRUE)),1,0)</f>
        <v/>
      </c>
      <c r="M81">
        <f>IF(AND('LID_LIQUIDACIONES'!M81&lt;&gt;"",COUNTIF(CL_CAT_MOTIVO_RET,'LID_LIQUIDACIONES'!M81)=0),1,0)</f>
        <v/>
      </c>
      <c r="N81">
        <f>IF(AND('LID_LIQUIDACIONES'!N81&lt;&gt;"",LEN('LID_LIQUIDACIONES'!N81)&gt;50),1,0)</f>
        <v/>
      </c>
      <c r="O81">
        <f>IF(AND('LID_LIQUIDACIONES'!O81&lt;&gt;"",COUNTIF(CL_CARACT_LIQ,'LID_LIQUIDACIONES'!O81)=0),1,0)</f>
        <v/>
      </c>
      <c r="P81">
        <f>IF(AND('LID_LIQUIDACIONES'!P81&lt;&gt;"",NOT(ISNUMBER('LID_LIQUIDACIONES'!P81))),1,0)</f>
        <v/>
      </c>
    </row>
    <row r="82">
      <c r="A82">
        <f>IF(AND('LID_LIQUIDACIONES'!A82&lt;&gt;"",NOT(ISNUMBER('LID_LIQUIDACIONES'!A82))),1,0)</f>
        <v/>
      </c>
      <c r="B82">
        <f>IF(AND('LID_LIQUIDACIONES'!B82&lt;&gt;"",LEN('LID_LIQUIDACIONES'!B82)&gt;5),1,0)</f>
        <v/>
      </c>
      <c r="C82">
        <f>IF(AND('LID_LIQUIDACIONES'!C82&lt;&gt;"",COUNTIF(CL_TIPO_VALOR,'LID_LIQUIDACIONES'!C82)=0),1,0)</f>
        <v/>
      </c>
      <c r="D82">
        <f>IF(AND('LID_LIQUIDACIONES'!D82&lt;&gt;"",COUNTIF(CL_TIPO_OBLIGACI_N,'LID_LIQUIDACIONES'!D82)=0),1,0)</f>
        <v/>
      </c>
      <c r="E82">
        <f>IF(AND('LID_LIQUIDACIONES'!E82&lt;&gt;"",IF(ISNUMBER('LID_LIQUIDACIONES'!E82),OR('LID_LIQUIDACIONES'!E82&lt;&gt;ROUND('LID_LIQUIDACIONES'!E82,0),LEN(TEXT(INT(ABS('LID_LIQUIDACIONES'!E82)),"0"))&gt;12),TRUE)),1,0)</f>
        <v/>
      </c>
      <c r="F82">
        <f>IF(AND('LID_LIQUIDACIONES'!F82&lt;&gt;"",OR(LEN('LID_LIQUIDACIONES'!F82)&gt;3,COUNTIF(CL_MONEDA,'LID_LIQUIDACIONES'!F82)=0)),1,0)</f>
        <v/>
      </c>
      <c r="G82">
        <f>IF(AND('LID_LIQUIDACIONES'!G82&lt;&gt;"",COUNTIF(CL_ID_PAGOS,'LID_LIQUIDACIONES'!G82)=0),1,0)</f>
        <v/>
      </c>
      <c r="H82">
        <f>IF(AND('LID_LIQUIDACIONES'!H82&lt;&gt;"",COUNTIF(CL_FLAG_HORARIO,'LID_LIQUIDACIONES'!H82)=0),1,0)</f>
        <v/>
      </c>
      <c r="I82">
        <f>IF(AND('LID_LIQUIDACIONES'!I82&lt;&gt;"",COUNTIF(CL_CAT_ID_PAGOS_RET,'LID_LIQUIDACIONES'!I82)=0),1,0)</f>
        <v/>
      </c>
      <c r="J82">
        <f>IF(AND('LID_LIQUIDACIONES'!J82&lt;&gt;"",NOT(ISNUMBER('LID_LIQUIDACIONES'!J82))),1,0)</f>
        <v/>
      </c>
      <c r="K82">
        <f>IF(AND('LID_LIQUIDACIONES'!K82&lt;&gt;"",LEN('LID_LIQUIDACIONES'!K82)&gt;5),1,0)</f>
        <v/>
      </c>
      <c r="L82">
        <f>IF(AND('LID_LIQUIDACIONES'!L82&lt;&gt;"",IF(ISNUMBER('LID_LIQUIDACIONES'!L82),OR('LID_LIQUIDACIONES'!L82&lt;&gt;ROUND('LID_LIQUIDACIONES'!L82,0),LEN(TEXT(INT(ABS('LID_LIQUIDACIONES'!L82)),"0"))&gt;12),TRUE)),1,0)</f>
        <v/>
      </c>
      <c r="M82">
        <f>IF(AND('LID_LIQUIDACIONES'!M82&lt;&gt;"",COUNTIF(CL_CAT_MOTIVO_RET,'LID_LIQUIDACIONES'!M82)=0),1,0)</f>
        <v/>
      </c>
      <c r="N82">
        <f>IF(AND('LID_LIQUIDACIONES'!N82&lt;&gt;"",LEN('LID_LIQUIDACIONES'!N82)&gt;50),1,0)</f>
        <v/>
      </c>
      <c r="O82">
        <f>IF(AND('LID_LIQUIDACIONES'!O82&lt;&gt;"",COUNTIF(CL_CARACT_LIQ,'LID_LIQUIDACIONES'!O82)=0),1,0)</f>
        <v/>
      </c>
      <c r="P82">
        <f>IF(AND('LID_LIQUIDACIONES'!P82&lt;&gt;"",NOT(ISNUMBER('LID_LIQUIDACIONES'!P82))),1,0)</f>
        <v/>
      </c>
    </row>
    <row r="83">
      <c r="A83">
        <f>IF(AND('LID_LIQUIDACIONES'!A83&lt;&gt;"",NOT(ISNUMBER('LID_LIQUIDACIONES'!A83))),1,0)</f>
        <v/>
      </c>
      <c r="B83">
        <f>IF(AND('LID_LIQUIDACIONES'!B83&lt;&gt;"",LEN('LID_LIQUIDACIONES'!B83)&gt;5),1,0)</f>
        <v/>
      </c>
      <c r="C83">
        <f>IF(AND('LID_LIQUIDACIONES'!C83&lt;&gt;"",COUNTIF(CL_TIPO_VALOR,'LID_LIQUIDACIONES'!C83)=0),1,0)</f>
        <v/>
      </c>
      <c r="D83">
        <f>IF(AND('LID_LIQUIDACIONES'!D83&lt;&gt;"",COUNTIF(CL_TIPO_OBLIGACI_N,'LID_LIQUIDACIONES'!D83)=0),1,0)</f>
        <v/>
      </c>
      <c r="E83">
        <f>IF(AND('LID_LIQUIDACIONES'!E83&lt;&gt;"",IF(ISNUMBER('LID_LIQUIDACIONES'!E83),OR('LID_LIQUIDACIONES'!E83&lt;&gt;ROUND('LID_LIQUIDACIONES'!E83,0),LEN(TEXT(INT(ABS('LID_LIQUIDACIONES'!E83)),"0"))&gt;12),TRUE)),1,0)</f>
        <v/>
      </c>
      <c r="F83">
        <f>IF(AND('LID_LIQUIDACIONES'!F83&lt;&gt;"",OR(LEN('LID_LIQUIDACIONES'!F83)&gt;3,COUNTIF(CL_MONEDA,'LID_LIQUIDACIONES'!F83)=0)),1,0)</f>
        <v/>
      </c>
      <c r="G83">
        <f>IF(AND('LID_LIQUIDACIONES'!G83&lt;&gt;"",COUNTIF(CL_ID_PAGOS,'LID_LIQUIDACIONES'!G83)=0),1,0)</f>
        <v/>
      </c>
      <c r="H83">
        <f>IF(AND('LID_LIQUIDACIONES'!H83&lt;&gt;"",COUNTIF(CL_FLAG_HORARIO,'LID_LIQUIDACIONES'!H83)=0),1,0)</f>
        <v/>
      </c>
      <c r="I83">
        <f>IF(AND('LID_LIQUIDACIONES'!I83&lt;&gt;"",COUNTIF(CL_CAT_ID_PAGOS_RET,'LID_LIQUIDACIONES'!I83)=0),1,0)</f>
        <v/>
      </c>
      <c r="J83">
        <f>IF(AND('LID_LIQUIDACIONES'!J83&lt;&gt;"",NOT(ISNUMBER('LID_LIQUIDACIONES'!J83))),1,0)</f>
        <v/>
      </c>
      <c r="K83">
        <f>IF(AND('LID_LIQUIDACIONES'!K83&lt;&gt;"",LEN('LID_LIQUIDACIONES'!K83)&gt;5),1,0)</f>
        <v/>
      </c>
      <c r="L83">
        <f>IF(AND('LID_LIQUIDACIONES'!L83&lt;&gt;"",IF(ISNUMBER('LID_LIQUIDACIONES'!L83),OR('LID_LIQUIDACIONES'!L83&lt;&gt;ROUND('LID_LIQUIDACIONES'!L83,0),LEN(TEXT(INT(ABS('LID_LIQUIDACIONES'!L83)),"0"))&gt;12),TRUE)),1,0)</f>
        <v/>
      </c>
      <c r="M83">
        <f>IF(AND('LID_LIQUIDACIONES'!M83&lt;&gt;"",COUNTIF(CL_CAT_MOTIVO_RET,'LID_LIQUIDACIONES'!M83)=0),1,0)</f>
        <v/>
      </c>
      <c r="N83">
        <f>IF(AND('LID_LIQUIDACIONES'!N83&lt;&gt;"",LEN('LID_LIQUIDACIONES'!N83)&gt;50),1,0)</f>
        <v/>
      </c>
      <c r="O83">
        <f>IF(AND('LID_LIQUIDACIONES'!O83&lt;&gt;"",COUNTIF(CL_CARACT_LIQ,'LID_LIQUIDACIONES'!O83)=0),1,0)</f>
        <v/>
      </c>
      <c r="P83">
        <f>IF(AND('LID_LIQUIDACIONES'!P83&lt;&gt;"",NOT(ISNUMBER('LID_LIQUIDACIONES'!P83))),1,0)</f>
        <v/>
      </c>
    </row>
    <row r="84">
      <c r="A84">
        <f>IF(AND('LID_LIQUIDACIONES'!A84&lt;&gt;"",NOT(ISNUMBER('LID_LIQUIDACIONES'!A84))),1,0)</f>
        <v/>
      </c>
      <c r="B84">
        <f>IF(AND('LID_LIQUIDACIONES'!B84&lt;&gt;"",LEN('LID_LIQUIDACIONES'!B84)&gt;5),1,0)</f>
        <v/>
      </c>
      <c r="C84">
        <f>IF(AND('LID_LIQUIDACIONES'!C84&lt;&gt;"",COUNTIF(CL_TIPO_VALOR,'LID_LIQUIDACIONES'!C84)=0),1,0)</f>
        <v/>
      </c>
      <c r="D84">
        <f>IF(AND('LID_LIQUIDACIONES'!D84&lt;&gt;"",COUNTIF(CL_TIPO_OBLIGACI_N,'LID_LIQUIDACIONES'!D84)=0),1,0)</f>
        <v/>
      </c>
      <c r="E84">
        <f>IF(AND('LID_LIQUIDACIONES'!E84&lt;&gt;"",IF(ISNUMBER('LID_LIQUIDACIONES'!E84),OR('LID_LIQUIDACIONES'!E84&lt;&gt;ROUND('LID_LIQUIDACIONES'!E84,0),LEN(TEXT(INT(ABS('LID_LIQUIDACIONES'!E84)),"0"))&gt;12),TRUE)),1,0)</f>
        <v/>
      </c>
      <c r="F84">
        <f>IF(AND('LID_LIQUIDACIONES'!F84&lt;&gt;"",OR(LEN('LID_LIQUIDACIONES'!F84)&gt;3,COUNTIF(CL_MONEDA,'LID_LIQUIDACIONES'!F84)=0)),1,0)</f>
        <v/>
      </c>
      <c r="G84">
        <f>IF(AND('LID_LIQUIDACIONES'!G84&lt;&gt;"",COUNTIF(CL_ID_PAGOS,'LID_LIQUIDACIONES'!G84)=0),1,0)</f>
        <v/>
      </c>
      <c r="H84">
        <f>IF(AND('LID_LIQUIDACIONES'!H84&lt;&gt;"",COUNTIF(CL_FLAG_HORARIO,'LID_LIQUIDACIONES'!H84)=0),1,0)</f>
        <v/>
      </c>
      <c r="I84">
        <f>IF(AND('LID_LIQUIDACIONES'!I84&lt;&gt;"",COUNTIF(CL_CAT_ID_PAGOS_RET,'LID_LIQUIDACIONES'!I84)=0),1,0)</f>
        <v/>
      </c>
      <c r="J84">
        <f>IF(AND('LID_LIQUIDACIONES'!J84&lt;&gt;"",NOT(ISNUMBER('LID_LIQUIDACIONES'!J84))),1,0)</f>
        <v/>
      </c>
      <c r="K84">
        <f>IF(AND('LID_LIQUIDACIONES'!K84&lt;&gt;"",LEN('LID_LIQUIDACIONES'!K84)&gt;5),1,0)</f>
        <v/>
      </c>
      <c r="L84">
        <f>IF(AND('LID_LIQUIDACIONES'!L84&lt;&gt;"",IF(ISNUMBER('LID_LIQUIDACIONES'!L84),OR('LID_LIQUIDACIONES'!L84&lt;&gt;ROUND('LID_LIQUIDACIONES'!L84,0),LEN(TEXT(INT(ABS('LID_LIQUIDACIONES'!L84)),"0"))&gt;12),TRUE)),1,0)</f>
        <v/>
      </c>
      <c r="M84">
        <f>IF(AND('LID_LIQUIDACIONES'!M84&lt;&gt;"",COUNTIF(CL_CAT_MOTIVO_RET,'LID_LIQUIDACIONES'!M84)=0),1,0)</f>
        <v/>
      </c>
      <c r="N84">
        <f>IF(AND('LID_LIQUIDACIONES'!N84&lt;&gt;"",LEN('LID_LIQUIDACIONES'!N84)&gt;50),1,0)</f>
        <v/>
      </c>
      <c r="O84">
        <f>IF(AND('LID_LIQUIDACIONES'!O84&lt;&gt;"",COUNTIF(CL_CARACT_LIQ,'LID_LIQUIDACIONES'!O84)=0),1,0)</f>
        <v/>
      </c>
      <c r="P84">
        <f>IF(AND('LID_LIQUIDACIONES'!P84&lt;&gt;"",NOT(ISNUMBER('LID_LIQUIDACIONES'!P84))),1,0)</f>
        <v/>
      </c>
    </row>
    <row r="85">
      <c r="A85">
        <f>IF(AND('LID_LIQUIDACIONES'!A85&lt;&gt;"",NOT(ISNUMBER('LID_LIQUIDACIONES'!A85))),1,0)</f>
        <v/>
      </c>
      <c r="B85">
        <f>IF(AND('LID_LIQUIDACIONES'!B85&lt;&gt;"",LEN('LID_LIQUIDACIONES'!B85)&gt;5),1,0)</f>
        <v/>
      </c>
      <c r="C85">
        <f>IF(AND('LID_LIQUIDACIONES'!C85&lt;&gt;"",COUNTIF(CL_TIPO_VALOR,'LID_LIQUIDACIONES'!C85)=0),1,0)</f>
        <v/>
      </c>
      <c r="D85">
        <f>IF(AND('LID_LIQUIDACIONES'!D85&lt;&gt;"",COUNTIF(CL_TIPO_OBLIGACI_N,'LID_LIQUIDACIONES'!D85)=0),1,0)</f>
        <v/>
      </c>
      <c r="E85">
        <f>IF(AND('LID_LIQUIDACIONES'!E85&lt;&gt;"",IF(ISNUMBER('LID_LIQUIDACIONES'!E85),OR('LID_LIQUIDACIONES'!E85&lt;&gt;ROUND('LID_LIQUIDACIONES'!E85,0),LEN(TEXT(INT(ABS('LID_LIQUIDACIONES'!E85)),"0"))&gt;12),TRUE)),1,0)</f>
        <v/>
      </c>
      <c r="F85">
        <f>IF(AND('LID_LIQUIDACIONES'!F85&lt;&gt;"",OR(LEN('LID_LIQUIDACIONES'!F85)&gt;3,COUNTIF(CL_MONEDA,'LID_LIQUIDACIONES'!F85)=0)),1,0)</f>
        <v/>
      </c>
      <c r="G85">
        <f>IF(AND('LID_LIQUIDACIONES'!G85&lt;&gt;"",COUNTIF(CL_ID_PAGOS,'LID_LIQUIDACIONES'!G85)=0),1,0)</f>
        <v/>
      </c>
      <c r="H85">
        <f>IF(AND('LID_LIQUIDACIONES'!H85&lt;&gt;"",COUNTIF(CL_FLAG_HORARIO,'LID_LIQUIDACIONES'!H85)=0),1,0)</f>
        <v/>
      </c>
      <c r="I85">
        <f>IF(AND('LID_LIQUIDACIONES'!I85&lt;&gt;"",COUNTIF(CL_CAT_ID_PAGOS_RET,'LID_LIQUIDACIONES'!I85)=0),1,0)</f>
        <v/>
      </c>
      <c r="J85">
        <f>IF(AND('LID_LIQUIDACIONES'!J85&lt;&gt;"",NOT(ISNUMBER('LID_LIQUIDACIONES'!J85))),1,0)</f>
        <v/>
      </c>
      <c r="K85">
        <f>IF(AND('LID_LIQUIDACIONES'!K85&lt;&gt;"",LEN('LID_LIQUIDACIONES'!K85)&gt;5),1,0)</f>
        <v/>
      </c>
      <c r="L85">
        <f>IF(AND('LID_LIQUIDACIONES'!L85&lt;&gt;"",IF(ISNUMBER('LID_LIQUIDACIONES'!L85),OR('LID_LIQUIDACIONES'!L85&lt;&gt;ROUND('LID_LIQUIDACIONES'!L85,0),LEN(TEXT(INT(ABS('LID_LIQUIDACIONES'!L85)),"0"))&gt;12),TRUE)),1,0)</f>
        <v/>
      </c>
      <c r="M85">
        <f>IF(AND('LID_LIQUIDACIONES'!M85&lt;&gt;"",COUNTIF(CL_CAT_MOTIVO_RET,'LID_LIQUIDACIONES'!M85)=0),1,0)</f>
        <v/>
      </c>
      <c r="N85">
        <f>IF(AND('LID_LIQUIDACIONES'!N85&lt;&gt;"",LEN('LID_LIQUIDACIONES'!N85)&gt;50),1,0)</f>
        <v/>
      </c>
      <c r="O85">
        <f>IF(AND('LID_LIQUIDACIONES'!O85&lt;&gt;"",COUNTIF(CL_CARACT_LIQ,'LID_LIQUIDACIONES'!O85)=0),1,0)</f>
        <v/>
      </c>
      <c r="P85">
        <f>IF(AND('LID_LIQUIDACIONES'!P85&lt;&gt;"",NOT(ISNUMBER('LID_LIQUIDACIONES'!P85))),1,0)</f>
        <v/>
      </c>
    </row>
    <row r="86">
      <c r="A86">
        <f>IF(AND('LID_LIQUIDACIONES'!A86&lt;&gt;"",NOT(ISNUMBER('LID_LIQUIDACIONES'!A86))),1,0)</f>
        <v/>
      </c>
      <c r="B86">
        <f>IF(AND('LID_LIQUIDACIONES'!B86&lt;&gt;"",LEN('LID_LIQUIDACIONES'!B86)&gt;5),1,0)</f>
        <v/>
      </c>
      <c r="C86">
        <f>IF(AND('LID_LIQUIDACIONES'!C86&lt;&gt;"",COUNTIF(CL_TIPO_VALOR,'LID_LIQUIDACIONES'!C86)=0),1,0)</f>
        <v/>
      </c>
      <c r="D86">
        <f>IF(AND('LID_LIQUIDACIONES'!D86&lt;&gt;"",COUNTIF(CL_TIPO_OBLIGACI_N,'LID_LIQUIDACIONES'!D86)=0),1,0)</f>
        <v/>
      </c>
      <c r="E86">
        <f>IF(AND('LID_LIQUIDACIONES'!E86&lt;&gt;"",IF(ISNUMBER('LID_LIQUIDACIONES'!E86),OR('LID_LIQUIDACIONES'!E86&lt;&gt;ROUND('LID_LIQUIDACIONES'!E86,0),LEN(TEXT(INT(ABS('LID_LIQUIDACIONES'!E86)),"0"))&gt;12),TRUE)),1,0)</f>
        <v/>
      </c>
      <c r="F86">
        <f>IF(AND('LID_LIQUIDACIONES'!F86&lt;&gt;"",OR(LEN('LID_LIQUIDACIONES'!F86)&gt;3,COUNTIF(CL_MONEDA,'LID_LIQUIDACIONES'!F86)=0)),1,0)</f>
        <v/>
      </c>
      <c r="G86">
        <f>IF(AND('LID_LIQUIDACIONES'!G86&lt;&gt;"",COUNTIF(CL_ID_PAGOS,'LID_LIQUIDACIONES'!G86)=0),1,0)</f>
        <v/>
      </c>
      <c r="H86">
        <f>IF(AND('LID_LIQUIDACIONES'!H86&lt;&gt;"",COUNTIF(CL_FLAG_HORARIO,'LID_LIQUIDACIONES'!H86)=0),1,0)</f>
        <v/>
      </c>
      <c r="I86">
        <f>IF(AND('LID_LIQUIDACIONES'!I86&lt;&gt;"",COUNTIF(CL_CAT_ID_PAGOS_RET,'LID_LIQUIDACIONES'!I86)=0),1,0)</f>
        <v/>
      </c>
      <c r="J86">
        <f>IF(AND('LID_LIQUIDACIONES'!J86&lt;&gt;"",NOT(ISNUMBER('LID_LIQUIDACIONES'!J86))),1,0)</f>
        <v/>
      </c>
      <c r="K86">
        <f>IF(AND('LID_LIQUIDACIONES'!K86&lt;&gt;"",LEN('LID_LIQUIDACIONES'!K86)&gt;5),1,0)</f>
        <v/>
      </c>
      <c r="L86">
        <f>IF(AND('LID_LIQUIDACIONES'!L86&lt;&gt;"",IF(ISNUMBER('LID_LIQUIDACIONES'!L86),OR('LID_LIQUIDACIONES'!L86&lt;&gt;ROUND('LID_LIQUIDACIONES'!L86,0),LEN(TEXT(INT(ABS('LID_LIQUIDACIONES'!L86)),"0"))&gt;12),TRUE)),1,0)</f>
        <v/>
      </c>
      <c r="M86">
        <f>IF(AND('LID_LIQUIDACIONES'!M86&lt;&gt;"",COUNTIF(CL_CAT_MOTIVO_RET,'LID_LIQUIDACIONES'!M86)=0),1,0)</f>
        <v/>
      </c>
      <c r="N86">
        <f>IF(AND('LID_LIQUIDACIONES'!N86&lt;&gt;"",LEN('LID_LIQUIDACIONES'!N86)&gt;50),1,0)</f>
        <v/>
      </c>
      <c r="O86">
        <f>IF(AND('LID_LIQUIDACIONES'!O86&lt;&gt;"",COUNTIF(CL_CARACT_LIQ,'LID_LIQUIDACIONES'!O86)=0),1,0)</f>
        <v/>
      </c>
      <c r="P86">
        <f>IF(AND('LID_LIQUIDACIONES'!P86&lt;&gt;"",NOT(ISNUMBER('LID_LIQUIDACIONES'!P86))),1,0)</f>
        <v/>
      </c>
    </row>
    <row r="87">
      <c r="A87">
        <f>IF(AND('LID_LIQUIDACIONES'!A87&lt;&gt;"",NOT(ISNUMBER('LID_LIQUIDACIONES'!A87))),1,0)</f>
        <v/>
      </c>
      <c r="B87">
        <f>IF(AND('LID_LIQUIDACIONES'!B87&lt;&gt;"",LEN('LID_LIQUIDACIONES'!B87)&gt;5),1,0)</f>
        <v/>
      </c>
      <c r="C87">
        <f>IF(AND('LID_LIQUIDACIONES'!C87&lt;&gt;"",COUNTIF(CL_TIPO_VALOR,'LID_LIQUIDACIONES'!C87)=0),1,0)</f>
        <v/>
      </c>
      <c r="D87">
        <f>IF(AND('LID_LIQUIDACIONES'!D87&lt;&gt;"",COUNTIF(CL_TIPO_OBLIGACI_N,'LID_LIQUIDACIONES'!D87)=0),1,0)</f>
        <v/>
      </c>
      <c r="E87">
        <f>IF(AND('LID_LIQUIDACIONES'!E87&lt;&gt;"",IF(ISNUMBER('LID_LIQUIDACIONES'!E87),OR('LID_LIQUIDACIONES'!E87&lt;&gt;ROUND('LID_LIQUIDACIONES'!E87,0),LEN(TEXT(INT(ABS('LID_LIQUIDACIONES'!E87)),"0"))&gt;12),TRUE)),1,0)</f>
        <v/>
      </c>
      <c r="F87">
        <f>IF(AND('LID_LIQUIDACIONES'!F87&lt;&gt;"",OR(LEN('LID_LIQUIDACIONES'!F87)&gt;3,COUNTIF(CL_MONEDA,'LID_LIQUIDACIONES'!F87)=0)),1,0)</f>
        <v/>
      </c>
      <c r="G87">
        <f>IF(AND('LID_LIQUIDACIONES'!G87&lt;&gt;"",COUNTIF(CL_ID_PAGOS,'LID_LIQUIDACIONES'!G87)=0),1,0)</f>
        <v/>
      </c>
      <c r="H87">
        <f>IF(AND('LID_LIQUIDACIONES'!H87&lt;&gt;"",COUNTIF(CL_FLAG_HORARIO,'LID_LIQUIDACIONES'!H87)=0),1,0)</f>
        <v/>
      </c>
      <c r="I87">
        <f>IF(AND('LID_LIQUIDACIONES'!I87&lt;&gt;"",COUNTIF(CL_CAT_ID_PAGOS_RET,'LID_LIQUIDACIONES'!I87)=0),1,0)</f>
        <v/>
      </c>
      <c r="J87">
        <f>IF(AND('LID_LIQUIDACIONES'!J87&lt;&gt;"",NOT(ISNUMBER('LID_LIQUIDACIONES'!J87))),1,0)</f>
        <v/>
      </c>
      <c r="K87">
        <f>IF(AND('LID_LIQUIDACIONES'!K87&lt;&gt;"",LEN('LID_LIQUIDACIONES'!K87)&gt;5),1,0)</f>
        <v/>
      </c>
      <c r="L87">
        <f>IF(AND('LID_LIQUIDACIONES'!L87&lt;&gt;"",IF(ISNUMBER('LID_LIQUIDACIONES'!L87),OR('LID_LIQUIDACIONES'!L87&lt;&gt;ROUND('LID_LIQUIDACIONES'!L87,0),LEN(TEXT(INT(ABS('LID_LIQUIDACIONES'!L87)),"0"))&gt;12),TRUE)),1,0)</f>
        <v/>
      </c>
      <c r="M87">
        <f>IF(AND('LID_LIQUIDACIONES'!M87&lt;&gt;"",COUNTIF(CL_CAT_MOTIVO_RET,'LID_LIQUIDACIONES'!M87)=0),1,0)</f>
        <v/>
      </c>
      <c r="N87">
        <f>IF(AND('LID_LIQUIDACIONES'!N87&lt;&gt;"",LEN('LID_LIQUIDACIONES'!N87)&gt;50),1,0)</f>
        <v/>
      </c>
      <c r="O87">
        <f>IF(AND('LID_LIQUIDACIONES'!O87&lt;&gt;"",COUNTIF(CL_CARACT_LIQ,'LID_LIQUIDACIONES'!O87)=0),1,0)</f>
        <v/>
      </c>
      <c r="P87">
        <f>IF(AND('LID_LIQUIDACIONES'!P87&lt;&gt;"",NOT(ISNUMBER('LID_LIQUIDACIONES'!P87))),1,0)</f>
        <v/>
      </c>
    </row>
    <row r="88">
      <c r="A88">
        <f>IF(AND('LID_LIQUIDACIONES'!A88&lt;&gt;"",NOT(ISNUMBER('LID_LIQUIDACIONES'!A88))),1,0)</f>
        <v/>
      </c>
      <c r="B88">
        <f>IF(AND('LID_LIQUIDACIONES'!B88&lt;&gt;"",LEN('LID_LIQUIDACIONES'!B88)&gt;5),1,0)</f>
        <v/>
      </c>
      <c r="C88">
        <f>IF(AND('LID_LIQUIDACIONES'!C88&lt;&gt;"",COUNTIF(CL_TIPO_VALOR,'LID_LIQUIDACIONES'!C88)=0),1,0)</f>
        <v/>
      </c>
      <c r="D88">
        <f>IF(AND('LID_LIQUIDACIONES'!D88&lt;&gt;"",COUNTIF(CL_TIPO_OBLIGACI_N,'LID_LIQUIDACIONES'!D88)=0),1,0)</f>
        <v/>
      </c>
      <c r="E88">
        <f>IF(AND('LID_LIQUIDACIONES'!E88&lt;&gt;"",IF(ISNUMBER('LID_LIQUIDACIONES'!E88),OR('LID_LIQUIDACIONES'!E88&lt;&gt;ROUND('LID_LIQUIDACIONES'!E88,0),LEN(TEXT(INT(ABS('LID_LIQUIDACIONES'!E88)),"0"))&gt;12),TRUE)),1,0)</f>
        <v/>
      </c>
      <c r="F88">
        <f>IF(AND('LID_LIQUIDACIONES'!F88&lt;&gt;"",OR(LEN('LID_LIQUIDACIONES'!F88)&gt;3,COUNTIF(CL_MONEDA,'LID_LIQUIDACIONES'!F88)=0)),1,0)</f>
        <v/>
      </c>
      <c r="G88">
        <f>IF(AND('LID_LIQUIDACIONES'!G88&lt;&gt;"",COUNTIF(CL_ID_PAGOS,'LID_LIQUIDACIONES'!G88)=0),1,0)</f>
        <v/>
      </c>
      <c r="H88">
        <f>IF(AND('LID_LIQUIDACIONES'!H88&lt;&gt;"",COUNTIF(CL_FLAG_HORARIO,'LID_LIQUIDACIONES'!H88)=0),1,0)</f>
        <v/>
      </c>
      <c r="I88">
        <f>IF(AND('LID_LIQUIDACIONES'!I88&lt;&gt;"",COUNTIF(CL_CAT_ID_PAGOS_RET,'LID_LIQUIDACIONES'!I88)=0),1,0)</f>
        <v/>
      </c>
      <c r="J88">
        <f>IF(AND('LID_LIQUIDACIONES'!J88&lt;&gt;"",NOT(ISNUMBER('LID_LIQUIDACIONES'!J88))),1,0)</f>
        <v/>
      </c>
      <c r="K88">
        <f>IF(AND('LID_LIQUIDACIONES'!K88&lt;&gt;"",LEN('LID_LIQUIDACIONES'!K88)&gt;5),1,0)</f>
        <v/>
      </c>
      <c r="L88">
        <f>IF(AND('LID_LIQUIDACIONES'!L88&lt;&gt;"",IF(ISNUMBER('LID_LIQUIDACIONES'!L88),OR('LID_LIQUIDACIONES'!L88&lt;&gt;ROUND('LID_LIQUIDACIONES'!L88,0),LEN(TEXT(INT(ABS('LID_LIQUIDACIONES'!L88)),"0"))&gt;12),TRUE)),1,0)</f>
        <v/>
      </c>
      <c r="M88">
        <f>IF(AND('LID_LIQUIDACIONES'!M88&lt;&gt;"",COUNTIF(CL_CAT_MOTIVO_RET,'LID_LIQUIDACIONES'!M88)=0),1,0)</f>
        <v/>
      </c>
      <c r="N88">
        <f>IF(AND('LID_LIQUIDACIONES'!N88&lt;&gt;"",LEN('LID_LIQUIDACIONES'!N88)&gt;50),1,0)</f>
        <v/>
      </c>
      <c r="O88">
        <f>IF(AND('LID_LIQUIDACIONES'!O88&lt;&gt;"",COUNTIF(CL_CARACT_LIQ,'LID_LIQUIDACIONES'!O88)=0),1,0)</f>
        <v/>
      </c>
      <c r="P88">
        <f>IF(AND('LID_LIQUIDACIONES'!P88&lt;&gt;"",NOT(ISNUMBER('LID_LIQUIDACIONES'!P88))),1,0)</f>
        <v/>
      </c>
    </row>
    <row r="89">
      <c r="A89">
        <f>IF(AND('LID_LIQUIDACIONES'!A89&lt;&gt;"",NOT(ISNUMBER('LID_LIQUIDACIONES'!A89))),1,0)</f>
        <v/>
      </c>
      <c r="B89">
        <f>IF(AND('LID_LIQUIDACIONES'!B89&lt;&gt;"",LEN('LID_LIQUIDACIONES'!B89)&gt;5),1,0)</f>
        <v/>
      </c>
      <c r="C89">
        <f>IF(AND('LID_LIQUIDACIONES'!C89&lt;&gt;"",COUNTIF(CL_TIPO_VALOR,'LID_LIQUIDACIONES'!C89)=0),1,0)</f>
        <v/>
      </c>
      <c r="D89">
        <f>IF(AND('LID_LIQUIDACIONES'!D89&lt;&gt;"",COUNTIF(CL_TIPO_OBLIGACI_N,'LID_LIQUIDACIONES'!D89)=0),1,0)</f>
        <v/>
      </c>
      <c r="E89">
        <f>IF(AND('LID_LIQUIDACIONES'!E89&lt;&gt;"",IF(ISNUMBER('LID_LIQUIDACIONES'!E89),OR('LID_LIQUIDACIONES'!E89&lt;&gt;ROUND('LID_LIQUIDACIONES'!E89,0),LEN(TEXT(INT(ABS('LID_LIQUIDACIONES'!E89)),"0"))&gt;12),TRUE)),1,0)</f>
        <v/>
      </c>
      <c r="F89">
        <f>IF(AND('LID_LIQUIDACIONES'!F89&lt;&gt;"",OR(LEN('LID_LIQUIDACIONES'!F89)&gt;3,COUNTIF(CL_MONEDA,'LID_LIQUIDACIONES'!F89)=0)),1,0)</f>
        <v/>
      </c>
      <c r="G89">
        <f>IF(AND('LID_LIQUIDACIONES'!G89&lt;&gt;"",COUNTIF(CL_ID_PAGOS,'LID_LIQUIDACIONES'!G89)=0),1,0)</f>
        <v/>
      </c>
      <c r="H89">
        <f>IF(AND('LID_LIQUIDACIONES'!H89&lt;&gt;"",COUNTIF(CL_FLAG_HORARIO,'LID_LIQUIDACIONES'!H89)=0),1,0)</f>
        <v/>
      </c>
      <c r="I89">
        <f>IF(AND('LID_LIQUIDACIONES'!I89&lt;&gt;"",COUNTIF(CL_CAT_ID_PAGOS_RET,'LID_LIQUIDACIONES'!I89)=0),1,0)</f>
        <v/>
      </c>
      <c r="J89">
        <f>IF(AND('LID_LIQUIDACIONES'!J89&lt;&gt;"",NOT(ISNUMBER('LID_LIQUIDACIONES'!J89))),1,0)</f>
        <v/>
      </c>
      <c r="K89">
        <f>IF(AND('LID_LIQUIDACIONES'!K89&lt;&gt;"",LEN('LID_LIQUIDACIONES'!K89)&gt;5),1,0)</f>
        <v/>
      </c>
      <c r="L89">
        <f>IF(AND('LID_LIQUIDACIONES'!L89&lt;&gt;"",IF(ISNUMBER('LID_LIQUIDACIONES'!L89),OR('LID_LIQUIDACIONES'!L89&lt;&gt;ROUND('LID_LIQUIDACIONES'!L89,0),LEN(TEXT(INT(ABS('LID_LIQUIDACIONES'!L89)),"0"))&gt;12),TRUE)),1,0)</f>
        <v/>
      </c>
      <c r="M89">
        <f>IF(AND('LID_LIQUIDACIONES'!M89&lt;&gt;"",COUNTIF(CL_CAT_MOTIVO_RET,'LID_LIQUIDACIONES'!M89)=0),1,0)</f>
        <v/>
      </c>
      <c r="N89">
        <f>IF(AND('LID_LIQUIDACIONES'!N89&lt;&gt;"",LEN('LID_LIQUIDACIONES'!N89)&gt;50),1,0)</f>
        <v/>
      </c>
      <c r="O89">
        <f>IF(AND('LID_LIQUIDACIONES'!O89&lt;&gt;"",COUNTIF(CL_CARACT_LIQ,'LID_LIQUIDACIONES'!O89)=0),1,0)</f>
        <v/>
      </c>
      <c r="P89">
        <f>IF(AND('LID_LIQUIDACIONES'!P89&lt;&gt;"",NOT(ISNUMBER('LID_LIQUIDACIONES'!P89))),1,0)</f>
        <v/>
      </c>
    </row>
    <row r="90">
      <c r="A90">
        <f>IF(AND('LID_LIQUIDACIONES'!A90&lt;&gt;"",NOT(ISNUMBER('LID_LIQUIDACIONES'!A90))),1,0)</f>
        <v/>
      </c>
      <c r="B90">
        <f>IF(AND('LID_LIQUIDACIONES'!B90&lt;&gt;"",LEN('LID_LIQUIDACIONES'!B90)&gt;5),1,0)</f>
        <v/>
      </c>
      <c r="C90">
        <f>IF(AND('LID_LIQUIDACIONES'!C90&lt;&gt;"",COUNTIF(CL_TIPO_VALOR,'LID_LIQUIDACIONES'!C90)=0),1,0)</f>
        <v/>
      </c>
      <c r="D90">
        <f>IF(AND('LID_LIQUIDACIONES'!D90&lt;&gt;"",COUNTIF(CL_TIPO_OBLIGACI_N,'LID_LIQUIDACIONES'!D90)=0),1,0)</f>
        <v/>
      </c>
      <c r="E90">
        <f>IF(AND('LID_LIQUIDACIONES'!E90&lt;&gt;"",IF(ISNUMBER('LID_LIQUIDACIONES'!E90),OR('LID_LIQUIDACIONES'!E90&lt;&gt;ROUND('LID_LIQUIDACIONES'!E90,0),LEN(TEXT(INT(ABS('LID_LIQUIDACIONES'!E90)),"0"))&gt;12),TRUE)),1,0)</f>
        <v/>
      </c>
      <c r="F90">
        <f>IF(AND('LID_LIQUIDACIONES'!F90&lt;&gt;"",OR(LEN('LID_LIQUIDACIONES'!F90)&gt;3,COUNTIF(CL_MONEDA,'LID_LIQUIDACIONES'!F90)=0)),1,0)</f>
        <v/>
      </c>
      <c r="G90">
        <f>IF(AND('LID_LIQUIDACIONES'!G90&lt;&gt;"",COUNTIF(CL_ID_PAGOS,'LID_LIQUIDACIONES'!G90)=0),1,0)</f>
        <v/>
      </c>
      <c r="H90">
        <f>IF(AND('LID_LIQUIDACIONES'!H90&lt;&gt;"",COUNTIF(CL_FLAG_HORARIO,'LID_LIQUIDACIONES'!H90)=0),1,0)</f>
        <v/>
      </c>
      <c r="I90">
        <f>IF(AND('LID_LIQUIDACIONES'!I90&lt;&gt;"",COUNTIF(CL_CAT_ID_PAGOS_RET,'LID_LIQUIDACIONES'!I90)=0),1,0)</f>
        <v/>
      </c>
      <c r="J90">
        <f>IF(AND('LID_LIQUIDACIONES'!J90&lt;&gt;"",NOT(ISNUMBER('LID_LIQUIDACIONES'!J90))),1,0)</f>
        <v/>
      </c>
      <c r="K90">
        <f>IF(AND('LID_LIQUIDACIONES'!K90&lt;&gt;"",LEN('LID_LIQUIDACIONES'!K90)&gt;5),1,0)</f>
        <v/>
      </c>
      <c r="L90">
        <f>IF(AND('LID_LIQUIDACIONES'!L90&lt;&gt;"",IF(ISNUMBER('LID_LIQUIDACIONES'!L90),OR('LID_LIQUIDACIONES'!L90&lt;&gt;ROUND('LID_LIQUIDACIONES'!L90,0),LEN(TEXT(INT(ABS('LID_LIQUIDACIONES'!L90)),"0"))&gt;12),TRUE)),1,0)</f>
        <v/>
      </c>
      <c r="M90">
        <f>IF(AND('LID_LIQUIDACIONES'!M90&lt;&gt;"",COUNTIF(CL_CAT_MOTIVO_RET,'LID_LIQUIDACIONES'!M90)=0),1,0)</f>
        <v/>
      </c>
      <c r="N90">
        <f>IF(AND('LID_LIQUIDACIONES'!N90&lt;&gt;"",LEN('LID_LIQUIDACIONES'!N90)&gt;50),1,0)</f>
        <v/>
      </c>
      <c r="O90">
        <f>IF(AND('LID_LIQUIDACIONES'!O90&lt;&gt;"",COUNTIF(CL_CARACT_LIQ,'LID_LIQUIDACIONES'!O90)=0),1,0)</f>
        <v/>
      </c>
      <c r="P90">
        <f>IF(AND('LID_LIQUIDACIONES'!P90&lt;&gt;"",NOT(ISNUMBER('LID_LIQUIDACIONES'!P90))),1,0)</f>
        <v/>
      </c>
    </row>
    <row r="91">
      <c r="A91">
        <f>IF(AND('LID_LIQUIDACIONES'!A91&lt;&gt;"",NOT(ISNUMBER('LID_LIQUIDACIONES'!A91))),1,0)</f>
        <v/>
      </c>
      <c r="B91">
        <f>IF(AND('LID_LIQUIDACIONES'!B91&lt;&gt;"",LEN('LID_LIQUIDACIONES'!B91)&gt;5),1,0)</f>
        <v/>
      </c>
      <c r="C91">
        <f>IF(AND('LID_LIQUIDACIONES'!C91&lt;&gt;"",COUNTIF(CL_TIPO_VALOR,'LID_LIQUIDACIONES'!C91)=0),1,0)</f>
        <v/>
      </c>
      <c r="D91">
        <f>IF(AND('LID_LIQUIDACIONES'!D91&lt;&gt;"",COUNTIF(CL_TIPO_OBLIGACI_N,'LID_LIQUIDACIONES'!D91)=0),1,0)</f>
        <v/>
      </c>
      <c r="E91">
        <f>IF(AND('LID_LIQUIDACIONES'!E91&lt;&gt;"",IF(ISNUMBER('LID_LIQUIDACIONES'!E91),OR('LID_LIQUIDACIONES'!E91&lt;&gt;ROUND('LID_LIQUIDACIONES'!E91,0),LEN(TEXT(INT(ABS('LID_LIQUIDACIONES'!E91)),"0"))&gt;12),TRUE)),1,0)</f>
        <v/>
      </c>
      <c r="F91">
        <f>IF(AND('LID_LIQUIDACIONES'!F91&lt;&gt;"",OR(LEN('LID_LIQUIDACIONES'!F91)&gt;3,COUNTIF(CL_MONEDA,'LID_LIQUIDACIONES'!F91)=0)),1,0)</f>
        <v/>
      </c>
      <c r="G91">
        <f>IF(AND('LID_LIQUIDACIONES'!G91&lt;&gt;"",COUNTIF(CL_ID_PAGOS,'LID_LIQUIDACIONES'!G91)=0),1,0)</f>
        <v/>
      </c>
      <c r="H91">
        <f>IF(AND('LID_LIQUIDACIONES'!H91&lt;&gt;"",COUNTIF(CL_FLAG_HORARIO,'LID_LIQUIDACIONES'!H91)=0),1,0)</f>
        <v/>
      </c>
      <c r="I91">
        <f>IF(AND('LID_LIQUIDACIONES'!I91&lt;&gt;"",COUNTIF(CL_CAT_ID_PAGOS_RET,'LID_LIQUIDACIONES'!I91)=0),1,0)</f>
        <v/>
      </c>
      <c r="J91">
        <f>IF(AND('LID_LIQUIDACIONES'!J91&lt;&gt;"",NOT(ISNUMBER('LID_LIQUIDACIONES'!J91))),1,0)</f>
        <v/>
      </c>
      <c r="K91">
        <f>IF(AND('LID_LIQUIDACIONES'!K91&lt;&gt;"",LEN('LID_LIQUIDACIONES'!K91)&gt;5),1,0)</f>
        <v/>
      </c>
      <c r="L91">
        <f>IF(AND('LID_LIQUIDACIONES'!L91&lt;&gt;"",IF(ISNUMBER('LID_LIQUIDACIONES'!L91),OR('LID_LIQUIDACIONES'!L91&lt;&gt;ROUND('LID_LIQUIDACIONES'!L91,0),LEN(TEXT(INT(ABS('LID_LIQUIDACIONES'!L91)),"0"))&gt;12),TRUE)),1,0)</f>
        <v/>
      </c>
      <c r="M91">
        <f>IF(AND('LID_LIQUIDACIONES'!M91&lt;&gt;"",COUNTIF(CL_CAT_MOTIVO_RET,'LID_LIQUIDACIONES'!M91)=0),1,0)</f>
        <v/>
      </c>
      <c r="N91">
        <f>IF(AND('LID_LIQUIDACIONES'!N91&lt;&gt;"",LEN('LID_LIQUIDACIONES'!N91)&gt;50),1,0)</f>
        <v/>
      </c>
      <c r="O91">
        <f>IF(AND('LID_LIQUIDACIONES'!O91&lt;&gt;"",COUNTIF(CL_CARACT_LIQ,'LID_LIQUIDACIONES'!O91)=0),1,0)</f>
        <v/>
      </c>
      <c r="P91">
        <f>IF(AND('LID_LIQUIDACIONES'!P91&lt;&gt;"",NOT(ISNUMBER('LID_LIQUIDACIONES'!P91))),1,0)</f>
        <v/>
      </c>
    </row>
    <row r="92">
      <c r="A92">
        <f>IF(AND('LID_LIQUIDACIONES'!A92&lt;&gt;"",NOT(ISNUMBER('LID_LIQUIDACIONES'!A92))),1,0)</f>
        <v/>
      </c>
      <c r="B92">
        <f>IF(AND('LID_LIQUIDACIONES'!B92&lt;&gt;"",LEN('LID_LIQUIDACIONES'!B92)&gt;5),1,0)</f>
        <v/>
      </c>
      <c r="C92">
        <f>IF(AND('LID_LIQUIDACIONES'!C92&lt;&gt;"",COUNTIF(CL_TIPO_VALOR,'LID_LIQUIDACIONES'!C92)=0),1,0)</f>
        <v/>
      </c>
      <c r="D92">
        <f>IF(AND('LID_LIQUIDACIONES'!D92&lt;&gt;"",COUNTIF(CL_TIPO_OBLIGACI_N,'LID_LIQUIDACIONES'!D92)=0),1,0)</f>
        <v/>
      </c>
      <c r="E92">
        <f>IF(AND('LID_LIQUIDACIONES'!E92&lt;&gt;"",IF(ISNUMBER('LID_LIQUIDACIONES'!E92),OR('LID_LIQUIDACIONES'!E92&lt;&gt;ROUND('LID_LIQUIDACIONES'!E92,0),LEN(TEXT(INT(ABS('LID_LIQUIDACIONES'!E92)),"0"))&gt;12),TRUE)),1,0)</f>
        <v/>
      </c>
      <c r="F92">
        <f>IF(AND('LID_LIQUIDACIONES'!F92&lt;&gt;"",OR(LEN('LID_LIQUIDACIONES'!F92)&gt;3,COUNTIF(CL_MONEDA,'LID_LIQUIDACIONES'!F92)=0)),1,0)</f>
        <v/>
      </c>
      <c r="G92">
        <f>IF(AND('LID_LIQUIDACIONES'!G92&lt;&gt;"",COUNTIF(CL_ID_PAGOS,'LID_LIQUIDACIONES'!G92)=0),1,0)</f>
        <v/>
      </c>
      <c r="H92">
        <f>IF(AND('LID_LIQUIDACIONES'!H92&lt;&gt;"",COUNTIF(CL_FLAG_HORARIO,'LID_LIQUIDACIONES'!H92)=0),1,0)</f>
        <v/>
      </c>
      <c r="I92">
        <f>IF(AND('LID_LIQUIDACIONES'!I92&lt;&gt;"",COUNTIF(CL_CAT_ID_PAGOS_RET,'LID_LIQUIDACIONES'!I92)=0),1,0)</f>
        <v/>
      </c>
      <c r="J92">
        <f>IF(AND('LID_LIQUIDACIONES'!J92&lt;&gt;"",NOT(ISNUMBER('LID_LIQUIDACIONES'!J92))),1,0)</f>
        <v/>
      </c>
      <c r="K92">
        <f>IF(AND('LID_LIQUIDACIONES'!K92&lt;&gt;"",LEN('LID_LIQUIDACIONES'!K92)&gt;5),1,0)</f>
        <v/>
      </c>
      <c r="L92">
        <f>IF(AND('LID_LIQUIDACIONES'!L92&lt;&gt;"",IF(ISNUMBER('LID_LIQUIDACIONES'!L92),OR('LID_LIQUIDACIONES'!L92&lt;&gt;ROUND('LID_LIQUIDACIONES'!L92,0),LEN(TEXT(INT(ABS('LID_LIQUIDACIONES'!L92)),"0"))&gt;12),TRUE)),1,0)</f>
        <v/>
      </c>
      <c r="M92">
        <f>IF(AND('LID_LIQUIDACIONES'!M92&lt;&gt;"",COUNTIF(CL_CAT_MOTIVO_RET,'LID_LIQUIDACIONES'!M92)=0),1,0)</f>
        <v/>
      </c>
      <c r="N92">
        <f>IF(AND('LID_LIQUIDACIONES'!N92&lt;&gt;"",LEN('LID_LIQUIDACIONES'!N92)&gt;50),1,0)</f>
        <v/>
      </c>
      <c r="O92">
        <f>IF(AND('LID_LIQUIDACIONES'!O92&lt;&gt;"",COUNTIF(CL_CARACT_LIQ,'LID_LIQUIDACIONES'!O92)=0),1,0)</f>
        <v/>
      </c>
      <c r="P92">
        <f>IF(AND('LID_LIQUIDACIONES'!P92&lt;&gt;"",NOT(ISNUMBER('LID_LIQUIDACIONES'!P92))),1,0)</f>
        <v/>
      </c>
    </row>
    <row r="93">
      <c r="A93">
        <f>IF(AND('LID_LIQUIDACIONES'!A93&lt;&gt;"",NOT(ISNUMBER('LID_LIQUIDACIONES'!A93))),1,0)</f>
        <v/>
      </c>
      <c r="B93">
        <f>IF(AND('LID_LIQUIDACIONES'!B93&lt;&gt;"",LEN('LID_LIQUIDACIONES'!B93)&gt;5),1,0)</f>
        <v/>
      </c>
      <c r="C93">
        <f>IF(AND('LID_LIQUIDACIONES'!C93&lt;&gt;"",COUNTIF(CL_TIPO_VALOR,'LID_LIQUIDACIONES'!C93)=0),1,0)</f>
        <v/>
      </c>
      <c r="D93">
        <f>IF(AND('LID_LIQUIDACIONES'!D93&lt;&gt;"",COUNTIF(CL_TIPO_OBLIGACI_N,'LID_LIQUIDACIONES'!D93)=0),1,0)</f>
        <v/>
      </c>
      <c r="E93">
        <f>IF(AND('LID_LIQUIDACIONES'!E93&lt;&gt;"",IF(ISNUMBER('LID_LIQUIDACIONES'!E93),OR('LID_LIQUIDACIONES'!E93&lt;&gt;ROUND('LID_LIQUIDACIONES'!E93,0),LEN(TEXT(INT(ABS('LID_LIQUIDACIONES'!E93)),"0"))&gt;12),TRUE)),1,0)</f>
        <v/>
      </c>
      <c r="F93">
        <f>IF(AND('LID_LIQUIDACIONES'!F93&lt;&gt;"",OR(LEN('LID_LIQUIDACIONES'!F93)&gt;3,COUNTIF(CL_MONEDA,'LID_LIQUIDACIONES'!F93)=0)),1,0)</f>
        <v/>
      </c>
      <c r="G93">
        <f>IF(AND('LID_LIQUIDACIONES'!G93&lt;&gt;"",COUNTIF(CL_ID_PAGOS,'LID_LIQUIDACIONES'!G93)=0),1,0)</f>
        <v/>
      </c>
      <c r="H93">
        <f>IF(AND('LID_LIQUIDACIONES'!H93&lt;&gt;"",COUNTIF(CL_FLAG_HORARIO,'LID_LIQUIDACIONES'!H93)=0),1,0)</f>
        <v/>
      </c>
      <c r="I93">
        <f>IF(AND('LID_LIQUIDACIONES'!I93&lt;&gt;"",COUNTIF(CL_CAT_ID_PAGOS_RET,'LID_LIQUIDACIONES'!I93)=0),1,0)</f>
        <v/>
      </c>
      <c r="J93">
        <f>IF(AND('LID_LIQUIDACIONES'!J93&lt;&gt;"",NOT(ISNUMBER('LID_LIQUIDACIONES'!J93))),1,0)</f>
        <v/>
      </c>
      <c r="K93">
        <f>IF(AND('LID_LIQUIDACIONES'!K93&lt;&gt;"",LEN('LID_LIQUIDACIONES'!K93)&gt;5),1,0)</f>
        <v/>
      </c>
      <c r="L93">
        <f>IF(AND('LID_LIQUIDACIONES'!L93&lt;&gt;"",IF(ISNUMBER('LID_LIQUIDACIONES'!L93),OR('LID_LIQUIDACIONES'!L93&lt;&gt;ROUND('LID_LIQUIDACIONES'!L93,0),LEN(TEXT(INT(ABS('LID_LIQUIDACIONES'!L93)),"0"))&gt;12),TRUE)),1,0)</f>
        <v/>
      </c>
      <c r="M93">
        <f>IF(AND('LID_LIQUIDACIONES'!M93&lt;&gt;"",COUNTIF(CL_CAT_MOTIVO_RET,'LID_LIQUIDACIONES'!M93)=0),1,0)</f>
        <v/>
      </c>
      <c r="N93">
        <f>IF(AND('LID_LIQUIDACIONES'!N93&lt;&gt;"",LEN('LID_LIQUIDACIONES'!N93)&gt;50),1,0)</f>
        <v/>
      </c>
      <c r="O93">
        <f>IF(AND('LID_LIQUIDACIONES'!O93&lt;&gt;"",COUNTIF(CL_CARACT_LIQ,'LID_LIQUIDACIONES'!O93)=0),1,0)</f>
        <v/>
      </c>
      <c r="P93">
        <f>IF(AND('LID_LIQUIDACIONES'!P93&lt;&gt;"",NOT(ISNUMBER('LID_LIQUIDACIONES'!P93))),1,0)</f>
        <v/>
      </c>
    </row>
    <row r="94">
      <c r="A94">
        <f>IF(AND('LID_LIQUIDACIONES'!A94&lt;&gt;"",NOT(ISNUMBER('LID_LIQUIDACIONES'!A94))),1,0)</f>
        <v/>
      </c>
      <c r="B94">
        <f>IF(AND('LID_LIQUIDACIONES'!B94&lt;&gt;"",LEN('LID_LIQUIDACIONES'!B94)&gt;5),1,0)</f>
        <v/>
      </c>
      <c r="C94">
        <f>IF(AND('LID_LIQUIDACIONES'!C94&lt;&gt;"",COUNTIF(CL_TIPO_VALOR,'LID_LIQUIDACIONES'!C94)=0),1,0)</f>
        <v/>
      </c>
      <c r="D94">
        <f>IF(AND('LID_LIQUIDACIONES'!D94&lt;&gt;"",COUNTIF(CL_TIPO_OBLIGACI_N,'LID_LIQUIDACIONES'!D94)=0),1,0)</f>
        <v/>
      </c>
      <c r="E94">
        <f>IF(AND('LID_LIQUIDACIONES'!E94&lt;&gt;"",IF(ISNUMBER('LID_LIQUIDACIONES'!E94),OR('LID_LIQUIDACIONES'!E94&lt;&gt;ROUND('LID_LIQUIDACIONES'!E94,0),LEN(TEXT(INT(ABS('LID_LIQUIDACIONES'!E94)),"0"))&gt;12),TRUE)),1,0)</f>
        <v/>
      </c>
      <c r="F94">
        <f>IF(AND('LID_LIQUIDACIONES'!F94&lt;&gt;"",OR(LEN('LID_LIQUIDACIONES'!F94)&gt;3,COUNTIF(CL_MONEDA,'LID_LIQUIDACIONES'!F94)=0)),1,0)</f>
        <v/>
      </c>
      <c r="G94">
        <f>IF(AND('LID_LIQUIDACIONES'!G94&lt;&gt;"",COUNTIF(CL_ID_PAGOS,'LID_LIQUIDACIONES'!G94)=0),1,0)</f>
        <v/>
      </c>
      <c r="H94">
        <f>IF(AND('LID_LIQUIDACIONES'!H94&lt;&gt;"",COUNTIF(CL_FLAG_HORARIO,'LID_LIQUIDACIONES'!H94)=0),1,0)</f>
        <v/>
      </c>
      <c r="I94">
        <f>IF(AND('LID_LIQUIDACIONES'!I94&lt;&gt;"",COUNTIF(CL_CAT_ID_PAGOS_RET,'LID_LIQUIDACIONES'!I94)=0),1,0)</f>
        <v/>
      </c>
      <c r="J94">
        <f>IF(AND('LID_LIQUIDACIONES'!J94&lt;&gt;"",NOT(ISNUMBER('LID_LIQUIDACIONES'!J94))),1,0)</f>
        <v/>
      </c>
      <c r="K94">
        <f>IF(AND('LID_LIQUIDACIONES'!K94&lt;&gt;"",LEN('LID_LIQUIDACIONES'!K94)&gt;5),1,0)</f>
        <v/>
      </c>
      <c r="L94">
        <f>IF(AND('LID_LIQUIDACIONES'!L94&lt;&gt;"",IF(ISNUMBER('LID_LIQUIDACIONES'!L94),OR('LID_LIQUIDACIONES'!L94&lt;&gt;ROUND('LID_LIQUIDACIONES'!L94,0),LEN(TEXT(INT(ABS('LID_LIQUIDACIONES'!L94)),"0"))&gt;12),TRUE)),1,0)</f>
        <v/>
      </c>
      <c r="M94">
        <f>IF(AND('LID_LIQUIDACIONES'!M94&lt;&gt;"",COUNTIF(CL_CAT_MOTIVO_RET,'LID_LIQUIDACIONES'!M94)=0),1,0)</f>
        <v/>
      </c>
      <c r="N94">
        <f>IF(AND('LID_LIQUIDACIONES'!N94&lt;&gt;"",LEN('LID_LIQUIDACIONES'!N94)&gt;50),1,0)</f>
        <v/>
      </c>
      <c r="O94">
        <f>IF(AND('LID_LIQUIDACIONES'!O94&lt;&gt;"",COUNTIF(CL_CARACT_LIQ,'LID_LIQUIDACIONES'!O94)=0),1,0)</f>
        <v/>
      </c>
      <c r="P94">
        <f>IF(AND('LID_LIQUIDACIONES'!P94&lt;&gt;"",NOT(ISNUMBER('LID_LIQUIDACIONES'!P94))),1,0)</f>
        <v/>
      </c>
    </row>
    <row r="95">
      <c r="A95">
        <f>IF(AND('LID_LIQUIDACIONES'!A95&lt;&gt;"",NOT(ISNUMBER('LID_LIQUIDACIONES'!A95))),1,0)</f>
        <v/>
      </c>
      <c r="B95">
        <f>IF(AND('LID_LIQUIDACIONES'!B95&lt;&gt;"",LEN('LID_LIQUIDACIONES'!B95)&gt;5),1,0)</f>
        <v/>
      </c>
      <c r="C95">
        <f>IF(AND('LID_LIQUIDACIONES'!C95&lt;&gt;"",COUNTIF(CL_TIPO_VALOR,'LID_LIQUIDACIONES'!C95)=0),1,0)</f>
        <v/>
      </c>
      <c r="D95">
        <f>IF(AND('LID_LIQUIDACIONES'!D95&lt;&gt;"",COUNTIF(CL_TIPO_OBLIGACI_N,'LID_LIQUIDACIONES'!D95)=0),1,0)</f>
        <v/>
      </c>
      <c r="E95">
        <f>IF(AND('LID_LIQUIDACIONES'!E95&lt;&gt;"",IF(ISNUMBER('LID_LIQUIDACIONES'!E95),OR('LID_LIQUIDACIONES'!E95&lt;&gt;ROUND('LID_LIQUIDACIONES'!E95,0),LEN(TEXT(INT(ABS('LID_LIQUIDACIONES'!E95)),"0"))&gt;12),TRUE)),1,0)</f>
        <v/>
      </c>
      <c r="F95">
        <f>IF(AND('LID_LIQUIDACIONES'!F95&lt;&gt;"",OR(LEN('LID_LIQUIDACIONES'!F95)&gt;3,COUNTIF(CL_MONEDA,'LID_LIQUIDACIONES'!F95)=0)),1,0)</f>
        <v/>
      </c>
      <c r="G95">
        <f>IF(AND('LID_LIQUIDACIONES'!G95&lt;&gt;"",COUNTIF(CL_ID_PAGOS,'LID_LIQUIDACIONES'!G95)=0),1,0)</f>
        <v/>
      </c>
      <c r="H95">
        <f>IF(AND('LID_LIQUIDACIONES'!H95&lt;&gt;"",COUNTIF(CL_FLAG_HORARIO,'LID_LIQUIDACIONES'!H95)=0),1,0)</f>
        <v/>
      </c>
      <c r="I95">
        <f>IF(AND('LID_LIQUIDACIONES'!I95&lt;&gt;"",COUNTIF(CL_CAT_ID_PAGOS_RET,'LID_LIQUIDACIONES'!I95)=0),1,0)</f>
        <v/>
      </c>
      <c r="J95">
        <f>IF(AND('LID_LIQUIDACIONES'!J95&lt;&gt;"",NOT(ISNUMBER('LID_LIQUIDACIONES'!J95))),1,0)</f>
        <v/>
      </c>
      <c r="K95">
        <f>IF(AND('LID_LIQUIDACIONES'!K95&lt;&gt;"",LEN('LID_LIQUIDACIONES'!K95)&gt;5),1,0)</f>
        <v/>
      </c>
      <c r="L95">
        <f>IF(AND('LID_LIQUIDACIONES'!L95&lt;&gt;"",IF(ISNUMBER('LID_LIQUIDACIONES'!L95),OR('LID_LIQUIDACIONES'!L95&lt;&gt;ROUND('LID_LIQUIDACIONES'!L95,0),LEN(TEXT(INT(ABS('LID_LIQUIDACIONES'!L95)),"0"))&gt;12),TRUE)),1,0)</f>
        <v/>
      </c>
      <c r="M95">
        <f>IF(AND('LID_LIQUIDACIONES'!M95&lt;&gt;"",COUNTIF(CL_CAT_MOTIVO_RET,'LID_LIQUIDACIONES'!M95)=0),1,0)</f>
        <v/>
      </c>
      <c r="N95">
        <f>IF(AND('LID_LIQUIDACIONES'!N95&lt;&gt;"",LEN('LID_LIQUIDACIONES'!N95)&gt;50),1,0)</f>
        <v/>
      </c>
      <c r="O95">
        <f>IF(AND('LID_LIQUIDACIONES'!O95&lt;&gt;"",COUNTIF(CL_CARACT_LIQ,'LID_LIQUIDACIONES'!O95)=0),1,0)</f>
        <v/>
      </c>
      <c r="P95">
        <f>IF(AND('LID_LIQUIDACIONES'!P95&lt;&gt;"",NOT(ISNUMBER('LID_LIQUIDACIONES'!P95))),1,0)</f>
        <v/>
      </c>
    </row>
    <row r="96">
      <c r="A96">
        <f>IF(AND('LID_LIQUIDACIONES'!A96&lt;&gt;"",NOT(ISNUMBER('LID_LIQUIDACIONES'!A96))),1,0)</f>
        <v/>
      </c>
      <c r="B96">
        <f>IF(AND('LID_LIQUIDACIONES'!B96&lt;&gt;"",LEN('LID_LIQUIDACIONES'!B96)&gt;5),1,0)</f>
        <v/>
      </c>
      <c r="C96">
        <f>IF(AND('LID_LIQUIDACIONES'!C96&lt;&gt;"",COUNTIF(CL_TIPO_VALOR,'LID_LIQUIDACIONES'!C96)=0),1,0)</f>
        <v/>
      </c>
      <c r="D96">
        <f>IF(AND('LID_LIQUIDACIONES'!D96&lt;&gt;"",COUNTIF(CL_TIPO_OBLIGACI_N,'LID_LIQUIDACIONES'!D96)=0),1,0)</f>
        <v/>
      </c>
      <c r="E96">
        <f>IF(AND('LID_LIQUIDACIONES'!E96&lt;&gt;"",IF(ISNUMBER('LID_LIQUIDACIONES'!E96),OR('LID_LIQUIDACIONES'!E96&lt;&gt;ROUND('LID_LIQUIDACIONES'!E96,0),LEN(TEXT(INT(ABS('LID_LIQUIDACIONES'!E96)),"0"))&gt;12),TRUE)),1,0)</f>
        <v/>
      </c>
      <c r="F96">
        <f>IF(AND('LID_LIQUIDACIONES'!F96&lt;&gt;"",OR(LEN('LID_LIQUIDACIONES'!F96)&gt;3,COUNTIF(CL_MONEDA,'LID_LIQUIDACIONES'!F96)=0)),1,0)</f>
        <v/>
      </c>
      <c r="G96">
        <f>IF(AND('LID_LIQUIDACIONES'!G96&lt;&gt;"",COUNTIF(CL_ID_PAGOS,'LID_LIQUIDACIONES'!G96)=0),1,0)</f>
        <v/>
      </c>
      <c r="H96">
        <f>IF(AND('LID_LIQUIDACIONES'!H96&lt;&gt;"",COUNTIF(CL_FLAG_HORARIO,'LID_LIQUIDACIONES'!H96)=0),1,0)</f>
        <v/>
      </c>
      <c r="I96">
        <f>IF(AND('LID_LIQUIDACIONES'!I96&lt;&gt;"",COUNTIF(CL_CAT_ID_PAGOS_RET,'LID_LIQUIDACIONES'!I96)=0),1,0)</f>
        <v/>
      </c>
      <c r="J96">
        <f>IF(AND('LID_LIQUIDACIONES'!J96&lt;&gt;"",NOT(ISNUMBER('LID_LIQUIDACIONES'!J96))),1,0)</f>
        <v/>
      </c>
      <c r="K96">
        <f>IF(AND('LID_LIQUIDACIONES'!K96&lt;&gt;"",LEN('LID_LIQUIDACIONES'!K96)&gt;5),1,0)</f>
        <v/>
      </c>
      <c r="L96">
        <f>IF(AND('LID_LIQUIDACIONES'!L96&lt;&gt;"",IF(ISNUMBER('LID_LIQUIDACIONES'!L96),OR('LID_LIQUIDACIONES'!L96&lt;&gt;ROUND('LID_LIQUIDACIONES'!L96,0),LEN(TEXT(INT(ABS('LID_LIQUIDACIONES'!L96)),"0"))&gt;12),TRUE)),1,0)</f>
        <v/>
      </c>
      <c r="M96">
        <f>IF(AND('LID_LIQUIDACIONES'!M96&lt;&gt;"",COUNTIF(CL_CAT_MOTIVO_RET,'LID_LIQUIDACIONES'!M96)=0),1,0)</f>
        <v/>
      </c>
      <c r="N96">
        <f>IF(AND('LID_LIQUIDACIONES'!N96&lt;&gt;"",LEN('LID_LIQUIDACIONES'!N96)&gt;50),1,0)</f>
        <v/>
      </c>
      <c r="O96">
        <f>IF(AND('LID_LIQUIDACIONES'!O96&lt;&gt;"",COUNTIF(CL_CARACT_LIQ,'LID_LIQUIDACIONES'!O96)=0),1,0)</f>
        <v/>
      </c>
      <c r="P96">
        <f>IF(AND('LID_LIQUIDACIONES'!P96&lt;&gt;"",NOT(ISNUMBER('LID_LIQUIDACIONES'!P96))),1,0)</f>
        <v/>
      </c>
    </row>
    <row r="97">
      <c r="A97">
        <f>IF(AND('LID_LIQUIDACIONES'!A97&lt;&gt;"",NOT(ISNUMBER('LID_LIQUIDACIONES'!A97))),1,0)</f>
        <v/>
      </c>
      <c r="B97">
        <f>IF(AND('LID_LIQUIDACIONES'!B97&lt;&gt;"",LEN('LID_LIQUIDACIONES'!B97)&gt;5),1,0)</f>
        <v/>
      </c>
      <c r="C97">
        <f>IF(AND('LID_LIQUIDACIONES'!C97&lt;&gt;"",COUNTIF(CL_TIPO_VALOR,'LID_LIQUIDACIONES'!C97)=0),1,0)</f>
        <v/>
      </c>
      <c r="D97">
        <f>IF(AND('LID_LIQUIDACIONES'!D97&lt;&gt;"",COUNTIF(CL_TIPO_OBLIGACI_N,'LID_LIQUIDACIONES'!D97)=0),1,0)</f>
        <v/>
      </c>
      <c r="E97">
        <f>IF(AND('LID_LIQUIDACIONES'!E97&lt;&gt;"",IF(ISNUMBER('LID_LIQUIDACIONES'!E97),OR('LID_LIQUIDACIONES'!E97&lt;&gt;ROUND('LID_LIQUIDACIONES'!E97,0),LEN(TEXT(INT(ABS('LID_LIQUIDACIONES'!E97)),"0"))&gt;12),TRUE)),1,0)</f>
        <v/>
      </c>
      <c r="F97">
        <f>IF(AND('LID_LIQUIDACIONES'!F97&lt;&gt;"",OR(LEN('LID_LIQUIDACIONES'!F97)&gt;3,COUNTIF(CL_MONEDA,'LID_LIQUIDACIONES'!F97)=0)),1,0)</f>
        <v/>
      </c>
      <c r="G97">
        <f>IF(AND('LID_LIQUIDACIONES'!G97&lt;&gt;"",COUNTIF(CL_ID_PAGOS,'LID_LIQUIDACIONES'!G97)=0),1,0)</f>
        <v/>
      </c>
      <c r="H97">
        <f>IF(AND('LID_LIQUIDACIONES'!H97&lt;&gt;"",COUNTIF(CL_FLAG_HORARIO,'LID_LIQUIDACIONES'!H97)=0),1,0)</f>
        <v/>
      </c>
      <c r="I97">
        <f>IF(AND('LID_LIQUIDACIONES'!I97&lt;&gt;"",COUNTIF(CL_CAT_ID_PAGOS_RET,'LID_LIQUIDACIONES'!I97)=0),1,0)</f>
        <v/>
      </c>
      <c r="J97">
        <f>IF(AND('LID_LIQUIDACIONES'!J97&lt;&gt;"",NOT(ISNUMBER('LID_LIQUIDACIONES'!J97))),1,0)</f>
        <v/>
      </c>
      <c r="K97">
        <f>IF(AND('LID_LIQUIDACIONES'!K97&lt;&gt;"",LEN('LID_LIQUIDACIONES'!K97)&gt;5),1,0)</f>
        <v/>
      </c>
      <c r="L97">
        <f>IF(AND('LID_LIQUIDACIONES'!L97&lt;&gt;"",IF(ISNUMBER('LID_LIQUIDACIONES'!L97),OR('LID_LIQUIDACIONES'!L97&lt;&gt;ROUND('LID_LIQUIDACIONES'!L97,0),LEN(TEXT(INT(ABS('LID_LIQUIDACIONES'!L97)),"0"))&gt;12),TRUE)),1,0)</f>
        <v/>
      </c>
      <c r="M97">
        <f>IF(AND('LID_LIQUIDACIONES'!M97&lt;&gt;"",COUNTIF(CL_CAT_MOTIVO_RET,'LID_LIQUIDACIONES'!M97)=0),1,0)</f>
        <v/>
      </c>
      <c r="N97">
        <f>IF(AND('LID_LIQUIDACIONES'!N97&lt;&gt;"",LEN('LID_LIQUIDACIONES'!N97)&gt;50),1,0)</f>
        <v/>
      </c>
      <c r="O97">
        <f>IF(AND('LID_LIQUIDACIONES'!O97&lt;&gt;"",COUNTIF(CL_CARACT_LIQ,'LID_LIQUIDACIONES'!O97)=0),1,0)</f>
        <v/>
      </c>
      <c r="P97">
        <f>IF(AND('LID_LIQUIDACIONES'!P97&lt;&gt;"",NOT(ISNUMBER('LID_LIQUIDACIONES'!P97))),1,0)</f>
        <v/>
      </c>
    </row>
    <row r="98">
      <c r="A98">
        <f>IF(AND('LID_LIQUIDACIONES'!A98&lt;&gt;"",NOT(ISNUMBER('LID_LIQUIDACIONES'!A98))),1,0)</f>
        <v/>
      </c>
      <c r="B98">
        <f>IF(AND('LID_LIQUIDACIONES'!B98&lt;&gt;"",LEN('LID_LIQUIDACIONES'!B98)&gt;5),1,0)</f>
        <v/>
      </c>
      <c r="C98">
        <f>IF(AND('LID_LIQUIDACIONES'!C98&lt;&gt;"",COUNTIF(CL_TIPO_VALOR,'LID_LIQUIDACIONES'!C98)=0),1,0)</f>
        <v/>
      </c>
      <c r="D98">
        <f>IF(AND('LID_LIQUIDACIONES'!D98&lt;&gt;"",COUNTIF(CL_TIPO_OBLIGACI_N,'LID_LIQUIDACIONES'!D98)=0),1,0)</f>
        <v/>
      </c>
      <c r="E98">
        <f>IF(AND('LID_LIQUIDACIONES'!E98&lt;&gt;"",IF(ISNUMBER('LID_LIQUIDACIONES'!E98),OR('LID_LIQUIDACIONES'!E98&lt;&gt;ROUND('LID_LIQUIDACIONES'!E98,0),LEN(TEXT(INT(ABS('LID_LIQUIDACIONES'!E98)),"0"))&gt;12),TRUE)),1,0)</f>
        <v/>
      </c>
      <c r="F98">
        <f>IF(AND('LID_LIQUIDACIONES'!F98&lt;&gt;"",OR(LEN('LID_LIQUIDACIONES'!F98)&gt;3,COUNTIF(CL_MONEDA,'LID_LIQUIDACIONES'!F98)=0)),1,0)</f>
        <v/>
      </c>
      <c r="G98">
        <f>IF(AND('LID_LIQUIDACIONES'!G98&lt;&gt;"",COUNTIF(CL_ID_PAGOS,'LID_LIQUIDACIONES'!G98)=0),1,0)</f>
        <v/>
      </c>
      <c r="H98">
        <f>IF(AND('LID_LIQUIDACIONES'!H98&lt;&gt;"",COUNTIF(CL_FLAG_HORARIO,'LID_LIQUIDACIONES'!H98)=0),1,0)</f>
        <v/>
      </c>
      <c r="I98">
        <f>IF(AND('LID_LIQUIDACIONES'!I98&lt;&gt;"",COUNTIF(CL_CAT_ID_PAGOS_RET,'LID_LIQUIDACIONES'!I98)=0),1,0)</f>
        <v/>
      </c>
      <c r="J98">
        <f>IF(AND('LID_LIQUIDACIONES'!J98&lt;&gt;"",NOT(ISNUMBER('LID_LIQUIDACIONES'!J98))),1,0)</f>
        <v/>
      </c>
      <c r="K98">
        <f>IF(AND('LID_LIQUIDACIONES'!K98&lt;&gt;"",LEN('LID_LIQUIDACIONES'!K98)&gt;5),1,0)</f>
        <v/>
      </c>
      <c r="L98">
        <f>IF(AND('LID_LIQUIDACIONES'!L98&lt;&gt;"",IF(ISNUMBER('LID_LIQUIDACIONES'!L98),OR('LID_LIQUIDACIONES'!L98&lt;&gt;ROUND('LID_LIQUIDACIONES'!L98,0),LEN(TEXT(INT(ABS('LID_LIQUIDACIONES'!L98)),"0"))&gt;12),TRUE)),1,0)</f>
        <v/>
      </c>
      <c r="M98">
        <f>IF(AND('LID_LIQUIDACIONES'!M98&lt;&gt;"",COUNTIF(CL_CAT_MOTIVO_RET,'LID_LIQUIDACIONES'!M98)=0),1,0)</f>
        <v/>
      </c>
      <c r="N98">
        <f>IF(AND('LID_LIQUIDACIONES'!N98&lt;&gt;"",LEN('LID_LIQUIDACIONES'!N98)&gt;50),1,0)</f>
        <v/>
      </c>
      <c r="O98">
        <f>IF(AND('LID_LIQUIDACIONES'!O98&lt;&gt;"",COUNTIF(CL_CARACT_LIQ,'LID_LIQUIDACIONES'!O98)=0),1,0)</f>
        <v/>
      </c>
      <c r="P98">
        <f>IF(AND('LID_LIQUIDACIONES'!P98&lt;&gt;"",NOT(ISNUMBER('LID_LIQUIDACIONES'!P98))),1,0)</f>
        <v/>
      </c>
    </row>
    <row r="99">
      <c r="A99">
        <f>IF(AND('LID_LIQUIDACIONES'!A99&lt;&gt;"",NOT(ISNUMBER('LID_LIQUIDACIONES'!A99))),1,0)</f>
        <v/>
      </c>
      <c r="B99">
        <f>IF(AND('LID_LIQUIDACIONES'!B99&lt;&gt;"",LEN('LID_LIQUIDACIONES'!B99)&gt;5),1,0)</f>
        <v/>
      </c>
      <c r="C99">
        <f>IF(AND('LID_LIQUIDACIONES'!C99&lt;&gt;"",COUNTIF(CL_TIPO_VALOR,'LID_LIQUIDACIONES'!C99)=0),1,0)</f>
        <v/>
      </c>
      <c r="D99">
        <f>IF(AND('LID_LIQUIDACIONES'!D99&lt;&gt;"",COUNTIF(CL_TIPO_OBLIGACI_N,'LID_LIQUIDACIONES'!D99)=0),1,0)</f>
        <v/>
      </c>
      <c r="E99">
        <f>IF(AND('LID_LIQUIDACIONES'!E99&lt;&gt;"",IF(ISNUMBER('LID_LIQUIDACIONES'!E99),OR('LID_LIQUIDACIONES'!E99&lt;&gt;ROUND('LID_LIQUIDACIONES'!E99,0),LEN(TEXT(INT(ABS('LID_LIQUIDACIONES'!E99)),"0"))&gt;12),TRUE)),1,0)</f>
        <v/>
      </c>
      <c r="F99">
        <f>IF(AND('LID_LIQUIDACIONES'!F99&lt;&gt;"",OR(LEN('LID_LIQUIDACIONES'!F99)&gt;3,COUNTIF(CL_MONEDA,'LID_LIQUIDACIONES'!F99)=0)),1,0)</f>
        <v/>
      </c>
      <c r="G99">
        <f>IF(AND('LID_LIQUIDACIONES'!G99&lt;&gt;"",COUNTIF(CL_ID_PAGOS,'LID_LIQUIDACIONES'!G99)=0),1,0)</f>
        <v/>
      </c>
      <c r="H99">
        <f>IF(AND('LID_LIQUIDACIONES'!H99&lt;&gt;"",COUNTIF(CL_FLAG_HORARIO,'LID_LIQUIDACIONES'!H99)=0),1,0)</f>
        <v/>
      </c>
      <c r="I99">
        <f>IF(AND('LID_LIQUIDACIONES'!I99&lt;&gt;"",COUNTIF(CL_CAT_ID_PAGOS_RET,'LID_LIQUIDACIONES'!I99)=0),1,0)</f>
        <v/>
      </c>
      <c r="J99">
        <f>IF(AND('LID_LIQUIDACIONES'!J99&lt;&gt;"",NOT(ISNUMBER('LID_LIQUIDACIONES'!J99))),1,0)</f>
        <v/>
      </c>
      <c r="K99">
        <f>IF(AND('LID_LIQUIDACIONES'!K99&lt;&gt;"",LEN('LID_LIQUIDACIONES'!K99)&gt;5),1,0)</f>
        <v/>
      </c>
      <c r="L99">
        <f>IF(AND('LID_LIQUIDACIONES'!L99&lt;&gt;"",IF(ISNUMBER('LID_LIQUIDACIONES'!L99),OR('LID_LIQUIDACIONES'!L99&lt;&gt;ROUND('LID_LIQUIDACIONES'!L99,0),LEN(TEXT(INT(ABS('LID_LIQUIDACIONES'!L99)),"0"))&gt;12),TRUE)),1,0)</f>
        <v/>
      </c>
      <c r="M99">
        <f>IF(AND('LID_LIQUIDACIONES'!M99&lt;&gt;"",COUNTIF(CL_CAT_MOTIVO_RET,'LID_LIQUIDACIONES'!M99)=0),1,0)</f>
        <v/>
      </c>
      <c r="N99">
        <f>IF(AND('LID_LIQUIDACIONES'!N99&lt;&gt;"",LEN('LID_LIQUIDACIONES'!N99)&gt;50),1,0)</f>
        <v/>
      </c>
      <c r="O99">
        <f>IF(AND('LID_LIQUIDACIONES'!O99&lt;&gt;"",COUNTIF(CL_CARACT_LIQ,'LID_LIQUIDACIONES'!O99)=0),1,0)</f>
        <v/>
      </c>
      <c r="P99">
        <f>IF(AND('LID_LIQUIDACIONES'!P99&lt;&gt;"",NOT(ISNUMBER('LID_LIQUIDACIONES'!P99))),1,0)</f>
        <v/>
      </c>
    </row>
    <row r="100">
      <c r="A100">
        <f>IF(AND('LID_LIQUIDACIONES'!A100&lt;&gt;"",NOT(ISNUMBER('LID_LIQUIDACIONES'!A100))),1,0)</f>
        <v/>
      </c>
      <c r="B100">
        <f>IF(AND('LID_LIQUIDACIONES'!B100&lt;&gt;"",LEN('LID_LIQUIDACIONES'!B100)&gt;5),1,0)</f>
        <v/>
      </c>
      <c r="C100">
        <f>IF(AND('LID_LIQUIDACIONES'!C100&lt;&gt;"",COUNTIF(CL_TIPO_VALOR,'LID_LIQUIDACIONES'!C100)=0),1,0)</f>
        <v/>
      </c>
      <c r="D100">
        <f>IF(AND('LID_LIQUIDACIONES'!D100&lt;&gt;"",COUNTIF(CL_TIPO_OBLIGACI_N,'LID_LIQUIDACIONES'!D100)=0),1,0)</f>
        <v/>
      </c>
      <c r="E100">
        <f>IF(AND('LID_LIQUIDACIONES'!E100&lt;&gt;"",IF(ISNUMBER('LID_LIQUIDACIONES'!E100),OR('LID_LIQUIDACIONES'!E100&lt;&gt;ROUND('LID_LIQUIDACIONES'!E100,0),LEN(TEXT(INT(ABS('LID_LIQUIDACIONES'!E100)),"0"))&gt;12),TRUE)),1,0)</f>
        <v/>
      </c>
      <c r="F100">
        <f>IF(AND('LID_LIQUIDACIONES'!F100&lt;&gt;"",OR(LEN('LID_LIQUIDACIONES'!F100)&gt;3,COUNTIF(CL_MONEDA,'LID_LIQUIDACIONES'!F100)=0)),1,0)</f>
        <v/>
      </c>
      <c r="G100">
        <f>IF(AND('LID_LIQUIDACIONES'!G100&lt;&gt;"",COUNTIF(CL_ID_PAGOS,'LID_LIQUIDACIONES'!G100)=0),1,0)</f>
        <v/>
      </c>
      <c r="H100">
        <f>IF(AND('LID_LIQUIDACIONES'!H100&lt;&gt;"",COUNTIF(CL_FLAG_HORARIO,'LID_LIQUIDACIONES'!H100)=0),1,0)</f>
        <v/>
      </c>
      <c r="I100">
        <f>IF(AND('LID_LIQUIDACIONES'!I100&lt;&gt;"",COUNTIF(CL_CAT_ID_PAGOS_RET,'LID_LIQUIDACIONES'!I100)=0),1,0)</f>
        <v/>
      </c>
      <c r="J100">
        <f>IF(AND('LID_LIQUIDACIONES'!J100&lt;&gt;"",NOT(ISNUMBER('LID_LIQUIDACIONES'!J100))),1,0)</f>
        <v/>
      </c>
      <c r="K100">
        <f>IF(AND('LID_LIQUIDACIONES'!K100&lt;&gt;"",LEN('LID_LIQUIDACIONES'!K100)&gt;5),1,0)</f>
        <v/>
      </c>
      <c r="L100">
        <f>IF(AND('LID_LIQUIDACIONES'!L100&lt;&gt;"",IF(ISNUMBER('LID_LIQUIDACIONES'!L100),OR('LID_LIQUIDACIONES'!L100&lt;&gt;ROUND('LID_LIQUIDACIONES'!L100,0),LEN(TEXT(INT(ABS('LID_LIQUIDACIONES'!L100)),"0"))&gt;12),TRUE)),1,0)</f>
        <v/>
      </c>
      <c r="M100">
        <f>IF(AND('LID_LIQUIDACIONES'!M100&lt;&gt;"",COUNTIF(CL_CAT_MOTIVO_RET,'LID_LIQUIDACIONES'!M100)=0),1,0)</f>
        <v/>
      </c>
      <c r="N100">
        <f>IF(AND('LID_LIQUIDACIONES'!N100&lt;&gt;"",LEN('LID_LIQUIDACIONES'!N100)&gt;50),1,0)</f>
        <v/>
      </c>
      <c r="O100">
        <f>IF(AND('LID_LIQUIDACIONES'!O100&lt;&gt;"",COUNTIF(CL_CARACT_LIQ,'LID_LIQUIDACIONES'!O100)=0),1,0)</f>
        <v/>
      </c>
      <c r="P100">
        <f>IF(AND('LID_LIQUIDACIONES'!P100&lt;&gt;"",NOT(ISNUMBER('LID_LIQUIDACIONES'!P100))),1,0)</f>
        <v/>
      </c>
    </row>
    <row r="101">
      <c r="A101">
        <f>IF(AND('LID_LIQUIDACIONES'!A101&lt;&gt;"",NOT(ISNUMBER('LID_LIQUIDACIONES'!A101))),1,0)</f>
        <v/>
      </c>
      <c r="B101">
        <f>IF(AND('LID_LIQUIDACIONES'!B101&lt;&gt;"",LEN('LID_LIQUIDACIONES'!B101)&gt;5),1,0)</f>
        <v/>
      </c>
      <c r="C101">
        <f>IF(AND('LID_LIQUIDACIONES'!C101&lt;&gt;"",COUNTIF(CL_TIPO_VALOR,'LID_LIQUIDACIONES'!C101)=0),1,0)</f>
        <v/>
      </c>
      <c r="D101">
        <f>IF(AND('LID_LIQUIDACIONES'!D101&lt;&gt;"",COUNTIF(CL_TIPO_OBLIGACI_N,'LID_LIQUIDACIONES'!D101)=0),1,0)</f>
        <v/>
      </c>
      <c r="E101">
        <f>IF(AND('LID_LIQUIDACIONES'!E101&lt;&gt;"",IF(ISNUMBER('LID_LIQUIDACIONES'!E101),OR('LID_LIQUIDACIONES'!E101&lt;&gt;ROUND('LID_LIQUIDACIONES'!E101,0),LEN(TEXT(INT(ABS('LID_LIQUIDACIONES'!E101)),"0"))&gt;12),TRUE)),1,0)</f>
        <v/>
      </c>
      <c r="F101">
        <f>IF(AND('LID_LIQUIDACIONES'!F101&lt;&gt;"",OR(LEN('LID_LIQUIDACIONES'!F101)&gt;3,COUNTIF(CL_MONEDA,'LID_LIQUIDACIONES'!F101)=0)),1,0)</f>
        <v/>
      </c>
      <c r="G101">
        <f>IF(AND('LID_LIQUIDACIONES'!G101&lt;&gt;"",COUNTIF(CL_ID_PAGOS,'LID_LIQUIDACIONES'!G101)=0),1,0)</f>
        <v/>
      </c>
      <c r="H101">
        <f>IF(AND('LID_LIQUIDACIONES'!H101&lt;&gt;"",COUNTIF(CL_FLAG_HORARIO,'LID_LIQUIDACIONES'!H101)=0),1,0)</f>
        <v/>
      </c>
      <c r="I101">
        <f>IF(AND('LID_LIQUIDACIONES'!I101&lt;&gt;"",COUNTIF(CL_CAT_ID_PAGOS_RET,'LID_LIQUIDACIONES'!I101)=0),1,0)</f>
        <v/>
      </c>
      <c r="J101">
        <f>IF(AND('LID_LIQUIDACIONES'!J101&lt;&gt;"",NOT(ISNUMBER('LID_LIQUIDACIONES'!J101))),1,0)</f>
        <v/>
      </c>
      <c r="K101">
        <f>IF(AND('LID_LIQUIDACIONES'!K101&lt;&gt;"",LEN('LID_LIQUIDACIONES'!K101)&gt;5),1,0)</f>
        <v/>
      </c>
      <c r="L101">
        <f>IF(AND('LID_LIQUIDACIONES'!L101&lt;&gt;"",IF(ISNUMBER('LID_LIQUIDACIONES'!L101),OR('LID_LIQUIDACIONES'!L101&lt;&gt;ROUND('LID_LIQUIDACIONES'!L101,0),LEN(TEXT(INT(ABS('LID_LIQUIDACIONES'!L101)),"0"))&gt;12),TRUE)),1,0)</f>
        <v/>
      </c>
      <c r="M101">
        <f>IF(AND('LID_LIQUIDACIONES'!M101&lt;&gt;"",COUNTIF(CL_CAT_MOTIVO_RET,'LID_LIQUIDACIONES'!M101)=0),1,0)</f>
        <v/>
      </c>
      <c r="N101">
        <f>IF(AND('LID_LIQUIDACIONES'!N101&lt;&gt;"",LEN('LID_LIQUIDACIONES'!N101)&gt;50),1,0)</f>
        <v/>
      </c>
      <c r="O101">
        <f>IF(AND('LID_LIQUIDACIONES'!O101&lt;&gt;"",COUNTIF(CL_CARACT_LIQ,'LID_LIQUIDACIONES'!O101)=0),1,0)</f>
        <v/>
      </c>
      <c r="P101">
        <f>IF(AND('LID_LIQUIDACIONES'!P101&lt;&gt;"",NOT(ISNUMBER('LID_LIQUIDACIONES'!P101))),1,0)</f>
        <v/>
      </c>
    </row>
    <row r="102">
      <c r="A102">
        <f>IF(AND('LID_LIQUIDACIONES'!A102&lt;&gt;"",NOT(ISNUMBER('LID_LIQUIDACIONES'!A102))),1,0)</f>
        <v/>
      </c>
      <c r="B102">
        <f>IF(AND('LID_LIQUIDACIONES'!B102&lt;&gt;"",LEN('LID_LIQUIDACIONES'!B102)&gt;5),1,0)</f>
        <v/>
      </c>
      <c r="C102">
        <f>IF(AND('LID_LIQUIDACIONES'!C102&lt;&gt;"",COUNTIF(CL_TIPO_VALOR,'LID_LIQUIDACIONES'!C102)=0),1,0)</f>
        <v/>
      </c>
      <c r="D102">
        <f>IF(AND('LID_LIQUIDACIONES'!D102&lt;&gt;"",COUNTIF(CL_TIPO_OBLIGACI_N,'LID_LIQUIDACIONES'!D102)=0),1,0)</f>
        <v/>
      </c>
      <c r="E102">
        <f>IF(AND('LID_LIQUIDACIONES'!E102&lt;&gt;"",IF(ISNUMBER('LID_LIQUIDACIONES'!E102),OR('LID_LIQUIDACIONES'!E102&lt;&gt;ROUND('LID_LIQUIDACIONES'!E102,0),LEN(TEXT(INT(ABS('LID_LIQUIDACIONES'!E102)),"0"))&gt;12),TRUE)),1,0)</f>
        <v/>
      </c>
      <c r="F102">
        <f>IF(AND('LID_LIQUIDACIONES'!F102&lt;&gt;"",OR(LEN('LID_LIQUIDACIONES'!F102)&gt;3,COUNTIF(CL_MONEDA,'LID_LIQUIDACIONES'!F102)=0)),1,0)</f>
        <v/>
      </c>
      <c r="G102">
        <f>IF(AND('LID_LIQUIDACIONES'!G102&lt;&gt;"",COUNTIF(CL_ID_PAGOS,'LID_LIQUIDACIONES'!G102)=0),1,0)</f>
        <v/>
      </c>
      <c r="H102">
        <f>IF(AND('LID_LIQUIDACIONES'!H102&lt;&gt;"",COUNTIF(CL_FLAG_HORARIO,'LID_LIQUIDACIONES'!H102)=0),1,0)</f>
        <v/>
      </c>
      <c r="I102">
        <f>IF(AND('LID_LIQUIDACIONES'!I102&lt;&gt;"",COUNTIF(CL_CAT_ID_PAGOS_RET,'LID_LIQUIDACIONES'!I102)=0),1,0)</f>
        <v/>
      </c>
      <c r="J102">
        <f>IF(AND('LID_LIQUIDACIONES'!J102&lt;&gt;"",NOT(ISNUMBER('LID_LIQUIDACIONES'!J102))),1,0)</f>
        <v/>
      </c>
      <c r="K102">
        <f>IF(AND('LID_LIQUIDACIONES'!K102&lt;&gt;"",LEN('LID_LIQUIDACIONES'!K102)&gt;5),1,0)</f>
        <v/>
      </c>
      <c r="L102">
        <f>IF(AND('LID_LIQUIDACIONES'!L102&lt;&gt;"",IF(ISNUMBER('LID_LIQUIDACIONES'!L102),OR('LID_LIQUIDACIONES'!L102&lt;&gt;ROUND('LID_LIQUIDACIONES'!L102,0),LEN(TEXT(INT(ABS('LID_LIQUIDACIONES'!L102)),"0"))&gt;12),TRUE)),1,0)</f>
        <v/>
      </c>
      <c r="M102">
        <f>IF(AND('LID_LIQUIDACIONES'!M102&lt;&gt;"",COUNTIF(CL_CAT_MOTIVO_RET,'LID_LIQUIDACIONES'!M102)=0),1,0)</f>
        <v/>
      </c>
      <c r="N102">
        <f>IF(AND('LID_LIQUIDACIONES'!N102&lt;&gt;"",LEN('LID_LIQUIDACIONES'!N102)&gt;50),1,0)</f>
        <v/>
      </c>
      <c r="O102">
        <f>IF(AND('LID_LIQUIDACIONES'!O102&lt;&gt;"",COUNTIF(CL_CARACT_LIQ,'LID_LIQUIDACIONES'!O102)=0),1,0)</f>
        <v/>
      </c>
      <c r="P102">
        <f>IF(AND('LID_LIQUIDACIONES'!P102&lt;&gt;"",NOT(ISNUMBER('LID_LIQUIDACIONES'!P102))),1,0)</f>
        <v/>
      </c>
    </row>
    <row r="103">
      <c r="A103">
        <f>IF(AND('LID_LIQUIDACIONES'!A103&lt;&gt;"",NOT(ISNUMBER('LID_LIQUIDACIONES'!A103))),1,0)</f>
        <v/>
      </c>
      <c r="B103">
        <f>IF(AND('LID_LIQUIDACIONES'!B103&lt;&gt;"",LEN('LID_LIQUIDACIONES'!B103)&gt;5),1,0)</f>
        <v/>
      </c>
      <c r="C103">
        <f>IF(AND('LID_LIQUIDACIONES'!C103&lt;&gt;"",COUNTIF(CL_TIPO_VALOR,'LID_LIQUIDACIONES'!C103)=0),1,0)</f>
        <v/>
      </c>
      <c r="D103">
        <f>IF(AND('LID_LIQUIDACIONES'!D103&lt;&gt;"",COUNTIF(CL_TIPO_OBLIGACI_N,'LID_LIQUIDACIONES'!D103)=0),1,0)</f>
        <v/>
      </c>
      <c r="E103">
        <f>IF(AND('LID_LIQUIDACIONES'!E103&lt;&gt;"",IF(ISNUMBER('LID_LIQUIDACIONES'!E103),OR('LID_LIQUIDACIONES'!E103&lt;&gt;ROUND('LID_LIQUIDACIONES'!E103,0),LEN(TEXT(INT(ABS('LID_LIQUIDACIONES'!E103)),"0"))&gt;12),TRUE)),1,0)</f>
        <v/>
      </c>
      <c r="F103">
        <f>IF(AND('LID_LIQUIDACIONES'!F103&lt;&gt;"",OR(LEN('LID_LIQUIDACIONES'!F103)&gt;3,COUNTIF(CL_MONEDA,'LID_LIQUIDACIONES'!F103)=0)),1,0)</f>
        <v/>
      </c>
      <c r="G103">
        <f>IF(AND('LID_LIQUIDACIONES'!G103&lt;&gt;"",COUNTIF(CL_ID_PAGOS,'LID_LIQUIDACIONES'!G103)=0),1,0)</f>
        <v/>
      </c>
      <c r="H103">
        <f>IF(AND('LID_LIQUIDACIONES'!H103&lt;&gt;"",COUNTIF(CL_FLAG_HORARIO,'LID_LIQUIDACIONES'!H103)=0),1,0)</f>
        <v/>
      </c>
      <c r="I103">
        <f>IF(AND('LID_LIQUIDACIONES'!I103&lt;&gt;"",COUNTIF(CL_CAT_ID_PAGOS_RET,'LID_LIQUIDACIONES'!I103)=0),1,0)</f>
        <v/>
      </c>
      <c r="J103">
        <f>IF(AND('LID_LIQUIDACIONES'!J103&lt;&gt;"",NOT(ISNUMBER('LID_LIQUIDACIONES'!J103))),1,0)</f>
        <v/>
      </c>
      <c r="K103">
        <f>IF(AND('LID_LIQUIDACIONES'!K103&lt;&gt;"",LEN('LID_LIQUIDACIONES'!K103)&gt;5),1,0)</f>
        <v/>
      </c>
      <c r="L103">
        <f>IF(AND('LID_LIQUIDACIONES'!L103&lt;&gt;"",IF(ISNUMBER('LID_LIQUIDACIONES'!L103),OR('LID_LIQUIDACIONES'!L103&lt;&gt;ROUND('LID_LIQUIDACIONES'!L103,0),LEN(TEXT(INT(ABS('LID_LIQUIDACIONES'!L103)),"0"))&gt;12),TRUE)),1,0)</f>
        <v/>
      </c>
      <c r="M103">
        <f>IF(AND('LID_LIQUIDACIONES'!M103&lt;&gt;"",COUNTIF(CL_CAT_MOTIVO_RET,'LID_LIQUIDACIONES'!M103)=0),1,0)</f>
        <v/>
      </c>
      <c r="N103">
        <f>IF(AND('LID_LIQUIDACIONES'!N103&lt;&gt;"",LEN('LID_LIQUIDACIONES'!N103)&gt;50),1,0)</f>
        <v/>
      </c>
      <c r="O103">
        <f>IF(AND('LID_LIQUIDACIONES'!O103&lt;&gt;"",COUNTIF(CL_CARACT_LIQ,'LID_LIQUIDACIONES'!O103)=0),1,0)</f>
        <v/>
      </c>
      <c r="P103">
        <f>IF(AND('LID_LIQUIDACIONES'!P103&lt;&gt;"",NOT(ISNUMBER('LID_LIQUIDACIONES'!P103))),1,0)</f>
        <v/>
      </c>
    </row>
    <row r="104">
      <c r="A104">
        <f>IF(AND('LID_LIQUIDACIONES'!A104&lt;&gt;"",NOT(ISNUMBER('LID_LIQUIDACIONES'!A104))),1,0)</f>
        <v/>
      </c>
      <c r="B104">
        <f>IF(AND('LID_LIQUIDACIONES'!B104&lt;&gt;"",LEN('LID_LIQUIDACIONES'!B104)&gt;5),1,0)</f>
        <v/>
      </c>
      <c r="C104">
        <f>IF(AND('LID_LIQUIDACIONES'!C104&lt;&gt;"",COUNTIF(CL_TIPO_VALOR,'LID_LIQUIDACIONES'!C104)=0),1,0)</f>
        <v/>
      </c>
      <c r="D104">
        <f>IF(AND('LID_LIQUIDACIONES'!D104&lt;&gt;"",COUNTIF(CL_TIPO_OBLIGACI_N,'LID_LIQUIDACIONES'!D104)=0),1,0)</f>
        <v/>
      </c>
      <c r="E104">
        <f>IF(AND('LID_LIQUIDACIONES'!E104&lt;&gt;"",IF(ISNUMBER('LID_LIQUIDACIONES'!E104),OR('LID_LIQUIDACIONES'!E104&lt;&gt;ROUND('LID_LIQUIDACIONES'!E104,0),LEN(TEXT(INT(ABS('LID_LIQUIDACIONES'!E104)),"0"))&gt;12),TRUE)),1,0)</f>
        <v/>
      </c>
      <c r="F104">
        <f>IF(AND('LID_LIQUIDACIONES'!F104&lt;&gt;"",OR(LEN('LID_LIQUIDACIONES'!F104)&gt;3,COUNTIF(CL_MONEDA,'LID_LIQUIDACIONES'!F104)=0)),1,0)</f>
        <v/>
      </c>
      <c r="G104">
        <f>IF(AND('LID_LIQUIDACIONES'!G104&lt;&gt;"",COUNTIF(CL_ID_PAGOS,'LID_LIQUIDACIONES'!G104)=0),1,0)</f>
        <v/>
      </c>
      <c r="H104">
        <f>IF(AND('LID_LIQUIDACIONES'!H104&lt;&gt;"",COUNTIF(CL_FLAG_HORARIO,'LID_LIQUIDACIONES'!H104)=0),1,0)</f>
        <v/>
      </c>
      <c r="I104">
        <f>IF(AND('LID_LIQUIDACIONES'!I104&lt;&gt;"",COUNTIF(CL_CAT_ID_PAGOS_RET,'LID_LIQUIDACIONES'!I104)=0),1,0)</f>
        <v/>
      </c>
      <c r="J104">
        <f>IF(AND('LID_LIQUIDACIONES'!J104&lt;&gt;"",NOT(ISNUMBER('LID_LIQUIDACIONES'!J104))),1,0)</f>
        <v/>
      </c>
      <c r="K104">
        <f>IF(AND('LID_LIQUIDACIONES'!K104&lt;&gt;"",LEN('LID_LIQUIDACIONES'!K104)&gt;5),1,0)</f>
        <v/>
      </c>
      <c r="L104">
        <f>IF(AND('LID_LIQUIDACIONES'!L104&lt;&gt;"",IF(ISNUMBER('LID_LIQUIDACIONES'!L104),OR('LID_LIQUIDACIONES'!L104&lt;&gt;ROUND('LID_LIQUIDACIONES'!L104,0),LEN(TEXT(INT(ABS('LID_LIQUIDACIONES'!L104)),"0"))&gt;12),TRUE)),1,0)</f>
        <v/>
      </c>
      <c r="M104">
        <f>IF(AND('LID_LIQUIDACIONES'!M104&lt;&gt;"",COUNTIF(CL_CAT_MOTIVO_RET,'LID_LIQUIDACIONES'!M104)=0),1,0)</f>
        <v/>
      </c>
      <c r="N104">
        <f>IF(AND('LID_LIQUIDACIONES'!N104&lt;&gt;"",LEN('LID_LIQUIDACIONES'!N104)&gt;50),1,0)</f>
        <v/>
      </c>
      <c r="O104">
        <f>IF(AND('LID_LIQUIDACIONES'!O104&lt;&gt;"",COUNTIF(CL_CARACT_LIQ,'LID_LIQUIDACIONES'!O104)=0),1,0)</f>
        <v/>
      </c>
      <c r="P104">
        <f>IF(AND('LID_LIQUIDACIONES'!P104&lt;&gt;"",NOT(ISNUMBER('LID_LIQUIDACIONES'!P104))),1,0)</f>
        <v/>
      </c>
    </row>
    <row r="105">
      <c r="A105">
        <f>IF(AND('LID_LIQUIDACIONES'!A105&lt;&gt;"",NOT(ISNUMBER('LID_LIQUIDACIONES'!A105))),1,0)</f>
        <v/>
      </c>
      <c r="B105">
        <f>IF(AND('LID_LIQUIDACIONES'!B105&lt;&gt;"",LEN('LID_LIQUIDACIONES'!B105)&gt;5),1,0)</f>
        <v/>
      </c>
      <c r="C105">
        <f>IF(AND('LID_LIQUIDACIONES'!C105&lt;&gt;"",COUNTIF(CL_TIPO_VALOR,'LID_LIQUIDACIONES'!C105)=0),1,0)</f>
        <v/>
      </c>
      <c r="D105">
        <f>IF(AND('LID_LIQUIDACIONES'!D105&lt;&gt;"",COUNTIF(CL_TIPO_OBLIGACI_N,'LID_LIQUIDACIONES'!D105)=0),1,0)</f>
        <v/>
      </c>
      <c r="E105">
        <f>IF(AND('LID_LIQUIDACIONES'!E105&lt;&gt;"",IF(ISNUMBER('LID_LIQUIDACIONES'!E105),OR('LID_LIQUIDACIONES'!E105&lt;&gt;ROUND('LID_LIQUIDACIONES'!E105,0),LEN(TEXT(INT(ABS('LID_LIQUIDACIONES'!E105)),"0"))&gt;12),TRUE)),1,0)</f>
        <v/>
      </c>
      <c r="F105">
        <f>IF(AND('LID_LIQUIDACIONES'!F105&lt;&gt;"",OR(LEN('LID_LIQUIDACIONES'!F105)&gt;3,COUNTIF(CL_MONEDA,'LID_LIQUIDACIONES'!F105)=0)),1,0)</f>
        <v/>
      </c>
      <c r="G105">
        <f>IF(AND('LID_LIQUIDACIONES'!G105&lt;&gt;"",COUNTIF(CL_ID_PAGOS,'LID_LIQUIDACIONES'!G105)=0),1,0)</f>
        <v/>
      </c>
      <c r="H105">
        <f>IF(AND('LID_LIQUIDACIONES'!H105&lt;&gt;"",COUNTIF(CL_FLAG_HORARIO,'LID_LIQUIDACIONES'!H105)=0),1,0)</f>
        <v/>
      </c>
      <c r="I105">
        <f>IF(AND('LID_LIQUIDACIONES'!I105&lt;&gt;"",COUNTIF(CL_CAT_ID_PAGOS_RET,'LID_LIQUIDACIONES'!I105)=0),1,0)</f>
        <v/>
      </c>
      <c r="J105">
        <f>IF(AND('LID_LIQUIDACIONES'!J105&lt;&gt;"",NOT(ISNUMBER('LID_LIQUIDACIONES'!J105))),1,0)</f>
        <v/>
      </c>
      <c r="K105">
        <f>IF(AND('LID_LIQUIDACIONES'!K105&lt;&gt;"",LEN('LID_LIQUIDACIONES'!K105)&gt;5),1,0)</f>
        <v/>
      </c>
      <c r="L105">
        <f>IF(AND('LID_LIQUIDACIONES'!L105&lt;&gt;"",IF(ISNUMBER('LID_LIQUIDACIONES'!L105),OR('LID_LIQUIDACIONES'!L105&lt;&gt;ROUND('LID_LIQUIDACIONES'!L105,0),LEN(TEXT(INT(ABS('LID_LIQUIDACIONES'!L105)),"0"))&gt;12),TRUE)),1,0)</f>
        <v/>
      </c>
      <c r="M105">
        <f>IF(AND('LID_LIQUIDACIONES'!M105&lt;&gt;"",COUNTIF(CL_CAT_MOTIVO_RET,'LID_LIQUIDACIONES'!M105)=0),1,0)</f>
        <v/>
      </c>
      <c r="N105">
        <f>IF(AND('LID_LIQUIDACIONES'!N105&lt;&gt;"",LEN('LID_LIQUIDACIONES'!N105)&gt;50),1,0)</f>
        <v/>
      </c>
      <c r="O105">
        <f>IF(AND('LID_LIQUIDACIONES'!O105&lt;&gt;"",COUNTIF(CL_CARACT_LIQ,'LID_LIQUIDACIONES'!O105)=0),1,0)</f>
        <v/>
      </c>
      <c r="P105">
        <f>IF(AND('LID_LIQUIDACIONES'!P105&lt;&gt;"",NOT(ISNUMBER('LID_LIQUIDACIONES'!P105))),1,0)</f>
        <v/>
      </c>
    </row>
    <row r="106">
      <c r="A106">
        <f>IF(AND('LID_LIQUIDACIONES'!A106&lt;&gt;"",NOT(ISNUMBER('LID_LIQUIDACIONES'!A106))),1,0)</f>
        <v/>
      </c>
      <c r="B106">
        <f>IF(AND('LID_LIQUIDACIONES'!B106&lt;&gt;"",LEN('LID_LIQUIDACIONES'!B106)&gt;5),1,0)</f>
        <v/>
      </c>
      <c r="C106">
        <f>IF(AND('LID_LIQUIDACIONES'!C106&lt;&gt;"",COUNTIF(CL_TIPO_VALOR,'LID_LIQUIDACIONES'!C106)=0),1,0)</f>
        <v/>
      </c>
      <c r="D106">
        <f>IF(AND('LID_LIQUIDACIONES'!D106&lt;&gt;"",COUNTIF(CL_TIPO_OBLIGACI_N,'LID_LIQUIDACIONES'!D106)=0),1,0)</f>
        <v/>
      </c>
      <c r="E106">
        <f>IF(AND('LID_LIQUIDACIONES'!E106&lt;&gt;"",IF(ISNUMBER('LID_LIQUIDACIONES'!E106),OR('LID_LIQUIDACIONES'!E106&lt;&gt;ROUND('LID_LIQUIDACIONES'!E106,0),LEN(TEXT(INT(ABS('LID_LIQUIDACIONES'!E106)),"0"))&gt;12),TRUE)),1,0)</f>
        <v/>
      </c>
      <c r="F106">
        <f>IF(AND('LID_LIQUIDACIONES'!F106&lt;&gt;"",OR(LEN('LID_LIQUIDACIONES'!F106)&gt;3,COUNTIF(CL_MONEDA,'LID_LIQUIDACIONES'!F106)=0)),1,0)</f>
        <v/>
      </c>
      <c r="G106">
        <f>IF(AND('LID_LIQUIDACIONES'!G106&lt;&gt;"",COUNTIF(CL_ID_PAGOS,'LID_LIQUIDACIONES'!G106)=0),1,0)</f>
        <v/>
      </c>
      <c r="H106">
        <f>IF(AND('LID_LIQUIDACIONES'!H106&lt;&gt;"",COUNTIF(CL_FLAG_HORARIO,'LID_LIQUIDACIONES'!H106)=0),1,0)</f>
        <v/>
      </c>
      <c r="I106">
        <f>IF(AND('LID_LIQUIDACIONES'!I106&lt;&gt;"",COUNTIF(CL_CAT_ID_PAGOS_RET,'LID_LIQUIDACIONES'!I106)=0),1,0)</f>
        <v/>
      </c>
      <c r="J106">
        <f>IF(AND('LID_LIQUIDACIONES'!J106&lt;&gt;"",NOT(ISNUMBER('LID_LIQUIDACIONES'!J106))),1,0)</f>
        <v/>
      </c>
      <c r="K106">
        <f>IF(AND('LID_LIQUIDACIONES'!K106&lt;&gt;"",LEN('LID_LIQUIDACIONES'!K106)&gt;5),1,0)</f>
        <v/>
      </c>
      <c r="L106">
        <f>IF(AND('LID_LIQUIDACIONES'!L106&lt;&gt;"",IF(ISNUMBER('LID_LIQUIDACIONES'!L106),OR('LID_LIQUIDACIONES'!L106&lt;&gt;ROUND('LID_LIQUIDACIONES'!L106,0),LEN(TEXT(INT(ABS('LID_LIQUIDACIONES'!L106)),"0"))&gt;12),TRUE)),1,0)</f>
        <v/>
      </c>
      <c r="M106">
        <f>IF(AND('LID_LIQUIDACIONES'!M106&lt;&gt;"",COUNTIF(CL_CAT_MOTIVO_RET,'LID_LIQUIDACIONES'!M106)=0),1,0)</f>
        <v/>
      </c>
      <c r="N106">
        <f>IF(AND('LID_LIQUIDACIONES'!N106&lt;&gt;"",LEN('LID_LIQUIDACIONES'!N106)&gt;50),1,0)</f>
        <v/>
      </c>
      <c r="O106">
        <f>IF(AND('LID_LIQUIDACIONES'!O106&lt;&gt;"",COUNTIF(CL_CARACT_LIQ,'LID_LIQUIDACIONES'!O106)=0),1,0)</f>
        <v/>
      </c>
      <c r="P106">
        <f>IF(AND('LID_LIQUIDACIONES'!P106&lt;&gt;"",NOT(ISNUMBER('LID_LIQUIDACIONES'!P106))),1,0)</f>
        <v/>
      </c>
    </row>
    <row r="107">
      <c r="A107">
        <f>IF(AND('LID_LIQUIDACIONES'!A107&lt;&gt;"",NOT(ISNUMBER('LID_LIQUIDACIONES'!A107))),1,0)</f>
        <v/>
      </c>
      <c r="B107">
        <f>IF(AND('LID_LIQUIDACIONES'!B107&lt;&gt;"",LEN('LID_LIQUIDACIONES'!B107)&gt;5),1,0)</f>
        <v/>
      </c>
      <c r="C107">
        <f>IF(AND('LID_LIQUIDACIONES'!C107&lt;&gt;"",COUNTIF(CL_TIPO_VALOR,'LID_LIQUIDACIONES'!C107)=0),1,0)</f>
        <v/>
      </c>
      <c r="D107">
        <f>IF(AND('LID_LIQUIDACIONES'!D107&lt;&gt;"",COUNTIF(CL_TIPO_OBLIGACI_N,'LID_LIQUIDACIONES'!D107)=0),1,0)</f>
        <v/>
      </c>
      <c r="E107">
        <f>IF(AND('LID_LIQUIDACIONES'!E107&lt;&gt;"",IF(ISNUMBER('LID_LIQUIDACIONES'!E107),OR('LID_LIQUIDACIONES'!E107&lt;&gt;ROUND('LID_LIQUIDACIONES'!E107,0),LEN(TEXT(INT(ABS('LID_LIQUIDACIONES'!E107)),"0"))&gt;12),TRUE)),1,0)</f>
        <v/>
      </c>
      <c r="F107">
        <f>IF(AND('LID_LIQUIDACIONES'!F107&lt;&gt;"",OR(LEN('LID_LIQUIDACIONES'!F107)&gt;3,COUNTIF(CL_MONEDA,'LID_LIQUIDACIONES'!F107)=0)),1,0)</f>
        <v/>
      </c>
      <c r="G107">
        <f>IF(AND('LID_LIQUIDACIONES'!G107&lt;&gt;"",COUNTIF(CL_ID_PAGOS,'LID_LIQUIDACIONES'!G107)=0),1,0)</f>
        <v/>
      </c>
      <c r="H107">
        <f>IF(AND('LID_LIQUIDACIONES'!H107&lt;&gt;"",COUNTIF(CL_FLAG_HORARIO,'LID_LIQUIDACIONES'!H107)=0),1,0)</f>
        <v/>
      </c>
      <c r="I107">
        <f>IF(AND('LID_LIQUIDACIONES'!I107&lt;&gt;"",COUNTIF(CL_CAT_ID_PAGOS_RET,'LID_LIQUIDACIONES'!I107)=0),1,0)</f>
        <v/>
      </c>
      <c r="J107">
        <f>IF(AND('LID_LIQUIDACIONES'!J107&lt;&gt;"",NOT(ISNUMBER('LID_LIQUIDACIONES'!J107))),1,0)</f>
        <v/>
      </c>
      <c r="K107">
        <f>IF(AND('LID_LIQUIDACIONES'!K107&lt;&gt;"",LEN('LID_LIQUIDACIONES'!K107)&gt;5),1,0)</f>
        <v/>
      </c>
      <c r="L107">
        <f>IF(AND('LID_LIQUIDACIONES'!L107&lt;&gt;"",IF(ISNUMBER('LID_LIQUIDACIONES'!L107),OR('LID_LIQUIDACIONES'!L107&lt;&gt;ROUND('LID_LIQUIDACIONES'!L107,0),LEN(TEXT(INT(ABS('LID_LIQUIDACIONES'!L107)),"0"))&gt;12),TRUE)),1,0)</f>
        <v/>
      </c>
      <c r="M107">
        <f>IF(AND('LID_LIQUIDACIONES'!M107&lt;&gt;"",COUNTIF(CL_CAT_MOTIVO_RET,'LID_LIQUIDACIONES'!M107)=0),1,0)</f>
        <v/>
      </c>
      <c r="N107">
        <f>IF(AND('LID_LIQUIDACIONES'!N107&lt;&gt;"",LEN('LID_LIQUIDACIONES'!N107)&gt;50),1,0)</f>
        <v/>
      </c>
      <c r="O107">
        <f>IF(AND('LID_LIQUIDACIONES'!O107&lt;&gt;"",COUNTIF(CL_CARACT_LIQ,'LID_LIQUIDACIONES'!O107)=0),1,0)</f>
        <v/>
      </c>
      <c r="P107">
        <f>IF(AND('LID_LIQUIDACIONES'!P107&lt;&gt;"",NOT(ISNUMBER('LID_LIQUIDACIONES'!P107))),1,0)</f>
        <v/>
      </c>
    </row>
    <row r="108">
      <c r="A108">
        <f>IF(AND('LID_LIQUIDACIONES'!A108&lt;&gt;"",NOT(ISNUMBER('LID_LIQUIDACIONES'!A108))),1,0)</f>
        <v/>
      </c>
      <c r="B108">
        <f>IF(AND('LID_LIQUIDACIONES'!B108&lt;&gt;"",LEN('LID_LIQUIDACIONES'!B108)&gt;5),1,0)</f>
        <v/>
      </c>
      <c r="C108">
        <f>IF(AND('LID_LIQUIDACIONES'!C108&lt;&gt;"",COUNTIF(CL_TIPO_VALOR,'LID_LIQUIDACIONES'!C108)=0),1,0)</f>
        <v/>
      </c>
      <c r="D108">
        <f>IF(AND('LID_LIQUIDACIONES'!D108&lt;&gt;"",COUNTIF(CL_TIPO_OBLIGACI_N,'LID_LIQUIDACIONES'!D108)=0),1,0)</f>
        <v/>
      </c>
      <c r="E108">
        <f>IF(AND('LID_LIQUIDACIONES'!E108&lt;&gt;"",IF(ISNUMBER('LID_LIQUIDACIONES'!E108),OR('LID_LIQUIDACIONES'!E108&lt;&gt;ROUND('LID_LIQUIDACIONES'!E108,0),LEN(TEXT(INT(ABS('LID_LIQUIDACIONES'!E108)),"0"))&gt;12),TRUE)),1,0)</f>
        <v/>
      </c>
      <c r="F108">
        <f>IF(AND('LID_LIQUIDACIONES'!F108&lt;&gt;"",OR(LEN('LID_LIQUIDACIONES'!F108)&gt;3,COUNTIF(CL_MONEDA,'LID_LIQUIDACIONES'!F108)=0)),1,0)</f>
        <v/>
      </c>
      <c r="G108">
        <f>IF(AND('LID_LIQUIDACIONES'!G108&lt;&gt;"",COUNTIF(CL_ID_PAGOS,'LID_LIQUIDACIONES'!G108)=0),1,0)</f>
        <v/>
      </c>
      <c r="H108">
        <f>IF(AND('LID_LIQUIDACIONES'!H108&lt;&gt;"",COUNTIF(CL_FLAG_HORARIO,'LID_LIQUIDACIONES'!H108)=0),1,0)</f>
        <v/>
      </c>
      <c r="I108">
        <f>IF(AND('LID_LIQUIDACIONES'!I108&lt;&gt;"",COUNTIF(CL_CAT_ID_PAGOS_RET,'LID_LIQUIDACIONES'!I108)=0),1,0)</f>
        <v/>
      </c>
      <c r="J108">
        <f>IF(AND('LID_LIQUIDACIONES'!J108&lt;&gt;"",NOT(ISNUMBER('LID_LIQUIDACIONES'!J108))),1,0)</f>
        <v/>
      </c>
      <c r="K108">
        <f>IF(AND('LID_LIQUIDACIONES'!K108&lt;&gt;"",LEN('LID_LIQUIDACIONES'!K108)&gt;5),1,0)</f>
        <v/>
      </c>
      <c r="L108">
        <f>IF(AND('LID_LIQUIDACIONES'!L108&lt;&gt;"",IF(ISNUMBER('LID_LIQUIDACIONES'!L108),OR('LID_LIQUIDACIONES'!L108&lt;&gt;ROUND('LID_LIQUIDACIONES'!L108,0),LEN(TEXT(INT(ABS('LID_LIQUIDACIONES'!L108)),"0"))&gt;12),TRUE)),1,0)</f>
        <v/>
      </c>
      <c r="M108">
        <f>IF(AND('LID_LIQUIDACIONES'!M108&lt;&gt;"",COUNTIF(CL_CAT_MOTIVO_RET,'LID_LIQUIDACIONES'!M108)=0),1,0)</f>
        <v/>
      </c>
      <c r="N108">
        <f>IF(AND('LID_LIQUIDACIONES'!N108&lt;&gt;"",LEN('LID_LIQUIDACIONES'!N108)&gt;50),1,0)</f>
        <v/>
      </c>
      <c r="O108">
        <f>IF(AND('LID_LIQUIDACIONES'!O108&lt;&gt;"",COUNTIF(CL_CARACT_LIQ,'LID_LIQUIDACIONES'!O108)=0),1,0)</f>
        <v/>
      </c>
      <c r="P108">
        <f>IF(AND('LID_LIQUIDACIONES'!P108&lt;&gt;"",NOT(ISNUMBER('LID_LIQUIDACIONES'!P108))),1,0)</f>
        <v/>
      </c>
    </row>
    <row r="109">
      <c r="A109">
        <f>IF(AND('LID_LIQUIDACIONES'!A109&lt;&gt;"",NOT(ISNUMBER('LID_LIQUIDACIONES'!A109))),1,0)</f>
        <v/>
      </c>
      <c r="B109">
        <f>IF(AND('LID_LIQUIDACIONES'!B109&lt;&gt;"",LEN('LID_LIQUIDACIONES'!B109)&gt;5),1,0)</f>
        <v/>
      </c>
      <c r="C109">
        <f>IF(AND('LID_LIQUIDACIONES'!C109&lt;&gt;"",COUNTIF(CL_TIPO_VALOR,'LID_LIQUIDACIONES'!C109)=0),1,0)</f>
        <v/>
      </c>
      <c r="D109">
        <f>IF(AND('LID_LIQUIDACIONES'!D109&lt;&gt;"",COUNTIF(CL_TIPO_OBLIGACI_N,'LID_LIQUIDACIONES'!D109)=0),1,0)</f>
        <v/>
      </c>
      <c r="E109">
        <f>IF(AND('LID_LIQUIDACIONES'!E109&lt;&gt;"",IF(ISNUMBER('LID_LIQUIDACIONES'!E109),OR('LID_LIQUIDACIONES'!E109&lt;&gt;ROUND('LID_LIQUIDACIONES'!E109,0),LEN(TEXT(INT(ABS('LID_LIQUIDACIONES'!E109)),"0"))&gt;12),TRUE)),1,0)</f>
        <v/>
      </c>
      <c r="F109">
        <f>IF(AND('LID_LIQUIDACIONES'!F109&lt;&gt;"",OR(LEN('LID_LIQUIDACIONES'!F109)&gt;3,COUNTIF(CL_MONEDA,'LID_LIQUIDACIONES'!F109)=0)),1,0)</f>
        <v/>
      </c>
      <c r="G109">
        <f>IF(AND('LID_LIQUIDACIONES'!G109&lt;&gt;"",COUNTIF(CL_ID_PAGOS,'LID_LIQUIDACIONES'!G109)=0),1,0)</f>
        <v/>
      </c>
      <c r="H109">
        <f>IF(AND('LID_LIQUIDACIONES'!H109&lt;&gt;"",COUNTIF(CL_FLAG_HORARIO,'LID_LIQUIDACIONES'!H109)=0),1,0)</f>
        <v/>
      </c>
      <c r="I109">
        <f>IF(AND('LID_LIQUIDACIONES'!I109&lt;&gt;"",COUNTIF(CL_CAT_ID_PAGOS_RET,'LID_LIQUIDACIONES'!I109)=0),1,0)</f>
        <v/>
      </c>
      <c r="J109">
        <f>IF(AND('LID_LIQUIDACIONES'!J109&lt;&gt;"",NOT(ISNUMBER('LID_LIQUIDACIONES'!J109))),1,0)</f>
        <v/>
      </c>
      <c r="K109">
        <f>IF(AND('LID_LIQUIDACIONES'!K109&lt;&gt;"",LEN('LID_LIQUIDACIONES'!K109)&gt;5),1,0)</f>
        <v/>
      </c>
      <c r="L109">
        <f>IF(AND('LID_LIQUIDACIONES'!L109&lt;&gt;"",IF(ISNUMBER('LID_LIQUIDACIONES'!L109),OR('LID_LIQUIDACIONES'!L109&lt;&gt;ROUND('LID_LIQUIDACIONES'!L109,0),LEN(TEXT(INT(ABS('LID_LIQUIDACIONES'!L109)),"0"))&gt;12),TRUE)),1,0)</f>
        <v/>
      </c>
      <c r="M109">
        <f>IF(AND('LID_LIQUIDACIONES'!M109&lt;&gt;"",COUNTIF(CL_CAT_MOTIVO_RET,'LID_LIQUIDACIONES'!M109)=0),1,0)</f>
        <v/>
      </c>
      <c r="N109">
        <f>IF(AND('LID_LIQUIDACIONES'!N109&lt;&gt;"",LEN('LID_LIQUIDACIONES'!N109)&gt;50),1,0)</f>
        <v/>
      </c>
      <c r="O109">
        <f>IF(AND('LID_LIQUIDACIONES'!O109&lt;&gt;"",COUNTIF(CL_CARACT_LIQ,'LID_LIQUIDACIONES'!O109)=0),1,0)</f>
        <v/>
      </c>
      <c r="P109">
        <f>IF(AND('LID_LIQUIDACIONES'!P109&lt;&gt;"",NOT(ISNUMBER('LID_LIQUIDACIONES'!P109))),1,0)</f>
        <v/>
      </c>
    </row>
    <row r="110">
      <c r="A110">
        <f>IF(AND('LID_LIQUIDACIONES'!A110&lt;&gt;"",NOT(ISNUMBER('LID_LIQUIDACIONES'!A110))),1,0)</f>
        <v/>
      </c>
      <c r="B110">
        <f>IF(AND('LID_LIQUIDACIONES'!B110&lt;&gt;"",LEN('LID_LIQUIDACIONES'!B110)&gt;5),1,0)</f>
        <v/>
      </c>
      <c r="C110">
        <f>IF(AND('LID_LIQUIDACIONES'!C110&lt;&gt;"",COUNTIF(CL_TIPO_VALOR,'LID_LIQUIDACIONES'!C110)=0),1,0)</f>
        <v/>
      </c>
      <c r="D110">
        <f>IF(AND('LID_LIQUIDACIONES'!D110&lt;&gt;"",COUNTIF(CL_TIPO_OBLIGACI_N,'LID_LIQUIDACIONES'!D110)=0),1,0)</f>
        <v/>
      </c>
      <c r="E110">
        <f>IF(AND('LID_LIQUIDACIONES'!E110&lt;&gt;"",IF(ISNUMBER('LID_LIQUIDACIONES'!E110),OR('LID_LIQUIDACIONES'!E110&lt;&gt;ROUND('LID_LIQUIDACIONES'!E110,0),LEN(TEXT(INT(ABS('LID_LIQUIDACIONES'!E110)),"0"))&gt;12),TRUE)),1,0)</f>
        <v/>
      </c>
      <c r="F110">
        <f>IF(AND('LID_LIQUIDACIONES'!F110&lt;&gt;"",OR(LEN('LID_LIQUIDACIONES'!F110)&gt;3,COUNTIF(CL_MONEDA,'LID_LIQUIDACIONES'!F110)=0)),1,0)</f>
        <v/>
      </c>
      <c r="G110">
        <f>IF(AND('LID_LIQUIDACIONES'!G110&lt;&gt;"",COUNTIF(CL_ID_PAGOS,'LID_LIQUIDACIONES'!G110)=0),1,0)</f>
        <v/>
      </c>
      <c r="H110">
        <f>IF(AND('LID_LIQUIDACIONES'!H110&lt;&gt;"",COUNTIF(CL_FLAG_HORARIO,'LID_LIQUIDACIONES'!H110)=0),1,0)</f>
        <v/>
      </c>
      <c r="I110">
        <f>IF(AND('LID_LIQUIDACIONES'!I110&lt;&gt;"",COUNTIF(CL_CAT_ID_PAGOS_RET,'LID_LIQUIDACIONES'!I110)=0),1,0)</f>
        <v/>
      </c>
      <c r="J110">
        <f>IF(AND('LID_LIQUIDACIONES'!J110&lt;&gt;"",NOT(ISNUMBER('LID_LIQUIDACIONES'!J110))),1,0)</f>
        <v/>
      </c>
      <c r="K110">
        <f>IF(AND('LID_LIQUIDACIONES'!K110&lt;&gt;"",LEN('LID_LIQUIDACIONES'!K110)&gt;5),1,0)</f>
        <v/>
      </c>
      <c r="L110">
        <f>IF(AND('LID_LIQUIDACIONES'!L110&lt;&gt;"",IF(ISNUMBER('LID_LIQUIDACIONES'!L110),OR('LID_LIQUIDACIONES'!L110&lt;&gt;ROUND('LID_LIQUIDACIONES'!L110,0),LEN(TEXT(INT(ABS('LID_LIQUIDACIONES'!L110)),"0"))&gt;12),TRUE)),1,0)</f>
        <v/>
      </c>
      <c r="M110">
        <f>IF(AND('LID_LIQUIDACIONES'!M110&lt;&gt;"",COUNTIF(CL_CAT_MOTIVO_RET,'LID_LIQUIDACIONES'!M110)=0),1,0)</f>
        <v/>
      </c>
      <c r="N110">
        <f>IF(AND('LID_LIQUIDACIONES'!N110&lt;&gt;"",LEN('LID_LIQUIDACIONES'!N110)&gt;50),1,0)</f>
        <v/>
      </c>
      <c r="O110">
        <f>IF(AND('LID_LIQUIDACIONES'!O110&lt;&gt;"",COUNTIF(CL_CARACT_LIQ,'LID_LIQUIDACIONES'!O110)=0),1,0)</f>
        <v/>
      </c>
      <c r="P110">
        <f>IF(AND('LID_LIQUIDACIONES'!P110&lt;&gt;"",NOT(ISNUMBER('LID_LIQUIDACIONES'!P110))),1,0)</f>
        <v/>
      </c>
    </row>
    <row r="111">
      <c r="A111">
        <f>IF(AND('LID_LIQUIDACIONES'!A111&lt;&gt;"",NOT(ISNUMBER('LID_LIQUIDACIONES'!A111))),1,0)</f>
        <v/>
      </c>
      <c r="B111">
        <f>IF(AND('LID_LIQUIDACIONES'!B111&lt;&gt;"",LEN('LID_LIQUIDACIONES'!B111)&gt;5),1,0)</f>
        <v/>
      </c>
      <c r="C111">
        <f>IF(AND('LID_LIQUIDACIONES'!C111&lt;&gt;"",COUNTIF(CL_TIPO_VALOR,'LID_LIQUIDACIONES'!C111)=0),1,0)</f>
        <v/>
      </c>
      <c r="D111">
        <f>IF(AND('LID_LIQUIDACIONES'!D111&lt;&gt;"",COUNTIF(CL_TIPO_OBLIGACI_N,'LID_LIQUIDACIONES'!D111)=0),1,0)</f>
        <v/>
      </c>
      <c r="E111">
        <f>IF(AND('LID_LIQUIDACIONES'!E111&lt;&gt;"",IF(ISNUMBER('LID_LIQUIDACIONES'!E111),OR('LID_LIQUIDACIONES'!E111&lt;&gt;ROUND('LID_LIQUIDACIONES'!E111,0),LEN(TEXT(INT(ABS('LID_LIQUIDACIONES'!E111)),"0"))&gt;12),TRUE)),1,0)</f>
        <v/>
      </c>
      <c r="F111">
        <f>IF(AND('LID_LIQUIDACIONES'!F111&lt;&gt;"",OR(LEN('LID_LIQUIDACIONES'!F111)&gt;3,COUNTIF(CL_MONEDA,'LID_LIQUIDACIONES'!F111)=0)),1,0)</f>
        <v/>
      </c>
      <c r="G111">
        <f>IF(AND('LID_LIQUIDACIONES'!G111&lt;&gt;"",COUNTIF(CL_ID_PAGOS,'LID_LIQUIDACIONES'!G111)=0),1,0)</f>
        <v/>
      </c>
      <c r="H111">
        <f>IF(AND('LID_LIQUIDACIONES'!H111&lt;&gt;"",COUNTIF(CL_FLAG_HORARIO,'LID_LIQUIDACIONES'!H111)=0),1,0)</f>
        <v/>
      </c>
      <c r="I111">
        <f>IF(AND('LID_LIQUIDACIONES'!I111&lt;&gt;"",COUNTIF(CL_CAT_ID_PAGOS_RET,'LID_LIQUIDACIONES'!I111)=0),1,0)</f>
        <v/>
      </c>
      <c r="J111">
        <f>IF(AND('LID_LIQUIDACIONES'!J111&lt;&gt;"",NOT(ISNUMBER('LID_LIQUIDACIONES'!J111))),1,0)</f>
        <v/>
      </c>
      <c r="K111">
        <f>IF(AND('LID_LIQUIDACIONES'!K111&lt;&gt;"",LEN('LID_LIQUIDACIONES'!K111)&gt;5),1,0)</f>
        <v/>
      </c>
      <c r="L111">
        <f>IF(AND('LID_LIQUIDACIONES'!L111&lt;&gt;"",IF(ISNUMBER('LID_LIQUIDACIONES'!L111),OR('LID_LIQUIDACIONES'!L111&lt;&gt;ROUND('LID_LIQUIDACIONES'!L111,0),LEN(TEXT(INT(ABS('LID_LIQUIDACIONES'!L111)),"0"))&gt;12),TRUE)),1,0)</f>
        <v/>
      </c>
      <c r="M111">
        <f>IF(AND('LID_LIQUIDACIONES'!M111&lt;&gt;"",COUNTIF(CL_CAT_MOTIVO_RET,'LID_LIQUIDACIONES'!M111)=0),1,0)</f>
        <v/>
      </c>
      <c r="N111">
        <f>IF(AND('LID_LIQUIDACIONES'!N111&lt;&gt;"",LEN('LID_LIQUIDACIONES'!N111)&gt;50),1,0)</f>
        <v/>
      </c>
      <c r="O111">
        <f>IF(AND('LID_LIQUIDACIONES'!O111&lt;&gt;"",COUNTIF(CL_CARACT_LIQ,'LID_LIQUIDACIONES'!O111)=0),1,0)</f>
        <v/>
      </c>
      <c r="P111">
        <f>IF(AND('LID_LIQUIDACIONES'!P111&lt;&gt;"",NOT(ISNUMBER('LID_LIQUIDACIONES'!P111))),1,0)</f>
        <v/>
      </c>
    </row>
    <row r="112">
      <c r="A112">
        <f>IF(AND('LID_LIQUIDACIONES'!A112&lt;&gt;"",NOT(ISNUMBER('LID_LIQUIDACIONES'!A112))),1,0)</f>
        <v/>
      </c>
      <c r="B112">
        <f>IF(AND('LID_LIQUIDACIONES'!B112&lt;&gt;"",LEN('LID_LIQUIDACIONES'!B112)&gt;5),1,0)</f>
        <v/>
      </c>
      <c r="C112">
        <f>IF(AND('LID_LIQUIDACIONES'!C112&lt;&gt;"",COUNTIF(CL_TIPO_VALOR,'LID_LIQUIDACIONES'!C112)=0),1,0)</f>
        <v/>
      </c>
      <c r="D112">
        <f>IF(AND('LID_LIQUIDACIONES'!D112&lt;&gt;"",COUNTIF(CL_TIPO_OBLIGACI_N,'LID_LIQUIDACIONES'!D112)=0),1,0)</f>
        <v/>
      </c>
      <c r="E112">
        <f>IF(AND('LID_LIQUIDACIONES'!E112&lt;&gt;"",IF(ISNUMBER('LID_LIQUIDACIONES'!E112),OR('LID_LIQUIDACIONES'!E112&lt;&gt;ROUND('LID_LIQUIDACIONES'!E112,0),LEN(TEXT(INT(ABS('LID_LIQUIDACIONES'!E112)),"0"))&gt;12),TRUE)),1,0)</f>
        <v/>
      </c>
      <c r="F112">
        <f>IF(AND('LID_LIQUIDACIONES'!F112&lt;&gt;"",OR(LEN('LID_LIQUIDACIONES'!F112)&gt;3,COUNTIF(CL_MONEDA,'LID_LIQUIDACIONES'!F112)=0)),1,0)</f>
        <v/>
      </c>
      <c r="G112">
        <f>IF(AND('LID_LIQUIDACIONES'!G112&lt;&gt;"",COUNTIF(CL_ID_PAGOS,'LID_LIQUIDACIONES'!G112)=0),1,0)</f>
        <v/>
      </c>
      <c r="H112">
        <f>IF(AND('LID_LIQUIDACIONES'!H112&lt;&gt;"",COUNTIF(CL_FLAG_HORARIO,'LID_LIQUIDACIONES'!H112)=0),1,0)</f>
        <v/>
      </c>
      <c r="I112">
        <f>IF(AND('LID_LIQUIDACIONES'!I112&lt;&gt;"",COUNTIF(CL_CAT_ID_PAGOS_RET,'LID_LIQUIDACIONES'!I112)=0),1,0)</f>
        <v/>
      </c>
      <c r="J112">
        <f>IF(AND('LID_LIQUIDACIONES'!J112&lt;&gt;"",NOT(ISNUMBER('LID_LIQUIDACIONES'!J112))),1,0)</f>
        <v/>
      </c>
      <c r="K112">
        <f>IF(AND('LID_LIQUIDACIONES'!K112&lt;&gt;"",LEN('LID_LIQUIDACIONES'!K112)&gt;5),1,0)</f>
        <v/>
      </c>
      <c r="L112">
        <f>IF(AND('LID_LIQUIDACIONES'!L112&lt;&gt;"",IF(ISNUMBER('LID_LIQUIDACIONES'!L112),OR('LID_LIQUIDACIONES'!L112&lt;&gt;ROUND('LID_LIQUIDACIONES'!L112,0),LEN(TEXT(INT(ABS('LID_LIQUIDACIONES'!L112)),"0"))&gt;12),TRUE)),1,0)</f>
        <v/>
      </c>
      <c r="M112">
        <f>IF(AND('LID_LIQUIDACIONES'!M112&lt;&gt;"",COUNTIF(CL_CAT_MOTIVO_RET,'LID_LIQUIDACIONES'!M112)=0),1,0)</f>
        <v/>
      </c>
      <c r="N112">
        <f>IF(AND('LID_LIQUIDACIONES'!N112&lt;&gt;"",LEN('LID_LIQUIDACIONES'!N112)&gt;50),1,0)</f>
        <v/>
      </c>
      <c r="O112">
        <f>IF(AND('LID_LIQUIDACIONES'!O112&lt;&gt;"",COUNTIF(CL_CARACT_LIQ,'LID_LIQUIDACIONES'!O112)=0),1,0)</f>
        <v/>
      </c>
      <c r="P112">
        <f>IF(AND('LID_LIQUIDACIONES'!P112&lt;&gt;"",NOT(ISNUMBER('LID_LIQUIDACIONES'!P112))),1,0)</f>
        <v/>
      </c>
    </row>
    <row r="113">
      <c r="A113">
        <f>IF(AND('LID_LIQUIDACIONES'!A113&lt;&gt;"",NOT(ISNUMBER('LID_LIQUIDACIONES'!A113))),1,0)</f>
        <v/>
      </c>
      <c r="B113">
        <f>IF(AND('LID_LIQUIDACIONES'!B113&lt;&gt;"",LEN('LID_LIQUIDACIONES'!B113)&gt;5),1,0)</f>
        <v/>
      </c>
      <c r="C113">
        <f>IF(AND('LID_LIQUIDACIONES'!C113&lt;&gt;"",COUNTIF(CL_TIPO_VALOR,'LID_LIQUIDACIONES'!C113)=0),1,0)</f>
        <v/>
      </c>
      <c r="D113">
        <f>IF(AND('LID_LIQUIDACIONES'!D113&lt;&gt;"",COUNTIF(CL_TIPO_OBLIGACI_N,'LID_LIQUIDACIONES'!D113)=0),1,0)</f>
        <v/>
      </c>
      <c r="E113">
        <f>IF(AND('LID_LIQUIDACIONES'!E113&lt;&gt;"",IF(ISNUMBER('LID_LIQUIDACIONES'!E113),OR('LID_LIQUIDACIONES'!E113&lt;&gt;ROUND('LID_LIQUIDACIONES'!E113,0),LEN(TEXT(INT(ABS('LID_LIQUIDACIONES'!E113)),"0"))&gt;12),TRUE)),1,0)</f>
        <v/>
      </c>
      <c r="F113">
        <f>IF(AND('LID_LIQUIDACIONES'!F113&lt;&gt;"",OR(LEN('LID_LIQUIDACIONES'!F113)&gt;3,COUNTIF(CL_MONEDA,'LID_LIQUIDACIONES'!F113)=0)),1,0)</f>
        <v/>
      </c>
      <c r="G113">
        <f>IF(AND('LID_LIQUIDACIONES'!G113&lt;&gt;"",COUNTIF(CL_ID_PAGOS,'LID_LIQUIDACIONES'!G113)=0),1,0)</f>
        <v/>
      </c>
      <c r="H113">
        <f>IF(AND('LID_LIQUIDACIONES'!H113&lt;&gt;"",COUNTIF(CL_FLAG_HORARIO,'LID_LIQUIDACIONES'!H113)=0),1,0)</f>
        <v/>
      </c>
      <c r="I113">
        <f>IF(AND('LID_LIQUIDACIONES'!I113&lt;&gt;"",COUNTIF(CL_CAT_ID_PAGOS_RET,'LID_LIQUIDACIONES'!I113)=0),1,0)</f>
        <v/>
      </c>
      <c r="J113">
        <f>IF(AND('LID_LIQUIDACIONES'!J113&lt;&gt;"",NOT(ISNUMBER('LID_LIQUIDACIONES'!J113))),1,0)</f>
        <v/>
      </c>
      <c r="K113">
        <f>IF(AND('LID_LIQUIDACIONES'!K113&lt;&gt;"",LEN('LID_LIQUIDACIONES'!K113)&gt;5),1,0)</f>
        <v/>
      </c>
      <c r="L113">
        <f>IF(AND('LID_LIQUIDACIONES'!L113&lt;&gt;"",IF(ISNUMBER('LID_LIQUIDACIONES'!L113),OR('LID_LIQUIDACIONES'!L113&lt;&gt;ROUND('LID_LIQUIDACIONES'!L113,0),LEN(TEXT(INT(ABS('LID_LIQUIDACIONES'!L113)),"0"))&gt;12),TRUE)),1,0)</f>
        <v/>
      </c>
      <c r="M113">
        <f>IF(AND('LID_LIQUIDACIONES'!M113&lt;&gt;"",COUNTIF(CL_CAT_MOTIVO_RET,'LID_LIQUIDACIONES'!M113)=0),1,0)</f>
        <v/>
      </c>
      <c r="N113">
        <f>IF(AND('LID_LIQUIDACIONES'!N113&lt;&gt;"",LEN('LID_LIQUIDACIONES'!N113)&gt;50),1,0)</f>
        <v/>
      </c>
      <c r="O113">
        <f>IF(AND('LID_LIQUIDACIONES'!O113&lt;&gt;"",COUNTIF(CL_CARACT_LIQ,'LID_LIQUIDACIONES'!O113)=0),1,0)</f>
        <v/>
      </c>
      <c r="P113">
        <f>IF(AND('LID_LIQUIDACIONES'!P113&lt;&gt;"",NOT(ISNUMBER('LID_LIQUIDACIONES'!P113))),1,0)</f>
        <v/>
      </c>
    </row>
    <row r="114">
      <c r="A114">
        <f>IF(AND('LID_LIQUIDACIONES'!A114&lt;&gt;"",NOT(ISNUMBER('LID_LIQUIDACIONES'!A114))),1,0)</f>
        <v/>
      </c>
      <c r="B114">
        <f>IF(AND('LID_LIQUIDACIONES'!B114&lt;&gt;"",LEN('LID_LIQUIDACIONES'!B114)&gt;5),1,0)</f>
        <v/>
      </c>
      <c r="C114">
        <f>IF(AND('LID_LIQUIDACIONES'!C114&lt;&gt;"",COUNTIF(CL_TIPO_VALOR,'LID_LIQUIDACIONES'!C114)=0),1,0)</f>
        <v/>
      </c>
      <c r="D114">
        <f>IF(AND('LID_LIQUIDACIONES'!D114&lt;&gt;"",COUNTIF(CL_TIPO_OBLIGACI_N,'LID_LIQUIDACIONES'!D114)=0),1,0)</f>
        <v/>
      </c>
      <c r="E114">
        <f>IF(AND('LID_LIQUIDACIONES'!E114&lt;&gt;"",IF(ISNUMBER('LID_LIQUIDACIONES'!E114),OR('LID_LIQUIDACIONES'!E114&lt;&gt;ROUND('LID_LIQUIDACIONES'!E114,0),LEN(TEXT(INT(ABS('LID_LIQUIDACIONES'!E114)),"0"))&gt;12),TRUE)),1,0)</f>
        <v/>
      </c>
      <c r="F114">
        <f>IF(AND('LID_LIQUIDACIONES'!F114&lt;&gt;"",OR(LEN('LID_LIQUIDACIONES'!F114)&gt;3,COUNTIF(CL_MONEDA,'LID_LIQUIDACIONES'!F114)=0)),1,0)</f>
        <v/>
      </c>
      <c r="G114">
        <f>IF(AND('LID_LIQUIDACIONES'!G114&lt;&gt;"",COUNTIF(CL_ID_PAGOS,'LID_LIQUIDACIONES'!G114)=0),1,0)</f>
        <v/>
      </c>
      <c r="H114">
        <f>IF(AND('LID_LIQUIDACIONES'!H114&lt;&gt;"",COUNTIF(CL_FLAG_HORARIO,'LID_LIQUIDACIONES'!H114)=0),1,0)</f>
        <v/>
      </c>
      <c r="I114">
        <f>IF(AND('LID_LIQUIDACIONES'!I114&lt;&gt;"",COUNTIF(CL_CAT_ID_PAGOS_RET,'LID_LIQUIDACIONES'!I114)=0),1,0)</f>
        <v/>
      </c>
      <c r="J114">
        <f>IF(AND('LID_LIQUIDACIONES'!J114&lt;&gt;"",NOT(ISNUMBER('LID_LIQUIDACIONES'!J114))),1,0)</f>
        <v/>
      </c>
      <c r="K114">
        <f>IF(AND('LID_LIQUIDACIONES'!K114&lt;&gt;"",LEN('LID_LIQUIDACIONES'!K114)&gt;5),1,0)</f>
        <v/>
      </c>
      <c r="L114">
        <f>IF(AND('LID_LIQUIDACIONES'!L114&lt;&gt;"",IF(ISNUMBER('LID_LIQUIDACIONES'!L114),OR('LID_LIQUIDACIONES'!L114&lt;&gt;ROUND('LID_LIQUIDACIONES'!L114,0),LEN(TEXT(INT(ABS('LID_LIQUIDACIONES'!L114)),"0"))&gt;12),TRUE)),1,0)</f>
        <v/>
      </c>
      <c r="M114">
        <f>IF(AND('LID_LIQUIDACIONES'!M114&lt;&gt;"",COUNTIF(CL_CAT_MOTIVO_RET,'LID_LIQUIDACIONES'!M114)=0),1,0)</f>
        <v/>
      </c>
      <c r="N114">
        <f>IF(AND('LID_LIQUIDACIONES'!N114&lt;&gt;"",LEN('LID_LIQUIDACIONES'!N114)&gt;50),1,0)</f>
        <v/>
      </c>
      <c r="O114">
        <f>IF(AND('LID_LIQUIDACIONES'!O114&lt;&gt;"",COUNTIF(CL_CARACT_LIQ,'LID_LIQUIDACIONES'!O114)=0),1,0)</f>
        <v/>
      </c>
      <c r="P114">
        <f>IF(AND('LID_LIQUIDACIONES'!P114&lt;&gt;"",NOT(ISNUMBER('LID_LIQUIDACIONES'!P114))),1,0)</f>
        <v/>
      </c>
    </row>
    <row r="115">
      <c r="A115">
        <f>IF(AND('LID_LIQUIDACIONES'!A115&lt;&gt;"",NOT(ISNUMBER('LID_LIQUIDACIONES'!A115))),1,0)</f>
        <v/>
      </c>
      <c r="B115">
        <f>IF(AND('LID_LIQUIDACIONES'!B115&lt;&gt;"",LEN('LID_LIQUIDACIONES'!B115)&gt;5),1,0)</f>
        <v/>
      </c>
      <c r="C115">
        <f>IF(AND('LID_LIQUIDACIONES'!C115&lt;&gt;"",COUNTIF(CL_TIPO_VALOR,'LID_LIQUIDACIONES'!C115)=0),1,0)</f>
        <v/>
      </c>
      <c r="D115">
        <f>IF(AND('LID_LIQUIDACIONES'!D115&lt;&gt;"",COUNTIF(CL_TIPO_OBLIGACI_N,'LID_LIQUIDACIONES'!D115)=0),1,0)</f>
        <v/>
      </c>
      <c r="E115">
        <f>IF(AND('LID_LIQUIDACIONES'!E115&lt;&gt;"",IF(ISNUMBER('LID_LIQUIDACIONES'!E115),OR('LID_LIQUIDACIONES'!E115&lt;&gt;ROUND('LID_LIQUIDACIONES'!E115,0),LEN(TEXT(INT(ABS('LID_LIQUIDACIONES'!E115)),"0"))&gt;12),TRUE)),1,0)</f>
        <v/>
      </c>
      <c r="F115">
        <f>IF(AND('LID_LIQUIDACIONES'!F115&lt;&gt;"",OR(LEN('LID_LIQUIDACIONES'!F115)&gt;3,COUNTIF(CL_MONEDA,'LID_LIQUIDACIONES'!F115)=0)),1,0)</f>
        <v/>
      </c>
      <c r="G115">
        <f>IF(AND('LID_LIQUIDACIONES'!G115&lt;&gt;"",COUNTIF(CL_ID_PAGOS,'LID_LIQUIDACIONES'!G115)=0),1,0)</f>
        <v/>
      </c>
      <c r="H115">
        <f>IF(AND('LID_LIQUIDACIONES'!H115&lt;&gt;"",COUNTIF(CL_FLAG_HORARIO,'LID_LIQUIDACIONES'!H115)=0),1,0)</f>
        <v/>
      </c>
      <c r="I115">
        <f>IF(AND('LID_LIQUIDACIONES'!I115&lt;&gt;"",COUNTIF(CL_CAT_ID_PAGOS_RET,'LID_LIQUIDACIONES'!I115)=0),1,0)</f>
        <v/>
      </c>
      <c r="J115">
        <f>IF(AND('LID_LIQUIDACIONES'!J115&lt;&gt;"",NOT(ISNUMBER('LID_LIQUIDACIONES'!J115))),1,0)</f>
        <v/>
      </c>
      <c r="K115">
        <f>IF(AND('LID_LIQUIDACIONES'!K115&lt;&gt;"",LEN('LID_LIQUIDACIONES'!K115)&gt;5),1,0)</f>
        <v/>
      </c>
      <c r="L115">
        <f>IF(AND('LID_LIQUIDACIONES'!L115&lt;&gt;"",IF(ISNUMBER('LID_LIQUIDACIONES'!L115),OR('LID_LIQUIDACIONES'!L115&lt;&gt;ROUND('LID_LIQUIDACIONES'!L115,0),LEN(TEXT(INT(ABS('LID_LIQUIDACIONES'!L115)),"0"))&gt;12),TRUE)),1,0)</f>
        <v/>
      </c>
      <c r="M115">
        <f>IF(AND('LID_LIQUIDACIONES'!M115&lt;&gt;"",COUNTIF(CL_CAT_MOTIVO_RET,'LID_LIQUIDACIONES'!M115)=0),1,0)</f>
        <v/>
      </c>
      <c r="N115">
        <f>IF(AND('LID_LIQUIDACIONES'!N115&lt;&gt;"",LEN('LID_LIQUIDACIONES'!N115)&gt;50),1,0)</f>
        <v/>
      </c>
      <c r="O115">
        <f>IF(AND('LID_LIQUIDACIONES'!O115&lt;&gt;"",COUNTIF(CL_CARACT_LIQ,'LID_LIQUIDACIONES'!O115)=0),1,0)</f>
        <v/>
      </c>
      <c r="P115">
        <f>IF(AND('LID_LIQUIDACIONES'!P115&lt;&gt;"",NOT(ISNUMBER('LID_LIQUIDACIONES'!P115))),1,0)</f>
        <v/>
      </c>
    </row>
    <row r="116">
      <c r="A116">
        <f>IF(AND('LID_LIQUIDACIONES'!A116&lt;&gt;"",NOT(ISNUMBER('LID_LIQUIDACIONES'!A116))),1,0)</f>
        <v/>
      </c>
      <c r="B116">
        <f>IF(AND('LID_LIQUIDACIONES'!B116&lt;&gt;"",LEN('LID_LIQUIDACIONES'!B116)&gt;5),1,0)</f>
        <v/>
      </c>
      <c r="C116">
        <f>IF(AND('LID_LIQUIDACIONES'!C116&lt;&gt;"",COUNTIF(CL_TIPO_VALOR,'LID_LIQUIDACIONES'!C116)=0),1,0)</f>
        <v/>
      </c>
      <c r="D116">
        <f>IF(AND('LID_LIQUIDACIONES'!D116&lt;&gt;"",COUNTIF(CL_TIPO_OBLIGACI_N,'LID_LIQUIDACIONES'!D116)=0),1,0)</f>
        <v/>
      </c>
      <c r="E116">
        <f>IF(AND('LID_LIQUIDACIONES'!E116&lt;&gt;"",IF(ISNUMBER('LID_LIQUIDACIONES'!E116),OR('LID_LIQUIDACIONES'!E116&lt;&gt;ROUND('LID_LIQUIDACIONES'!E116,0),LEN(TEXT(INT(ABS('LID_LIQUIDACIONES'!E116)),"0"))&gt;12),TRUE)),1,0)</f>
        <v/>
      </c>
      <c r="F116">
        <f>IF(AND('LID_LIQUIDACIONES'!F116&lt;&gt;"",OR(LEN('LID_LIQUIDACIONES'!F116)&gt;3,COUNTIF(CL_MONEDA,'LID_LIQUIDACIONES'!F116)=0)),1,0)</f>
        <v/>
      </c>
      <c r="G116">
        <f>IF(AND('LID_LIQUIDACIONES'!G116&lt;&gt;"",COUNTIF(CL_ID_PAGOS,'LID_LIQUIDACIONES'!G116)=0),1,0)</f>
        <v/>
      </c>
      <c r="H116">
        <f>IF(AND('LID_LIQUIDACIONES'!H116&lt;&gt;"",COUNTIF(CL_FLAG_HORARIO,'LID_LIQUIDACIONES'!H116)=0),1,0)</f>
        <v/>
      </c>
      <c r="I116">
        <f>IF(AND('LID_LIQUIDACIONES'!I116&lt;&gt;"",COUNTIF(CL_CAT_ID_PAGOS_RET,'LID_LIQUIDACIONES'!I116)=0),1,0)</f>
        <v/>
      </c>
      <c r="J116">
        <f>IF(AND('LID_LIQUIDACIONES'!J116&lt;&gt;"",NOT(ISNUMBER('LID_LIQUIDACIONES'!J116))),1,0)</f>
        <v/>
      </c>
      <c r="K116">
        <f>IF(AND('LID_LIQUIDACIONES'!K116&lt;&gt;"",LEN('LID_LIQUIDACIONES'!K116)&gt;5),1,0)</f>
        <v/>
      </c>
      <c r="L116">
        <f>IF(AND('LID_LIQUIDACIONES'!L116&lt;&gt;"",IF(ISNUMBER('LID_LIQUIDACIONES'!L116),OR('LID_LIQUIDACIONES'!L116&lt;&gt;ROUND('LID_LIQUIDACIONES'!L116,0),LEN(TEXT(INT(ABS('LID_LIQUIDACIONES'!L116)),"0"))&gt;12),TRUE)),1,0)</f>
        <v/>
      </c>
      <c r="M116">
        <f>IF(AND('LID_LIQUIDACIONES'!M116&lt;&gt;"",COUNTIF(CL_CAT_MOTIVO_RET,'LID_LIQUIDACIONES'!M116)=0),1,0)</f>
        <v/>
      </c>
      <c r="N116">
        <f>IF(AND('LID_LIQUIDACIONES'!N116&lt;&gt;"",LEN('LID_LIQUIDACIONES'!N116)&gt;50),1,0)</f>
        <v/>
      </c>
      <c r="O116">
        <f>IF(AND('LID_LIQUIDACIONES'!O116&lt;&gt;"",COUNTIF(CL_CARACT_LIQ,'LID_LIQUIDACIONES'!O116)=0),1,0)</f>
        <v/>
      </c>
      <c r="P116">
        <f>IF(AND('LID_LIQUIDACIONES'!P116&lt;&gt;"",NOT(ISNUMBER('LID_LIQUIDACIONES'!P116))),1,0)</f>
        <v/>
      </c>
    </row>
    <row r="117">
      <c r="A117">
        <f>IF(AND('LID_LIQUIDACIONES'!A117&lt;&gt;"",NOT(ISNUMBER('LID_LIQUIDACIONES'!A117))),1,0)</f>
        <v/>
      </c>
      <c r="B117">
        <f>IF(AND('LID_LIQUIDACIONES'!B117&lt;&gt;"",LEN('LID_LIQUIDACIONES'!B117)&gt;5),1,0)</f>
        <v/>
      </c>
      <c r="C117">
        <f>IF(AND('LID_LIQUIDACIONES'!C117&lt;&gt;"",COUNTIF(CL_TIPO_VALOR,'LID_LIQUIDACIONES'!C117)=0),1,0)</f>
        <v/>
      </c>
      <c r="D117">
        <f>IF(AND('LID_LIQUIDACIONES'!D117&lt;&gt;"",COUNTIF(CL_TIPO_OBLIGACI_N,'LID_LIQUIDACIONES'!D117)=0),1,0)</f>
        <v/>
      </c>
      <c r="E117">
        <f>IF(AND('LID_LIQUIDACIONES'!E117&lt;&gt;"",IF(ISNUMBER('LID_LIQUIDACIONES'!E117),OR('LID_LIQUIDACIONES'!E117&lt;&gt;ROUND('LID_LIQUIDACIONES'!E117,0),LEN(TEXT(INT(ABS('LID_LIQUIDACIONES'!E117)),"0"))&gt;12),TRUE)),1,0)</f>
        <v/>
      </c>
      <c r="F117">
        <f>IF(AND('LID_LIQUIDACIONES'!F117&lt;&gt;"",OR(LEN('LID_LIQUIDACIONES'!F117)&gt;3,COUNTIF(CL_MONEDA,'LID_LIQUIDACIONES'!F117)=0)),1,0)</f>
        <v/>
      </c>
      <c r="G117">
        <f>IF(AND('LID_LIQUIDACIONES'!G117&lt;&gt;"",COUNTIF(CL_ID_PAGOS,'LID_LIQUIDACIONES'!G117)=0),1,0)</f>
        <v/>
      </c>
      <c r="H117">
        <f>IF(AND('LID_LIQUIDACIONES'!H117&lt;&gt;"",COUNTIF(CL_FLAG_HORARIO,'LID_LIQUIDACIONES'!H117)=0),1,0)</f>
        <v/>
      </c>
      <c r="I117">
        <f>IF(AND('LID_LIQUIDACIONES'!I117&lt;&gt;"",COUNTIF(CL_CAT_ID_PAGOS_RET,'LID_LIQUIDACIONES'!I117)=0),1,0)</f>
        <v/>
      </c>
      <c r="J117">
        <f>IF(AND('LID_LIQUIDACIONES'!J117&lt;&gt;"",NOT(ISNUMBER('LID_LIQUIDACIONES'!J117))),1,0)</f>
        <v/>
      </c>
      <c r="K117">
        <f>IF(AND('LID_LIQUIDACIONES'!K117&lt;&gt;"",LEN('LID_LIQUIDACIONES'!K117)&gt;5),1,0)</f>
        <v/>
      </c>
      <c r="L117">
        <f>IF(AND('LID_LIQUIDACIONES'!L117&lt;&gt;"",IF(ISNUMBER('LID_LIQUIDACIONES'!L117),OR('LID_LIQUIDACIONES'!L117&lt;&gt;ROUND('LID_LIQUIDACIONES'!L117,0),LEN(TEXT(INT(ABS('LID_LIQUIDACIONES'!L117)),"0"))&gt;12),TRUE)),1,0)</f>
        <v/>
      </c>
      <c r="M117">
        <f>IF(AND('LID_LIQUIDACIONES'!M117&lt;&gt;"",COUNTIF(CL_CAT_MOTIVO_RET,'LID_LIQUIDACIONES'!M117)=0),1,0)</f>
        <v/>
      </c>
      <c r="N117">
        <f>IF(AND('LID_LIQUIDACIONES'!N117&lt;&gt;"",LEN('LID_LIQUIDACIONES'!N117)&gt;50),1,0)</f>
        <v/>
      </c>
      <c r="O117">
        <f>IF(AND('LID_LIQUIDACIONES'!O117&lt;&gt;"",COUNTIF(CL_CARACT_LIQ,'LID_LIQUIDACIONES'!O117)=0),1,0)</f>
        <v/>
      </c>
      <c r="P117">
        <f>IF(AND('LID_LIQUIDACIONES'!P117&lt;&gt;"",NOT(ISNUMBER('LID_LIQUIDACIONES'!P117))),1,0)</f>
        <v/>
      </c>
    </row>
    <row r="118">
      <c r="A118">
        <f>IF(AND('LID_LIQUIDACIONES'!A118&lt;&gt;"",NOT(ISNUMBER('LID_LIQUIDACIONES'!A118))),1,0)</f>
        <v/>
      </c>
      <c r="B118">
        <f>IF(AND('LID_LIQUIDACIONES'!B118&lt;&gt;"",LEN('LID_LIQUIDACIONES'!B118)&gt;5),1,0)</f>
        <v/>
      </c>
      <c r="C118">
        <f>IF(AND('LID_LIQUIDACIONES'!C118&lt;&gt;"",COUNTIF(CL_TIPO_VALOR,'LID_LIQUIDACIONES'!C118)=0),1,0)</f>
        <v/>
      </c>
      <c r="D118">
        <f>IF(AND('LID_LIQUIDACIONES'!D118&lt;&gt;"",COUNTIF(CL_TIPO_OBLIGACI_N,'LID_LIQUIDACIONES'!D118)=0),1,0)</f>
        <v/>
      </c>
      <c r="E118">
        <f>IF(AND('LID_LIQUIDACIONES'!E118&lt;&gt;"",IF(ISNUMBER('LID_LIQUIDACIONES'!E118),OR('LID_LIQUIDACIONES'!E118&lt;&gt;ROUND('LID_LIQUIDACIONES'!E118,0),LEN(TEXT(INT(ABS('LID_LIQUIDACIONES'!E118)),"0"))&gt;12),TRUE)),1,0)</f>
        <v/>
      </c>
      <c r="F118">
        <f>IF(AND('LID_LIQUIDACIONES'!F118&lt;&gt;"",OR(LEN('LID_LIQUIDACIONES'!F118)&gt;3,COUNTIF(CL_MONEDA,'LID_LIQUIDACIONES'!F118)=0)),1,0)</f>
        <v/>
      </c>
      <c r="G118">
        <f>IF(AND('LID_LIQUIDACIONES'!G118&lt;&gt;"",COUNTIF(CL_ID_PAGOS,'LID_LIQUIDACIONES'!G118)=0),1,0)</f>
        <v/>
      </c>
      <c r="H118">
        <f>IF(AND('LID_LIQUIDACIONES'!H118&lt;&gt;"",COUNTIF(CL_FLAG_HORARIO,'LID_LIQUIDACIONES'!H118)=0),1,0)</f>
        <v/>
      </c>
      <c r="I118">
        <f>IF(AND('LID_LIQUIDACIONES'!I118&lt;&gt;"",COUNTIF(CL_CAT_ID_PAGOS_RET,'LID_LIQUIDACIONES'!I118)=0),1,0)</f>
        <v/>
      </c>
      <c r="J118">
        <f>IF(AND('LID_LIQUIDACIONES'!J118&lt;&gt;"",NOT(ISNUMBER('LID_LIQUIDACIONES'!J118))),1,0)</f>
        <v/>
      </c>
      <c r="K118">
        <f>IF(AND('LID_LIQUIDACIONES'!K118&lt;&gt;"",LEN('LID_LIQUIDACIONES'!K118)&gt;5),1,0)</f>
        <v/>
      </c>
      <c r="L118">
        <f>IF(AND('LID_LIQUIDACIONES'!L118&lt;&gt;"",IF(ISNUMBER('LID_LIQUIDACIONES'!L118),OR('LID_LIQUIDACIONES'!L118&lt;&gt;ROUND('LID_LIQUIDACIONES'!L118,0),LEN(TEXT(INT(ABS('LID_LIQUIDACIONES'!L118)),"0"))&gt;12),TRUE)),1,0)</f>
        <v/>
      </c>
      <c r="M118">
        <f>IF(AND('LID_LIQUIDACIONES'!M118&lt;&gt;"",COUNTIF(CL_CAT_MOTIVO_RET,'LID_LIQUIDACIONES'!M118)=0),1,0)</f>
        <v/>
      </c>
      <c r="N118">
        <f>IF(AND('LID_LIQUIDACIONES'!N118&lt;&gt;"",LEN('LID_LIQUIDACIONES'!N118)&gt;50),1,0)</f>
        <v/>
      </c>
      <c r="O118">
        <f>IF(AND('LID_LIQUIDACIONES'!O118&lt;&gt;"",COUNTIF(CL_CARACT_LIQ,'LID_LIQUIDACIONES'!O118)=0),1,0)</f>
        <v/>
      </c>
      <c r="P118">
        <f>IF(AND('LID_LIQUIDACIONES'!P118&lt;&gt;"",NOT(ISNUMBER('LID_LIQUIDACIONES'!P118))),1,0)</f>
        <v/>
      </c>
    </row>
    <row r="119">
      <c r="A119">
        <f>IF(AND('LID_LIQUIDACIONES'!A119&lt;&gt;"",NOT(ISNUMBER('LID_LIQUIDACIONES'!A119))),1,0)</f>
        <v/>
      </c>
      <c r="B119">
        <f>IF(AND('LID_LIQUIDACIONES'!B119&lt;&gt;"",LEN('LID_LIQUIDACIONES'!B119)&gt;5),1,0)</f>
        <v/>
      </c>
      <c r="C119">
        <f>IF(AND('LID_LIQUIDACIONES'!C119&lt;&gt;"",COUNTIF(CL_TIPO_VALOR,'LID_LIQUIDACIONES'!C119)=0),1,0)</f>
        <v/>
      </c>
      <c r="D119">
        <f>IF(AND('LID_LIQUIDACIONES'!D119&lt;&gt;"",COUNTIF(CL_TIPO_OBLIGACI_N,'LID_LIQUIDACIONES'!D119)=0),1,0)</f>
        <v/>
      </c>
      <c r="E119">
        <f>IF(AND('LID_LIQUIDACIONES'!E119&lt;&gt;"",IF(ISNUMBER('LID_LIQUIDACIONES'!E119),OR('LID_LIQUIDACIONES'!E119&lt;&gt;ROUND('LID_LIQUIDACIONES'!E119,0),LEN(TEXT(INT(ABS('LID_LIQUIDACIONES'!E119)),"0"))&gt;12),TRUE)),1,0)</f>
        <v/>
      </c>
      <c r="F119">
        <f>IF(AND('LID_LIQUIDACIONES'!F119&lt;&gt;"",OR(LEN('LID_LIQUIDACIONES'!F119)&gt;3,COUNTIF(CL_MONEDA,'LID_LIQUIDACIONES'!F119)=0)),1,0)</f>
        <v/>
      </c>
      <c r="G119">
        <f>IF(AND('LID_LIQUIDACIONES'!G119&lt;&gt;"",COUNTIF(CL_ID_PAGOS,'LID_LIQUIDACIONES'!G119)=0),1,0)</f>
        <v/>
      </c>
      <c r="H119">
        <f>IF(AND('LID_LIQUIDACIONES'!H119&lt;&gt;"",COUNTIF(CL_FLAG_HORARIO,'LID_LIQUIDACIONES'!H119)=0),1,0)</f>
        <v/>
      </c>
      <c r="I119">
        <f>IF(AND('LID_LIQUIDACIONES'!I119&lt;&gt;"",COUNTIF(CL_CAT_ID_PAGOS_RET,'LID_LIQUIDACIONES'!I119)=0),1,0)</f>
        <v/>
      </c>
      <c r="J119">
        <f>IF(AND('LID_LIQUIDACIONES'!J119&lt;&gt;"",NOT(ISNUMBER('LID_LIQUIDACIONES'!J119))),1,0)</f>
        <v/>
      </c>
      <c r="K119">
        <f>IF(AND('LID_LIQUIDACIONES'!K119&lt;&gt;"",LEN('LID_LIQUIDACIONES'!K119)&gt;5),1,0)</f>
        <v/>
      </c>
      <c r="L119">
        <f>IF(AND('LID_LIQUIDACIONES'!L119&lt;&gt;"",IF(ISNUMBER('LID_LIQUIDACIONES'!L119),OR('LID_LIQUIDACIONES'!L119&lt;&gt;ROUND('LID_LIQUIDACIONES'!L119,0),LEN(TEXT(INT(ABS('LID_LIQUIDACIONES'!L119)),"0"))&gt;12),TRUE)),1,0)</f>
        <v/>
      </c>
      <c r="M119">
        <f>IF(AND('LID_LIQUIDACIONES'!M119&lt;&gt;"",COUNTIF(CL_CAT_MOTIVO_RET,'LID_LIQUIDACIONES'!M119)=0),1,0)</f>
        <v/>
      </c>
      <c r="N119">
        <f>IF(AND('LID_LIQUIDACIONES'!N119&lt;&gt;"",LEN('LID_LIQUIDACIONES'!N119)&gt;50),1,0)</f>
        <v/>
      </c>
      <c r="O119">
        <f>IF(AND('LID_LIQUIDACIONES'!O119&lt;&gt;"",COUNTIF(CL_CARACT_LIQ,'LID_LIQUIDACIONES'!O119)=0),1,0)</f>
        <v/>
      </c>
      <c r="P119">
        <f>IF(AND('LID_LIQUIDACIONES'!P119&lt;&gt;"",NOT(ISNUMBER('LID_LIQUIDACIONES'!P119))),1,0)</f>
        <v/>
      </c>
    </row>
    <row r="120">
      <c r="A120">
        <f>IF(AND('LID_LIQUIDACIONES'!A120&lt;&gt;"",NOT(ISNUMBER('LID_LIQUIDACIONES'!A120))),1,0)</f>
        <v/>
      </c>
      <c r="B120">
        <f>IF(AND('LID_LIQUIDACIONES'!B120&lt;&gt;"",LEN('LID_LIQUIDACIONES'!B120)&gt;5),1,0)</f>
        <v/>
      </c>
      <c r="C120">
        <f>IF(AND('LID_LIQUIDACIONES'!C120&lt;&gt;"",COUNTIF(CL_TIPO_VALOR,'LID_LIQUIDACIONES'!C120)=0),1,0)</f>
        <v/>
      </c>
      <c r="D120">
        <f>IF(AND('LID_LIQUIDACIONES'!D120&lt;&gt;"",COUNTIF(CL_TIPO_OBLIGACI_N,'LID_LIQUIDACIONES'!D120)=0),1,0)</f>
        <v/>
      </c>
      <c r="E120">
        <f>IF(AND('LID_LIQUIDACIONES'!E120&lt;&gt;"",IF(ISNUMBER('LID_LIQUIDACIONES'!E120),OR('LID_LIQUIDACIONES'!E120&lt;&gt;ROUND('LID_LIQUIDACIONES'!E120,0),LEN(TEXT(INT(ABS('LID_LIQUIDACIONES'!E120)),"0"))&gt;12),TRUE)),1,0)</f>
        <v/>
      </c>
      <c r="F120">
        <f>IF(AND('LID_LIQUIDACIONES'!F120&lt;&gt;"",OR(LEN('LID_LIQUIDACIONES'!F120)&gt;3,COUNTIF(CL_MONEDA,'LID_LIQUIDACIONES'!F120)=0)),1,0)</f>
        <v/>
      </c>
      <c r="G120">
        <f>IF(AND('LID_LIQUIDACIONES'!G120&lt;&gt;"",COUNTIF(CL_ID_PAGOS,'LID_LIQUIDACIONES'!G120)=0),1,0)</f>
        <v/>
      </c>
      <c r="H120">
        <f>IF(AND('LID_LIQUIDACIONES'!H120&lt;&gt;"",COUNTIF(CL_FLAG_HORARIO,'LID_LIQUIDACIONES'!H120)=0),1,0)</f>
        <v/>
      </c>
      <c r="I120">
        <f>IF(AND('LID_LIQUIDACIONES'!I120&lt;&gt;"",COUNTIF(CL_CAT_ID_PAGOS_RET,'LID_LIQUIDACIONES'!I120)=0),1,0)</f>
        <v/>
      </c>
      <c r="J120">
        <f>IF(AND('LID_LIQUIDACIONES'!J120&lt;&gt;"",NOT(ISNUMBER('LID_LIQUIDACIONES'!J120))),1,0)</f>
        <v/>
      </c>
      <c r="K120">
        <f>IF(AND('LID_LIQUIDACIONES'!K120&lt;&gt;"",LEN('LID_LIQUIDACIONES'!K120)&gt;5),1,0)</f>
        <v/>
      </c>
      <c r="L120">
        <f>IF(AND('LID_LIQUIDACIONES'!L120&lt;&gt;"",IF(ISNUMBER('LID_LIQUIDACIONES'!L120),OR('LID_LIQUIDACIONES'!L120&lt;&gt;ROUND('LID_LIQUIDACIONES'!L120,0),LEN(TEXT(INT(ABS('LID_LIQUIDACIONES'!L120)),"0"))&gt;12),TRUE)),1,0)</f>
        <v/>
      </c>
      <c r="M120">
        <f>IF(AND('LID_LIQUIDACIONES'!M120&lt;&gt;"",COUNTIF(CL_CAT_MOTIVO_RET,'LID_LIQUIDACIONES'!M120)=0),1,0)</f>
        <v/>
      </c>
      <c r="N120">
        <f>IF(AND('LID_LIQUIDACIONES'!N120&lt;&gt;"",LEN('LID_LIQUIDACIONES'!N120)&gt;50),1,0)</f>
        <v/>
      </c>
      <c r="O120">
        <f>IF(AND('LID_LIQUIDACIONES'!O120&lt;&gt;"",COUNTIF(CL_CARACT_LIQ,'LID_LIQUIDACIONES'!O120)=0),1,0)</f>
        <v/>
      </c>
      <c r="P120">
        <f>IF(AND('LID_LIQUIDACIONES'!P120&lt;&gt;"",NOT(ISNUMBER('LID_LIQUIDACIONES'!P120))),1,0)</f>
        <v/>
      </c>
    </row>
    <row r="121">
      <c r="A121">
        <f>IF(AND('LID_LIQUIDACIONES'!A121&lt;&gt;"",NOT(ISNUMBER('LID_LIQUIDACIONES'!A121))),1,0)</f>
        <v/>
      </c>
      <c r="B121">
        <f>IF(AND('LID_LIQUIDACIONES'!B121&lt;&gt;"",LEN('LID_LIQUIDACIONES'!B121)&gt;5),1,0)</f>
        <v/>
      </c>
      <c r="C121">
        <f>IF(AND('LID_LIQUIDACIONES'!C121&lt;&gt;"",COUNTIF(CL_TIPO_VALOR,'LID_LIQUIDACIONES'!C121)=0),1,0)</f>
        <v/>
      </c>
      <c r="D121">
        <f>IF(AND('LID_LIQUIDACIONES'!D121&lt;&gt;"",COUNTIF(CL_TIPO_OBLIGACI_N,'LID_LIQUIDACIONES'!D121)=0),1,0)</f>
        <v/>
      </c>
      <c r="E121">
        <f>IF(AND('LID_LIQUIDACIONES'!E121&lt;&gt;"",IF(ISNUMBER('LID_LIQUIDACIONES'!E121),OR('LID_LIQUIDACIONES'!E121&lt;&gt;ROUND('LID_LIQUIDACIONES'!E121,0),LEN(TEXT(INT(ABS('LID_LIQUIDACIONES'!E121)),"0"))&gt;12),TRUE)),1,0)</f>
        <v/>
      </c>
      <c r="F121">
        <f>IF(AND('LID_LIQUIDACIONES'!F121&lt;&gt;"",OR(LEN('LID_LIQUIDACIONES'!F121)&gt;3,COUNTIF(CL_MONEDA,'LID_LIQUIDACIONES'!F121)=0)),1,0)</f>
        <v/>
      </c>
      <c r="G121">
        <f>IF(AND('LID_LIQUIDACIONES'!G121&lt;&gt;"",COUNTIF(CL_ID_PAGOS,'LID_LIQUIDACIONES'!G121)=0),1,0)</f>
        <v/>
      </c>
      <c r="H121">
        <f>IF(AND('LID_LIQUIDACIONES'!H121&lt;&gt;"",COUNTIF(CL_FLAG_HORARIO,'LID_LIQUIDACIONES'!H121)=0),1,0)</f>
        <v/>
      </c>
      <c r="I121">
        <f>IF(AND('LID_LIQUIDACIONES'!I121&lt;&gt;"",COUNTIF(CL_CAT_ID_PAGOS_RET,'LID_LIQUIDACIONES'!I121)=0),1,0)</f>
        <v/>
      </c>
      <c r="J121">
        <f>IF(AND('LID_LIQUIDACIONES'!J121&lt;&gt;"",NOT(ISNUMBER('LID_LIQUIDACIONES'!J121))),1,0)</f>
        <v/>
      </c>
      <c r="K121">
        <f>IF(AND('LID_LIQUIDACIONES'!K121&lt;&gt;"",LEN('LID_LIQUIDACIONES'!K121)&gt;5),1,0)</f>
        <v/>
      </c>
      <c r="L121">
        <f>IF(AND('LID_LIQUIDACIONES'!L121&lt;&gt;"",IF(ISNUMBER('LID_LIQUIDACIONES'!L121),OR('LID_LIQUIDACIONES'!L121&lt;&gt;ROUND('LID_LIQUIDACIONES'!L121,0),LEN(TEXT(INT(ABS('LID_LIQUIDACIONES'!L121)),"0"))&gt;12),TRUE)),1,0)</f>
        <v/>
      </c>
      <c r="M121">
        <f>IF(AND('LID_LIQUIDACIONES'!M121&lt;&gt;"",COUNTIF(CL_CAT_MOTIVO_RET,'LID_LIQUIDACIONES'!M121)=0),1,0)</f>
        <v/>
      </c>
      <c r="N121">
        <f>IF(AND('LID_LIQUIDACIONES'!N121&lt;&gt;"",LEN('LID_LIQUIDACIONES'!N121)&gt;50),1,0)</f>
        <v/>
      </c>
      <c r="O121">
        <f>IF(AND('LID_LIQUIDACIONES'!O121&lt;&gt;"",COUNTIF(CL_CARACT_LIQ,'LID_LIQUIDACIONES'!O121)=0),1,0)</f>
        <v/>
      </c>
      <c r="P121">
        <f>IF(AND('LID_LIQUIDACIONES'!P121&lt;&gt;"",NOT(ISNUMBER('LID_LIQUIDACIONES'!P121))),1,0)</f>
        <v/>
      </c>
    </row>
    <row r="122">
      <c r="A122">
        <f>IF(AND('LID_LIQUIDACIONES'!A122&lt;&gt;"",NOT(ISNUMBER('LID_LIQUIDACIONES'!A122))),1,0)</f>
        <v/>
      </c>
      <c r="B122">
        <f>IF(AND('LID_LIQUIDACIONES'!B122&lt;&gt;"",LEN('LID_LIQUIDACIONES'!B122)&gt;5),1,0)</f>
        <v/>
      </c>
      <c r="C122">
        <f>IF(AND('LID_LIQUIDACIONES'!C122&lt;&gt;"",COUNTIF(CL_TIPO_VALOR,'LID_LIQUIDACIONES'!C122)=0),1,0)</f>
        <v/>
      </c>
      <c r="D122">
        <f>IF(AND('LID_LIQUIDACIONES'!D122&lt;&gt;"",COUNTIF(CL_TIPO_OBLIGACI_N,'LID_LIQUIDACIONES'!D122)=0),1,0)</f>
        <v/>
      </c>
      <c r="E122">
        <f>IF(AND('LID_LIQUIDACIONES'!E122&lt;&gt;"",IF(ISNUMBER('LID_LIQUIDACIONES'!E122),OR('LID_LIQUIDACIONES'!E122&lt;&gt;ROUND('LID_LIQUIDACIONES'!E122,0),LEN(TEXT(INT(ABS('LID_LIQUIDACIONES'!E122)),"0"))&gt;12),TRUE)),1,0)</f>
        <v/>
      </c>
      <c r="F122">
        <f>IF(AND('LID_LIQUIDACIONES'!F122&lt;&gt;"",OR(LEN('LID_LIQUIDACIONES'!F122)&gt;3,COUNTIF(CL_MONEDA,'LID_LIQUIDACIONES'!F122)=0)),1,0)</f>
        <v/>
      </c>
      <c r="G122">
        <f>IF(AND('LID_LIQUIDACIONES'!G122&lt;&gt;"",COUNTIF(CL_ID_PAGOS,'LID_LIQUIDACIONES'!G122)=0),1,0)</f>
        <v/>
      </c>
      <c r="H122">
        <f>IF(AND('LID_LIQUIDACIONES'!H122&lt;&gt;"",COUNTIF(CL_FLAG_HORARIO,'LID_LIQUIDACIONES'!H122)=0),1,0)</f>
        <v/>
      </c>
      <c r="I122">
        <f>IF(AND('LID_LIQUIDACIONES'!I122&lt;&gt;"",COUNTIF(CL_CAT_ID_PAGOS_RET,'LID_LIQUIDACIONES'!I122)=0),1,0)</f>
        <v/>
      </c>
      <c r="J122">
        <f>IF(AND('LID_LIQUIDACIONES'!J122&lt;&gt;"",NOT(ISNUMBER('LID_LIQUIDACIONES'!J122))),1,0)</f>
        <v/>
      </c>
      <c r="K122">
        <f>IF(AND('LID_LIQUIDACIONES'!K122&lt;&gt;"",LEN('LID_LIQUIDACIONES'!K122)&gt;5),1,0)</f>
        <v/>
      </c>
      <c r="L122">
        <f>IF(AND('LID_LIQUIDACIONES'!L122&lt;&gt;"",IF(ISNUMBER('LID_LIQUIDACIONES'!L122),OR('LID_LIQUIDACIONES'!L122&lt;&gt;ROUND('LID_LIQUIDACIONES'!L122,0),LEN(TEXT(INT(ABS('LID_LIQUIDACIONES'!L122)),"0"))&gt;12),TRUE)),1,0)</f>
        <v/>
      </c>
      <c r="M122">
        <f>IF(AND('LID_LIQUIDACIONES'!M122&lt;&gt;"",COUNTIF(CL_CAT_MOTIVO_RET,'LID_LIQUIDACIONES'!M122)=0),1,0)</f>
        <v/>
      </c>
      <c r="N122">
        <f>IF(AND('LID_LIQUIDACIONES'!N122&lt;&gt;"",LEN('LID_LIQUIDACIONES'!N122)&gt;50),1,0)</f>
        <v/>
      </c>
      <c r="O122">
        <f>IF(AND('LID_LIQUIDACIONES'!O122&lt;&gt;"",COUNTIF(CL_CARACT_LIQ,'LID_LIQUIDACIONES'!O122)=0),1,0)</f>
        <v/>
      </c>
      <c r="P122">
        <f>IF(AND('LID_LIQUIDACIONES'!P122&lt;&gt;"",NOT(ISNUMBER('LID_LIQUIDACIONES'!P122))),1,0)</f>
        <v/>
      </c>
    </row>
    <row r="123">
      <c r="A123">
        <f>IF(AND('LID_LIQUIDACIONES'!A123&lt;&gt;"",NOT(ISNUMBER('LID_LIQUIDACIONES'!A123))),1,0)</f>
        <v/>
      </c>
      <c r="B123">
        <f>IF(AND('LID_LIQUIDACIONES'!B123&lt;&gt;"",LEN('LID_LIQUIDACIONES'!B123)&gt;5),1,0)</f>
        <v/>
      </c>
      <c r="C123">
        <f>IF(AND('LID_LIQUIDACIONES'!C123&lt;&gt;"",COUNTIF(CL_TIPO_VALOR,'LID_LIQUIDACIONES'!C123)=0),1,0)</f>
        <v/>
      </c>
      <c r="D123">
        <f>IF(AND('LID_LIQUIDACIONES'!D123&lt;&gt;"",COUNTIF(CL_TIPO_OBLIGACI_N,'LID_LIQUIDACIONES'!D123)=0),1,0)</f>
        <v/>
      </c>
      <c r="E123">
        <f>IF(AND('LID_LIQUIDACIONES'!E123&lt;&gt;"",IF(ISNUMBER('LID_LIQUIDACIONES'!E123),OR('LID_LIQUIDACIONES'!E123&lt;&gt;ROUND('LID_LIQUIDACIONES'!E123,0),LEN(TEXT(INT(ABS('LID_LIQUIDACIONES'!E123)),"0"))&gt;12),TRUE)),1,0)</f>
        <v/>
      </c>
      <c r="F123">
        <f>IF(AND('LID_LIQUIDACIONES'!F123&lt;&gt;"",OR(LEN('LID_LIQUIDACIONES'!F123)&gt;3,COUNTIF(CL_MONEDA,'LID_LIQUIDACIONES'!F123)=0)),1,0)</f>
        <v/>
      </c>
      <c r="G123">
        <f>IF(AND('LID_LIQUIDACIONES'!G123&lt;&gt;"",COUNTIF(CL_ID_PAGOS,'LID_LIQUIDACIONES'!G123)=0),1,0)</f>
        <v/>
      </c>
      <c r="H123">
        <f>IF(AND('LID_LIQUIDACIONES'!H123&lt;&gt;"",COUNTIF(CL_FLAG_HORARIO,'LID_LIQUIDACIONES'!H123)=0),1,0)</f>
        <v/>
      </c>
      <c r="I123">
        <f>IF(AND('LID_LIQUIDACIONES'!I123&lt;&gt;"",COUNTIF(CL_CAT_ID_PAGOS_RET,'LID_LIQUIDACIONES'!I123)=0),1,0)</f>
        <v/>
      </c>
      <c r="J123">
        <f>IF(AND('LID_LIQUIDACIONES'!J123&lt;&gt;"",NOT(ISNUMBER('LID_LIQUIDACIONES'!J123))),1,0)</f>
        <v/>
      </c>
      <c r="K123">
        <f>IF(AND('LID_LIQUIDACIONES'!K123&lt;&gt;"",LEN('LID_LIQUIDACIONES'!K123)&gt;5),1,0)</f>
        <v/>
      </c>
      <c r="L123">
        <f>IF(AND('LID_LIQUIDACIONES'!L123&lt;&gt;"",IF(ISNUMBER('LID_LIQUIDACIONES'!L123),OR('LID_LIQUIDACIONES'!L123&lt;&gt;ROUND('LID_LIQUIDACIONES'!L123,0),LEN(TEXT(INT(ABS('LID_LIQUIDACIONES'!L123)),"0"))&gt;12),TRUE)),1,0)</f>
        <v/>
      </c>
      <c r="M123">
        <f>IF(AND('LID_LIQUIDACIONES'!M123&lt;&gt;"",COUNTIF(CL_CAT_MOTIVO_RET,'LID_LIQUIDACIONES'!M123)=0),1,0)</f>
        <v/>
      </c>
      <c r="N123">
        <f>IF(AND('LID_LIQUIDACIONES'!N123&lt;&gt;"",LEN('LID_LIQUIDACIONES'!N123)&gt;50),1,0)</f>
        <v/>
      </c>
      <c r="O123">
        <f>IF(AND('LID_LIQUIDACIONES'!O123&lt;&gt;"",COUNTIF(CL_CARACT_LIQ,'LID_LIQUIDACIONES'!O123)=0),1,0)</f>
        <v/>
      </c>
      <c r="P123">
        <f>IF(AND('LID_LIQUIDACIONES'!P123&lt;&gt;"",NOT(ISNUMBER('LID_LIQUIDACIONES'!P123))),1,0)</f>
        <v/>
      </c>
    </row>
    <row r="124">
      <c r="A124">
        <f>IF(AND('LID_LIQUIDACIONES'!A124&lt;&gt;"",NOT(ISNUMBER('LID_LIQUIDACIONES'!A124))),1,0)</f>
        <v/>
      </c>
      <c r="B124">
        <f>IF(AND('LID_LIQUIDACIONES'!B124&lt;&gt;"",LEN('LID_LIQUIDACIONES'!B124)&gt;5),1,0)</f>
        <v/>
      </c>
      <c r="C124">
        <f>IF(AND('LID_LIQUIDACIONES'!C124&lt;&gt;"",COUNTIF(CL_TIPO_VALOR,'LID_LIQUIDACIONES'!C124)=0),1,0)</f>
        <v/>
      </c>
      <c r="D124">
        <f>IF(AND('LID_LIQUIDACIONES'!D124&lt;&gt;"",COUNTIF(CL_TIPO_OBLIGACI_N,'LID_LIQUIDACIONES'!D124)=0),1,0)</f>
        <v/>
      </c>
      <c r="E124">
        <f>IF(AND('LID_LIQUIDACIONES'!E124&lt;&gt;"",IF(ISNUMBER('LID_LIQUIDACIONES'!E124),OR('LID_LIQUIDACIONES'!E124&lt;&gt;ROUND('LID_LIQUIDACIONES'!E124,0),LEN(TEXT(INT(ABS('LID_LIQUIDACIONES'!E124)),"0"))&gt;12),TRUE)),1,0)</f>
        <v/>
      </c>
      <c r="F124">
        <f>IF(AND('LID_LIQUIDACIONES'!F124&lt;&gt;"",OR(LEN('LID_LIQUIDACIONES'!F124)&gt;3,COUNTIF(CL_MONEDA,'LID_LIQUIDACIONES'!F124)=0)),1,0)</f>
        <v/>
      </c>
      <c r="G124">
        <f>IF(AND('LID_LIQUIDACIONES'!G124&lt;&gt;"",COUNTIF(CL_ID_PAGOS,'LID_LIQUIDACIONES'!G124)=0),1,0)</f>
        <v/>
      </c>
      <c r="H124">
        <f>IF(AND('LID_LIQUIDACIONES'!H124&lt;&gt;"",COUNTIF(CL_FLAG_HORARIO,'LID_LIQUIDACIONES'!H124)=0),1,0)</f>
        <v/>
      </c>
      <c r="I124">
        <f>IF(AND('LID_LIQUIDACIONES'!I124&lt;&gt;"",COUNTIF(CL_CAT_ID_PAGOS_RET,'LID_LIQUIDACIONES'!I124)=0),1,0)</f>
        <v/>
      </c>
      <c r="J124">
        <f>IF(AND('LID_LIQUIDACIONES'!J124&lt;&gt;"",NOT(ISNUMBER('LID_LIQUIDACIONES'!J124))),1,0)</f>
        <v/>
      </c>
      <c r="K124">
        <f>IF(AND('LID_LIQUIDACIONES'!K124&lt;&gt;"",LEN('LID_LIQUIDACIONES'!K124)&gt;5),1,0)</f>
        <v/>
      </c>
      <c r="L124">
        <f>IF(AND('LID_LIQUIDACIONES'!L124&lt;&gt;"",IF(ISNUMBER('LID_LIQUIDACIONES'!L124),OR('LID_LIQUIDACIONES'!L124&lt;&gt;ROUND('LID_LIQUIDACIONES'!L124,0),LEN(TEXT(INT(ABS('LID_LIQUIDACIONES'!L124)),"0"))&gt;12),TRUE)),1,0)</f>
        <v/>
      </c>
      <c r="M124">
        <f>IF(AND('LID_LIQUIDACIONES'!M124&lt;&gt;"",COUNTIF(CL_CAT_MOTIVO_RET,'LID_LIQUIDACIONES'!M124)=0),1,0)</f>
        <v/>
      </c>
      <c r="N124">
        <f>IF(AND('LID_LIQUIDACIONES'!N124&lt;&gt;"",LEN('LID_LIQUIDACIONES'!N124)&gt;50),1,0)</f>
        <v/>
      </c>
      <c r="O124">
        <f>IF(AND('LID_LIQUIDACIONES'!O124&lt;&gt;"",COUNTIF(CL_CARACT_LIQ,'LID_LIQUIDACIONES'!O124)=0),1,0)</f>
        <v/>
      </c>
      <c r="P124">
        <f>IF(AND('LID_LIQUIDACIONES'!P124&lt;&gt;"",NOT(ISNUMBER('LID_LIQUIDACIONES'!P124))),1,0)</f>
        <v/>
      </c>
    </row>
    <row r="125">
      <c r="A125">
        <f>IF(AND('LID_LIQUIDACIONES'!A125&lt;&gt;"",NOT(ISNUMBER('LID_LIQUIDACIONES'!A125))),1,0)</f>
        <v/>
      </c>
      <c r="B125">
        <f>IF(AND('LID_LIQUIDACIONES'!B125&lt;&gt;"",LEN('LID_LIQUIDACIONES'!B125)&gt;5),1,0)</f>
        <v/>
      </c>
      <c r="C125">
        <f>IF(AND('LID_LIQUIDACIONES'!C125&lt;&gt;"",COUNTIF(CL_TIPO_VALOR,'LID_LIQUIDACIONES'!C125)=0),1,0)</f>
        <v/>
      </c>
      <c r="D125">
        <f>IF(AND('LID_LIQUIDACIONES'!D125&lt;&gt;"",COUNTIF(CL_TIPO_OBLIGACI_N,'LID_LIQUIDACIONES'!D125)=0),1,0)</f>
        <v/>
      </c>
      <c r="E125">
        <f>IF(AND('LID_LIQUIDACIONES'!E125&lt;&gt;"",IF(ISNUMBER('LID_LIQUIDACIONES'!E125),OR('LID_LIQUIDACIONES'!E125&lt;&gt;ROUND('LID_LIQUIDACIONES'!E125,0),LEN(TEXT(INT(ABS('LID_LIQUIDACIONES'!E125)),"0"))&gt;12),TRUE)),1,0)</f>
        <v/>
      </c>
      <c r="F125">
        <f>IF(AND('LID_LIQUIDACIONES'!F125&lt;&gt;"",OR(LEN('LID_LIQUIDACIONES'!F125)&gt;3,COUNTIF(CL_MONEDA,'LID_LIQUIDACIONES'!F125)=0)),1,0)</f>
        <v/>
      </c>
      <c r="G125">
        <f>IF(AND('LID_LIQUIDACIONES'!G125&lt;&gt;"",COUNTIF(CL_ID_PAGOS,'LID_LIQUIDACIONES'!G125)=0),1,0)</f>
        <v/>
      </c>
      <c r="H125">
        <f>IF(AND('LID_LIQUIDACIONES'!H125&lt;&gt;"",COUNTIF(CL_FLAG_HORARIO,'LID_LIQUIDACIONES'!H125)=0),1,0)</f>
        <v/>
      </c>
      <c r="I125">
        <f>IF(AND('LID_LIQUIDACIONES'!I125&lt;&gt;"",COUNTIF(CL_CAT_ID_PAGOS_RET,'LID_LIQUIDACIONES'!I125)=0),1,0)</f>
        <v/>
      </c>
      <c r="J125">
        <f>IF(AND('LID_LIQUIDACIONES'!J125&lt;&gt;"",NOT(ISNUMBER('LID_LIQUIDACIONES'!J125))),1,0)</f>
        <v/>
      </c>
      <c r="K125">
        <f>IF(AND('LID_LIQUIDACIONES'!K125&lt;&gt;"",LEN('LID_LIQUIDACIONES'!K125)&gt;5),1,0)</f>
        <v/>
      </c>
      <c r="L125">
        <f>IF(AND('LID_LIQUIDACIONES'!L125&lt;&gt;"",IF(ISNUMBER('LID_LIQUIDACIONES'!L125),OR('LID_LIQUIDACIONES'!L125&lt;&gt;ROUND('LID_LIQUIDACIONES'!L125,0),LEN(TEXT(INT(ABS('LID_LIQUIDACIONES'!L125)),"0"))&gt;12),TRUE)),1,0)</f>
        <v/>
      </c>
      <c r="M125">
        <f>IF(AND('LID_LIQUIDACIONES'!M125&lt;&gt;"",COUNTIF(CL_CAT_MOTIVO_RET,'LID_LIQUIDACIONES'!M125)=0),1,0)</f>
        <v/>
      </c>
      <c r="N125">
        <f>IF(AND('LID_LIQUIDACIONES'!N125&lt;&gt;"",LEN('LID_LIQUIDACIONES'!N125)&gt;50),1,0)</f>
        <v/>
      </c>
      <c r="O125">
        <f>IF(AND('LID_LIQUIDACIONES'!O125&lt;&gt;"",COUNTIF(CL_CARACT_LIQ,'LID_LIQUIDACIONES'!O125)=0),1,0)</f>
        <v/>
      </c>
      <c r="P125">
        <f>IF(AND('LID_LIQUIDACIONES'!P125&lt;&gt;"",NOT(ISNUMBER('LID_LIQUIDACIONES'!P125))),1,0)</f>
        <v/>
      </c>
    </row>
    <row r="126">
      <c r="A126">
        <f>IF(AND('LID_LIQUIDACIONES'!A126&lt;&gt;"",NOT(ISNUMBER('LID_LIQUIDACIONES'!A126))),1,0)</f>
        <v/>
      </c>
      <c r="B126">
        <f>IF(AND('LID_LIQUIDACIONES'!B126&lt;&gt;"",LEN('LID_LIQUIDACIONES'!B126)&gt;5),1,0)</f>
        <v/>
      </c>
      <c r="C126">
        <f>IF(AND('LID_LIQUIDACIONES'!C126&lt;&gt;"",COUNTIF(CL_TIPO_VALOR,'LID_LIQUIDACIONES'!C126)=0),1,0)</f>
        <v/>
      </c>
      <c r="D126">
        <f>IF(AND('LID_LIQUIDACIONES'!D126&lt;&gt;"",COUNTIF(CL_TIPO_OBLIGACI_N,'LID_LIQUIDACIONES'!D126)=0),1,0)</f>
        <v/>
      </c>
      <c r="E126">
        <f>IF(AND('LID_LIQUIDACIONES'!E126&lt;&gt;"",IF(ISNUMBER('LID_LIQUIDACIONES'!E126),OR('LID_LIQUIDACIONES'!E126&lt;&gt;ROUND('LID_LIQUIDACIONES'!E126,0),LEN(TEXT(INT(ABS('LID_LIQUIDACIONES'!E126)),"0"))&gt;12),TRUE)),1,0)</f>
        <v/>
      </c>
      <c r="F126">
        <f>IF(AND('LID_LIQUIDACIONES'!F126&lt;&gt;"",OR(LEN('LID_LIQUIDACIONES'!F126)&gt;3,COUNTIF(CL_MONEDA,'LID_LIQUIDACIONES'!F126)=0)),1,0)</f>
        <v/>
      </c>
      <c r="G126">
        <f>IF(AND('LID_LIQUIDACIONES'!G126&lt;&gt;"",COUNTIF(CL_ID_PAGOS,'LID_LIQUIDACIONES'!G126)=0),1,0)</f>
        <v/>
      </c>
      <c r="H126">
        <f>IF(AND('LID_LIQUIDACIONES'!H126&lt;&gt;"",COUNTIF(CL_FLAG_HORARIO,'LID_LIQUIDACIONES'!H126)=0),1,0)</f>
        <v/>
      </c>
      <c r="I126">
        <f>IF(AND('LID_LIQUIDACIONES'!I126&lt;&gt;"",COUNTIF(CL_CAT_ID_PAGOS_RET,'LID_LIQUIDACIONES'!I126)=0),1,0)</f>
        <v/>
      </c>
      <c r="J126">
        <f>IF(AND('LID_LIQUIDACIONES'!J126&lt;&gt;"",NOT(ISNUMBER('LID_LIQUIDACIONES'!J126))),1,0)</f>
        <v/>
      </c>
      <c r="K126">
        <f>IF(AND('LID_LIQUIDACIONES'!K126&lt;&gt;"",LEN('LID_LIQUIDACIONES'!K126)&gt;5),1,0)</f>
        <v/>
      </c>
      <c r="L126">
        <f>IF(AND('LID_LIQUIDACIONES'!L126&lt;&gt;"",IF(ISNUMBER('LID_LIQUIDACIONES'!L126),OR('LID_LIQUIDACIONES'!L126&lt;&gt;ROUND('LID_LIQUIDACIONES'!L126,0),LEN(TEXT(INT(ABS('LID_LIQUIDACIONES'!L126)),"0"))&gt;12),TRUE)),1,0)</f>
        <v/>
      </c>
      <c r="M126">
        <f>IF(AND('LID_LIQUIDACIONES'!M126&lt;&gt;"",COUNTIF(CL_CAT_MOTIVO_RET,'LID_LIQUIDACIONES'!M126)=0),1,0)</f>
        <v/>
      </c>
      <c r="N126">
        <f>IF(AND('LID_LIQUIDACIONES'!N126&lt;&gt;"",LEN('LID_LIQUIDACIONES'!N126)&gt;50),1,0)</f>
        <v/>
      </c>
      <c r="O126">
        <f>IF(AND('LID_LIQUIDACIONES'!O126&lt;&gt;"",COUNTIF(CL_CARACT_LIQ,'LID_LIQUIDACIONES'!O126)=0),1,0)</f>
        <v/>
      </c>
      <c r="P126">
        <f>IF(AND('LID_LIQUIDACIONES'!P126&lt;&gt;"",NOT(ISNUMBER('LID_LIQUIDACIONES'!P126))),1,0)</f>
        <v/>
      </c>
    </row>
    <row r="127">
      <c r="A127">
        <f>IF(AND('LID_LIQUIDACIONES'!A127&lt;&gt;"",NOT(ISNUMBER('LID_LIQUIDACIONES'!A127))),1,0)</f>
        <v/>
      </c>
      <c r="B127">
        <f>IF(AND('LID_LIQUIDACIONES'!B127&lt;&gt;"",LEN('LID_LIQUIDACIONES'!B127)&gt;5),1,0)</f>
        <v/>
      </c>
      <c r="C127">
        <f>IF(AND('LID_LIQUIDACIONES'!C127&lt;&gt;"",COUNTIF(CL_TIPO_VALOR,'LID_LIQUIDACIONES'!C127)=0),1,0)</f>
        <v/>
      </c>
      <c r="D127">
        <f>IF(AND('LID_LIQUIDACIONES'!D127&lt;&gt;"",COUNTIF(CL_TIPO_OBLIGACI_N,'LID_LIQUIDACIONES'!D127)=0),1,0)</f>
        <v/>
      </c>
      <c r="E127">
        <f>IF(AND('LID_LIQUIDACIONES'!E127&lt;&gt;"",IF(ISNUMBER('LID_LIQUIDACIONES'!E127),OR('LID_LIQUIDACIONES'!E127&lt;&gt;ROUND('LID_LIQUIDACIONES'!E127,0),LEN(TEXT(INT(ABS('LID_LIQUIDACIONES'!E127)),"0"))&gt;12),TRUE)),1,0)</f>
        <v/>
      </c>
      <c r="F127">
        <f>IF(AND('LID_LIQUIDACIONES'!F127&lt;&gt;"",OR(LEN('LID_LIQUIDACIONES'!F127)&gt;3,COUNTIF(CL_MONEDA,'LID_LIQUIDACIONES'!F127)=0)),1,0)</f>
        <v/>
      </c>
      <c r="G127">
        <f>IF(AND('LID_LIQUIDACIONES'!G127&lt;&gt;"",COUNTIF(CL_ID_PAGOS,'LID_LIQUIDACIONES'!G127)=0),1,0)</f>
        <v/>
      </c>
      <c r="H127">
        <f>IF(AND('LID_LIQUIDACIONES'!H127&lt;&gt;"",COUNTIF(CL_FLAG_HORARIO,'LID_LIQUIDACIONES'!H127)=0),1,0)</f>
        <v/>
      </c>
      <c r="I127">
        <f>IF(AND('LID_LIQUIDACIONES'!I127&lt;&gt;"",COUNTIF(CL_CAT_ID_PAGOS_RET,'LID_LIQUIDACIONES'!I127)=0),1,0)</f>
        <v/>
      </c>
      <c r="J127">
        <f>IF(AND('LID_LIQUIDACIONES'!J127&lt;&gt;"",NOT(ISNUMBER('LID_LIQUIDACIONES'!J127))),1,0)</f>
        <v/>
      </c>
      <c r="K127">
        <f>IF(AND('LID_LIQUIDACIONES'!K127&lt;&gt;"",LEN('LID_LIQUIDACIONES'!K127)&gt;5),1,0)</f>
        <v/>
      </c>
      <c r="L127">
        <f>IF(AND('LID_LIQUIDACIONES'!L127&lt;&gt;"",IF(ISNUMBER('LID_LIQUIDACIONES'!L127),OR('LID_LIQUIDACIONES'!L127&lt;&gt;ROUND('LID_LIQUIDACIONES'!L127,0),LEN(TEXT(INT(ABS('LID_LIQUIDACIONES'!L127)),"0"))&gt;12),TRUE)),1,0)</f>
        <v/>
      </c>
      <c r="M127">
        <f>IF(AND('LID_LIQUIDACIONES'!M127&lt;&gt;"",COUNTIF(CL_CAT_MOTIVO_RET,'LID_LIQUIDACIONES'!M127)=0),1,0)</f>
        <v/>
      </c>
      <c r="N127">
        <f>IF(AND('LID_LIQUIDACIONES'!N127&lt;&gt;"",LEN('LID_LIQUIDACIONES'!N127)&gt;50),1,0)</f>
        <v/>
      </c>
      <c r="O127">
        <f>IF(AND('LID_LIQUIDACIONES'!O127&lt;&gt;"",COUNTIF(CL_CARACT_LIQ,'LID_LIQUIDACIONES'!O127)=0),1,0)</f>
        <v/>
      </c>
      <c r="P127">
        <f>IF(AND('LID_LIQUIDACIONES'!P127&lt;&gt;"",NOT(ISNUMBER('LID_LIQUIDACIONES'!P127))),1,0)</f>
        <v/>
      </c>
    </row>
    <row r="128">
      <c r="A128">
        <f>IF(AND('LID_LIQUIDACIONES'!A128&lt;&gt;"",NOT(ISNUMBER('LID_LIQUIDACIONES'!A128))),1,0)</f>
        <v/>
      </c>
      <c r="B128">
        <f>IF(AND('LID_LIQUIDACIONES'!B128&lt;&gt;"",LEN('LID_LIQUIDACIONES'!B128)&gt;5),1,0)</f>
        <v/>
      </c>
      <c r="C128">
        <f>IF(AND('LID_LIQUIDACIONES'!C128&lt;&gt;"",COUNTIF(CL_TIPO_VALOR,'LID_LIQUIDACIONES'!C128)=0),1,0)</f>
        <v/>
      </c>
      <c r="D128">
        <f>IF(AND('LID_LIQUIDACIONES'!D128&lt;&gt;"",COUNTIF(CL_TIPO_OBLIGACI_N,'LID_LIQUIDACIONES'!D128)=0),1,0)</f>
        <v/>
      </c>
      <c r="E128">
        <f>IF(AND('LID_LIQUIDACIONES'!E128&lt;&gt;"",IF(ISNUMBER('LID_LIQUIDACIONES'!E128),OR('LID_LIQUIDACIONES'!E128&lt;&gt;ROUND('LID_LIQUIDACIONES'!E128,0),LEN(TEXT(INT(ABS('LID_LIQUIDACIONES'!E128)),"0"))&gt;12),TRUE)),1,0)</f>
        <v/>
      </c>
      <c r="F128">
        <f>IF(AND('LID_LIQUIDACIONES'!F128&lt;&gt;"",OR(LEN('LID_LIQUIDACIONES'!F128)&gt;3,COUNTIF(CL_MONEDA,'LID_LIQUIDACIONES'!F128)=0)),1,0)</f>
        <v/>
      </c>
      <c r="G128">
        <f>IF(AND('LID_LIQUIDACIONES'!G128&lt;&gt;"",COUNTIF(CL_ID_PAGOS,'LID_LIQUIDACIONES'!G128)=0),1,0)</f>
        <v/>
      </c>
      <c r="H128">
        <f>IF(AND('LID_LIQUIDACIONES'!H128&lt;&gt;"",COUNTIF(CL_FLAG_HORARIO,'LID_LIQUIDACIONES'!H128)=0),1,0)</f>
        <v/>
      </c>
      <c r="I128">
        <f>IF(AND('LID_LIQUIDACIONES'!I128&lt;&gt;"",COUNTIF(CL_CAT_ID_PAGOS_RET,'LID_LIQUIDACIONES'!I128)=0),1,0)</f>
        <v/>
      </c>
      <c r="J128">
        <f>IF(AND('LID_LIQUIDACIONES'!J128&lt;&gt;"",NOT(ISNUMBER('LID_LIQUIDACIONES'!J128))),1,0)</f>
        <v/>
      </c>
      <c r="K128">
        <f>IF(AND('LID_LIQUIDACIONES'!K128&lt;&gt;"",LEN('LID_LIQUIDACIONES'!K128)&gt;5),1,0)</f>
        <v/>
      </c>
      <c r="L128">
        <f>IF(AND('LID_LIQUIDACIONES'!L128&lt;&gt;"",IF(ISNUMBER('LID_LIQUIDACIONES'!L128),OR('LID_LIQUIDACIONES'!L128&lt;&gt;ROUND('LID_LIQUIDACIONES'!L128,0),LEN(TEXT(INT(ABS('LID_LIQUIDACIONES'!L128)),"0"))&gt;12),TRUE)),1,0)</f>
        <v/>
      </c>
      <c r="M128">
        <f>IF(AND('LID_LIQUIDACIONES'!M128&lt;&gt;"",COUNTIF(CL_CAT_MOTIVO_RET,'LID_LIQUIDACIONES'!M128)=0),1,0)</f>
        <v/>
      </c>
      <c r="N128">
        <f>IF(AND('LID_LIQUIDACIONES'!N128&lt;&gt;"",LEN('LID_LIQUIDACIONES'!N128)&gt;50),1,0)</f>
        <v/>
      </c>
      <c r="O128">
        <f>IF(AND('LID_LIQUIDACIONES'!O128&lt;&gt;"",COUNTIF(CL_CARACT_LIQ,'LID_LIQUIDACIONES'!O128)=0),1,0)</f>
        <v/>
      </c>
      <c r="P128">
        <f>IF(AND('LID_LIQUIDACIONES'!P128&lt;&gt;"",NOT(ISNUMBER('LID_LIQUIDACIONES'!P128))),1,0)</f>
        <v/>
      </c>
    </row>
    <row r="129">
      <c r="A129">
        <f>IF(AND('LID_LIQUIDACIONES'!A129&lt;&gt;"",NOT(ISNUMBER('LID_LIQUIDACIONES'!A129))),1,0)</f>
        <v/>
      </c>
      <c r="B129">
        <f>IF(AND('LID_LIQUIDACIONES'!B129&lt;&gt;"",LEN('LID_LIQUIDACIONES'!B129)&gt;5),1,0)</f>
        <v/>
      </c>
      <c r="C129">
        <f>IF(AND('LID_LIQUIDACIONES'!C129&lt;&gt;"",COUNTIF(CL_TIPO_VALOR,'LID_LIQUIDACIONES'!C129)=0),1,0)</f>
        <v/>
      </c>
      <c r="D129">
        <f>IF(AND('LID_LIQUIDACIONES'!D129&lt;&gt;"",COUNTIF(CL_TIPO_OBLIGACI_N,'LID_LIQUIDACIONES'!D129)=0),1,0)</f>
        <v/>
      </c>
      <c r="E129">
        <f>IF(AND('LID_LIQUIDACIONES'!E129&lt;&gt;"",IF(ISNUMBER('LID_LIQUIDACIONES'!E129),OR('LID_LIQUIDACIONES'!E129&lt;&gt;ROUND('LID_LIQUIDACIONES'!E129,0),LEN(TEXT(INT(ABS('LID_LIQUIDACIONES'!E129)),"0"))&gt;12),TRUE)),1,0)</f>
        <v/>
      </c>
      <c r="F129">
        <f>IF(AND('LID_LIQUIDACIONES'!F129&lt;&gt;"",OR(LEN('LID_LIQUIDACIONES'!F129)&gt;3,COUNTIF(CL_MONEDA,'LID_LIQUIDACIONES'!F129)=0)),1,0)</f>
        <v/>
      </c>
      <c r="G129">
        <f>IF(AND('LID_LIQUIDACIONES'!G129&lt;&gt;"",COUNTIF(CL_ID_PAGOS,'LID_LIQUIDACIONES'!G129)=0),1,0)</f>
        <v/>
      </c>
      <c r="H129">
        <f>IF(AND('LID_LIQUIDACIONES'!H129&lt;&gt;"",COUNTIF(CL_FLAG_HORARIO,'LID_LIQUIDACIONES'!H129)=0),1,0)</f>
        <v/>
      </c>
      <c r="I129">
        <f>IF(AND('LID_LIQUIDACIONES'!I129&lt;&gt;"",COUNTIF(CL_CAT_ID_PAGOS_RET,'LID_LIQUIDACIONES'!I129)=0),1,0)</f>
        <v/>
      </c>
      <c r="J129">
        <f>IF(AND('LID_LIQUIDACIONES'!J129&lt;&gt;"",NOT(ISNUMBER('LID_LIQUIDACIONES'!J129))),1,0)</f>
        <v/>
      </c>
      <c r="K129">
        <f>IF(AND('LID_LIQUIDACIONES'!K129&lt;&gt;"",LEN('LID_LIQUIDACIONES'!K129)&gt;5),1,0)</f>
        <v/>
      </c>
      <c r="L129">
        <f>IF(AND('LID_LIQUIDACIONES'!L129&lt;&gt;"",IF(ISNUMBER('LID_LIQUIDACIONES'!L129),OR('LID_LIQUIDACIONES'!L129&lt;&gt;ROUND('LID_LIQUIDACIONES'!L129,0),LEN(TEXT(INT(ABS('LID_LIQUIDACIONES'!L129)),"0"))&gt;12),TRUE)),1,0)</f>
        <v/>
      </c>
      <c r="M129">
        <f>IF(AND('LID_LIQUIDACIONES'!M129&lt;&gt;"",COUNTIF(CL_CAT_MOTIVO_RET,'LID_LIQUIDACIONES'!M129)=0),1,0)</f>
        <v/>
      </c>
      <c r="N129">
        <f>IF(AND('LID_LIQUIDACIONES'!N129&lt;&gt;"",LEN('LID_LIQUIDACIONES'!N129)&gt;50),1,0)</f>
        <v/>
      </c>
      <c r="O129">
        <f>IF(AND('LID_LIQUIDACIONES'!O129&lt;&gt;"",COUNTIF(CL_CARACT_LIQ,'LID_LIQUIDACIONES'!O129)=0),1,0)</f>
        <v/>
      </c>
      <c r="P129">
        <f>IF(AND('LID_LIQUIDACIONES'!P129&lt;&gt;"",NOT(ISNUMBER('LID_LIQUIDACIONES'!P129))),1,0)</f>
        <v/>
      </c>
    </row>
    <row r="130">
      <c r="A130">
        <f>IF(AND('LID_LIQUIDACIONES'!A130&lt;&gt;"",NOT(ISNUMBER('LID_LIQUIDACIONES'!A130))),1,0)</f>
        <v/>
      </c>
      <c r="B130">
        <f>IF(AND('LID_LIQUIDACIONES'!B130&lt;&gt;"",LEN('LID_LIQUIDACIONES'!B130)&gt;5),1,0)</f>
        <v/>
      </c>
      <c r="C130">
        <f>IF(AND('LID_LIQUIDACIONES'!C130&lt;&gt;"",COUNTIF(CL_TIPO_VALOR,'LID_LIQUIDACIONES'!C130)=0),1,0)</f>
        <v/>
      </c>
      <c r="D130">
        <f>IF(AND('LID_LIQUIDACIONES'!D130&lt;&gt;"",COUNTIF(CL_TIPO_OBLIGACI_N,'LID_LIQUIDACIONES'!D130)=0),1,0)</f>
        <v/>
      </c>
      <c r="E130">
        <f>IF(AND('LID_LIQUIDACIONES'!E130&lt;&gt;"",IF(ISNUMBER('LID_LIQUIDACIONES'!E130),OR('LID_LIQUIDACIONES'!E130&lt;&gt;ROUND('LID_LIQUIDACIONES'!E130,0),LEN(TEXT(INT(ABS('LID_LIQUIDACIONES'!E130)),"0"))&gt;12),TRUE)),1,0)</f>
        <v/>
      </c>
      <c r="F130">
        <f>IF(AND('LID_LIQUIDACIONES'!F130&lt;&gt;"",OR(LEN('LID_LIQUIDACIONES'!F130)&gt;3,COUNTIF(CL_MONEDA,'LID_LIQUIDACIONES'!F130)=0)),1,0)</f>
        <v/>
      </c>
      <c r="G130">
        <f>IF(AND('LID_LIQUIDACIONES'!G130&lt;&gt;"",COUNTIF(CL_ID_PAGOS,'LID_LIQUIDACIONES'!G130)=0),1,0)</f>
        <v/>
      </c>
      <c r="H130">
        <f>IF(AND('LID_LIQUIDACIONES'!H130&lt;&gt;"",COUNTIF(CL_FLAG_HORARIO,'LID_LIQUIDACIONES'!H130)=0),1,0)</f>
        <v/>
      </c>
      <c r="I130">
        <f>IF(AND('LID_LIQUIDACIONES'!I130&lt;&gt;"",COUNTIF(CL_CAT_ID_PAGOS_RET,'LID_LIQUIDACIONES'!I130)=0),1,0)</f>
        <v/>
      </c>
      <c r="J130">
        <f>IF(AND('LID_LIQUIDACIONES'!J130&lt;&gt;"",NOT(ISNUMBER('LID_LIQUIDACIONES'!J130))),1,0)</f>
        <v/>
      </c>
      <c r="K130">
        <f>IF(AND('LID_LIQUIDACIONES'!K130&lt;&gt;"",LEN('LID_LIQUIDACIONES'!K130)&gt;5),1,0)</f>
        <v/>
      </c>
      <c r="L130">
        <f>IF(AND('LID_LIQUIDACIONES'!L130&lt;&gt;"",IF(ISNUMBER('LID_LIQUIDACIONES'!L130),OR('LID_LIQUIDACIONES'!L130&lt;&gt;ROUND('LID_LIQUIDACIONES'!L130,0),LEN(TEXT(INT(ABS('LID_LIQUIDACIONES'!L130)),"0"))&gt;12),TRUE)),1,0)</f>
        <v/>
      </c>
      <c r="M130">
        <f>IF(AND('LID_LIQUIDACIONES'!M130&lt;&gt;"",COUNTIF(CL_CAT_MOTIVO_RET,'LID_LIQUIDACIONES'!M130)=0),1,0)</f>
        <v/>
      </c>
      <c r="N130">
        <f>IF(AND('LID_LIQUIDACIONES'!N130&lt;&gt;"",LEN('LID_LIQUIDACIONES'!N130)&gt;50),1,0)</f>
        <v/>
      </c>
      <c r="O130">
        <f>IF(AND('LID_LIQUIDACIONES'!O130&lt;&gt;"",COUNTIF(CL_CARACT_LIQ,'LID_LIQUIDACIONES'!O130)=0),1,0)</f>
        <v/>
      </c>
      <c r="P130">
        <f>IF(AND('LID_LIQUIDACIONES'!P130&lt;&gt;"",NOT(ISNUMBER('LID_LIQUIDACIONES'!P130))),1,0)</f>
        <v/>
      </c>
    </row>
    <row r="131">
      <c r="A131">
        <f>IF(AND('LID_LIQUIDACIONES'!A131&lt;&gt;"",NOT(ISNUMBER('LID_LIQUIDACIONES'!A131))),1,0)</f>
        <v/>
      </c>
      <c r="B131">
        <f>IF(AND('LID_LIQUIDACIONES'!B131&lt;&gt;"",LEN('LID_LIQUIDACIONES'!B131)&gt;5),1,0)</f>
        <v/>
      </c>
      <c r="C131">
        <f>IF(AND('LID_LIQUIDACIONES'!C131&lt;&gt;"",COUNTIF(CL_TIPO_VALOR,'LID_LIQUIDACIONES'!C131)=0),1,0)</f>
        <v/>
      </c>
      <c r="D131">
        <f>IF(AND('LID_LIQUIDACIONES'!D131&lt;&gt;"",COUNTIF(CL_TIPO_OBLIGACI_N,'LID_LIQUIDACIONES'!D131)=0),1,0)</f>
        <v/>
      </c>
      <c r="E131">
        <f>IF(AND('LID_LIQUIDACIONES'!E131&lt;&gt;"",IF(ISNUMBER('LID_LIQUIDACIONES'!E131),OR('LID_LIQUIDACIONES'!E131&lt;&gt;ROUND('LID_LIQUIDACIONES'!E131,0),LEN(TEXT(INT(ABS('LID_LIQUIDACIONES'!E131)),"0"))&gt;12),TRUE)),1,0)</f>
        <v/>
      </c>
      <c r="F131">
        <f>IF(AND('LID_LIQUIDACIONES'!F131&lt;&gt;"",OR(LEN('LID_LIQUIDACIONES'!F131)&gt;3,COUNTIF(CL_MONEDA,'LID_LIQUIDACIONES'!F131)=0)),1,0)</f>
        <v/>
      </c>
      <c r="G131">
        <f>IF(AND('LID_LIQUIDACIONES'!G131&lt;&gt;"",COUNTIF(CL_ID_PAGOS,'LID_LIQUIDACIONES'!G131)=0),1,0)</f>
        <v/>
      </c>
      <c r="H131">
        <f>IF(AND('LID_LIQUIDACIONES'!H131&lt;&gt;"",COUNTIF(CL_FLAG_HORARIO,'LID_LIQUIDACIONES'!H131)=0),1,0)</f>
        <v/>
      </c>
      <c r="I131">
        <f>IF(AND('LID_LIQUIDACIONES'!I131&lt;&gt;"",COUNTIF(CL_CAT_ID_PAGOS_RET,'LID_LIQUIDACIONES'!I131)=0),1,0)</f>
        <v/>
      </c>
      <c r="J131">
        <f>IF(AND('LID_LIQUIDACIONES'!J131&lt;&gt;"",NOT(ISNUMBER('LID_LIQUIDACIONES'!J131))),1,0)</f>
        <v/>
      </c>
      <c r="K131">
        <f>IF(AND('LID_LIQUIDACIONES'!K131&lt;&gt;"",LEN('LID_LIQUIDACIONES'!K131)&gt;5),1,0)</f>
        <v/>
      </c>
      <c r="L131">
        <f>IF(AND('LID_LIQUIDACIONES'!L131&lt;&gt;"",IF(ISNUMBER('LID_LIQUIDACIONES'!L131),OR('LID_LIQUIDACIONES'!L131&lt;&gt;ROUND('LID_LIQUIDACIONES'!L131,0),LEN(TEXT(INT(ABS('LID_LIQUIDACIONES'!L131)),"0"))&gt;12),TRUE)),1,0)</f>
        <v/>
      </c>
      <c r="M131">
        <f>IF(AND('LID_LIQUIDACIONES'!M131&lt;&gt;"",COUNTIF(CL_CAT_MOTIVO_RET,'LID_LIQUIDACIONES'!M131)=0),1,0)</f>
        <v/>
      </c>
      <c r="N131">
        <f>IF(AND('LID_LIQUIDACIONES'!N131&lt;&gt;"",LEN('LID_LIQUIDACIONES'!N131)&gt;50),1,0)</f>
        <v/>
      </c>
      <c r="O131">
        <f>IF(AND('LID_LIQUIDACIONES'!O131&lt;&gt;"",COUNTIF(CL_CARACT_LIQ,'LID_LIQUIDACIONES'!O131)=0),1,0)</f>
        <v/>
      </c>
      <c r="P131">
        <f>IF(AND('LID_LIQUIDACIONES'!P131&lt;&gt;"",NOT(ISNUMBER('LID_LIQUIDACIONES'!P131))),1,0)</f>
        <v/>
      </c>
    </row>
    <row r="132">
      <c r="A132">
        <f>IF(AND('LID_LIQUIDACIONES'!A132&lt;&gt;"",NOT(ISNUMBER('LID_LIQUIDACIONES'!A132))),1,0)</f>
        <v/>
      </c>
      <c r="B132">
        <f>IF(AND('LID_LIQUIDACIONES'!B132&lt;&gt;"",LEN('LID_LIQUIDACIONES'!B132)&gt;5),1,0)</f>
        <v/>
      </c>
      <c r="C132">
        <f>IF(AND('LID_LIQUIDACIONES'!C132&lt;&gt;"",COUNTIF(CL_TIPO_VALOR,'LID_LIQUIDACIONES'!C132)=0),1,0)</f>
        <v/>
      </c>
      <c r="D132">
        <f>IF(AND('LID_LIQUIDACIONES'!D132&lt;&gt;"",COUNTIF(CL_TIPO_OBLIGACI_N,'LID_LIQUIDACIONES'!D132)=0),1,0)</f>
        <v/>
      </c>
      <c r="E132">
        <f>IF(AND('LID_LIQUIDACIONES'!E132&lt;&gt;"",IF(ISNUMBER('LID_LIQUIDACIONES'!E132),OR('LID_LIQUIDACIONES'!E132&lt;&gt;ROUND('LID_LIQUIDACIONES'!E132,0),LEN(TEXT(INT(ABS('LID_LIQUIDACIONES'!E132)),"0"))&gt;12),TRUE)),1,0)</f>
        <v/>
      </c>
      <c r="F132">
        <f>IF(AND('LID_LIQUIDACIONES'!F132&lt;&gt;"",OR(LEN('LID_LIQUIDACIONES'!F132)&gt;3,COUNTIF(CL_MONEDA,'LID_LIQUIDACIONES'!F132)=0)),1,0)</f>
        <v/>
      </c>
      <c r="G132">
        <f>IF(AND('LID_LIQUIDACIONES'!G132&lt;&gt;"",COUNTIF(CL_ID_PAGOS,'LID_LIQUIDACIONES'!G132)=0),1,0)</f>
        <v/>
      </c>
      <c r="H132">
        <f>IF(AND('LID_LIQUIDACIONES'!H132&lt;&gt;"",COUNTIF(CL_FLAG_HORARIO,'LID_LIQUIDACIONES'!H132)=0),1,0)</f>
        <v/>
      </c>
      <c r="I132">
        <f>IF(AND('LID_LIQUIDACIONES'!I132&lt;&gt;"",COUNTIF(CL_CAT_ID_PAGOS_RET,'LID_LIQUIDACIONES'!I132)=0),1,0)</f>
        <v/>
      </c>
      <c r="J132">
        <f>IF(AND('LID_LIQUIDACIONES'!J132&lt;&gt;"",NOT(ISNUMBER('LID_LIQUIDACIONES'!J132))),1,0)</f>
        <v/>
      </c>
      <c r="K132">
        <f>IF(AND('LID_LIQUIDACIONES'!K132&lt;&gt;"",LEN('LID_LIQUIDACIONES'!K132)&gt;5),1,0)</f>
        <v/>
      </c>
      <c r="L132">
        <f>IF(AND('LID_LIQUIDACIONES'!L132&lt;&gt;"",IF(ISNUMBER('LID_LIQUIDACIONES'!L132),OR('LID_LIQUIDACIONES'!L132&lt;&gt;ROUND('LID_LIQUIDACIONES'!L132,0),LEN(TEXT(INT(ABS('LID_LIQUIDACIONES'!L132)),"0"))&gt;12),TRUE)),1,0)</f>
        <v/>
      </c>
      <c r="M132">
        <f>IF(AND('LID_LIQUIDACIONES'!M132&lt;&gt;"",COUNTIF(CL_CAT_MOTIVO_RET,'LID_LIQUIDACIONES'!M132)=0),1,0)</f>
        <v/>
      </c>
      <c r="N132">
        <f>IF(AND('LID_LIQUIDACIONES'!N132&lt;&gt;"",LEN('LID_LIQUIDACIONES'!N132)&gt;50),1,0)</f>
        <v/>
      </c>
      <c r="O132">
        <f>IF(AND('LID_LIQUIDACIONES'!O132&lt;&gt;"",COUNTIF(CL_CARACT_LIQ,'LID_LIQUIDACIONES'!O132)=0),1,0)</f>
        <v/>
      </c>
      <c r="P132">
        <f>IF(AND('LID_LIQUIDACIONES'!P132&lt;&gt;"",NOT(ISNUMBER('LID_LIQUIDACIONES'!P132))),1,0)</f>
        <v/>
      </c>
    </row>
    <row r="133">
      <c r="A133">
        <f>IF(AND('LID_LIQUIDACIONES'!A133&lt;&gt;"",NOT(ISNUMBER('LID_LIQUIDACIONES'!A133))),1,0)</f>
        <v/>
      </c>
      <c r="B133">
        <f>IF(AND('LID_LIQUIDACIONES'!B133&lt;&gt;"",LEN('LID_LIQUIDACIONES'!B133)&gt;5),1,0)</f>
        <v/>
      </c>
      <c r="C133">
        <f>IF(AND('LID_LIQUIDACIONES'!C133&lt;&gt;"",COUNTIF(CL_TIPO_VALOR,'LID_LIQUIDACIONES'!C133)=0),1,0)</f>
        <v/>
      </c>
      <c r="D133">
        <f>IF(AND('LID_LIQUIDACIONES'!D133&lt;&gt;"",COUNTIF(CL_TIPO_OBLIGACI_N,'LID_LIQUIDACIONES'!D133)=0),1,0)</f>
        <v/>
      </c>
      <c r="E133">
        <f>IF(AND('LID_LIQUIDACIONES'!E133&lt;&gt;"",IF(ISNUMBER('LID_LIQUIDACIONES'!E133),OR('LID_LIQUIDACIONES'!E133&lt;&gt;ROUND('LID_LIQUIDACIONES'!E133,0),LEN(TEXT(INT(ABS('LID_LIQUIDACIONES'!E133)),"0"))&gt;12),TRUE)),1,0)</f>
        <v/>
      </c>
      <c r="F133">
        <f>IF(AND('LID_LIQUIDACIONES'!F133&lt;&gt;"",OR(LEN('LID_LIQUIDACIONES'!F133)&gt;3,COUNTIF(CL_MONEDA,'LID_LIQUIDACIONES'!F133)=0)),1,0)</f>
        <v/>
      </c>
      <c r="G133">
        <f>IF(AND('LID_LIQUIDACIONES'!G133&lt;&gt;"",COUNTIF(CL_ID_PAGOS,'LID_LIQUIDACIONES'!G133)=0),1,0)</f>
        <v/>
      </c>
      <c r="H133">
        <f>IF(AND('LID_LIQUIDACIONES'!H133&lt;&gt;"",COUNTIF(CL_FLAG_HORARIO,'LID_LIQUIDACIONES'!H133)=0),1,0)</f>
        <v/>
      </c>
      <c r="I133">
        <f>IF(AND('LID_LIQUIDACIONES'!I133&lt;&gt;"",COUNTIF(CL_CAT_ID_PAGOS_RET,'LID_LIQUIDACIONES'!I133)=0),1,0)</f>
        <v/>
      </c>
      <c r="J133">
        <f>IF(AND('LID_LIQUIDACIONES'!J133&lt;&gt;"",NOT(ISNUMBER('LID_LIQUIDACIONES'!J133))),1,0)</f>
        <v/>
      </c>
      <c r="K133">
        <f>IF(AND('LID_LIQUIDACIONES'!K133&lt;&gt;"",LEN('LID_LIQUIDACIONES'!K133)&gt;5),1,0)</f>
        <v/>
      </c>
      <c r="L133">
        <f>IF(AND('LID_LIQUIDACIONES'!L133&lt;&gt;"",IF(ISNUMBER('LID_LIQUIDACIONES'!L133),OR('LID_LIQUIDACIONES'!L133&lt;&gt;ROUND('LID_LIQUIDACIONES'!L133,0),LEN(TEXT(INT(ABS('LID_LIQUIDACIONES'!L133)),"0"))&gt;12),TRUE)),1,0)</f>
        <v/>
      </c>
      <c r="M133">
        <f>IF(AND('LID_LIQUIDACIONES'!M133&lt;&gt;"",COUNTIF(CL_CAT_MOTIVO_RET,'LID_LIQUIDACIONES'!M133)=0),1,0)</f>
        <v/>
      </c>
      <c r="N133">
        <f>IF(AND('LID_LIQUIDACIONES'!N133&lt;&gt;"",LEN('LID_LIQUIDACIONES'!N133)&gt;50),1,0)</f>
        <v/>
      </c>
      <c r="O133">
        <f>IF(AND('LID_LIQUIDACIONES'!O133&lt;&gt;"",COUNTIF(CL_CARACT_LIQ,'LID_LIQUIDACIONES'!O133)=0),1,0)</f>
        <v/>
      </c>
      <c r="P133">
        <f>IF(AND('LID_LIQUIDACIONES'!P133&lt;&gt;"",NOT(ISNUMBER('LID_LIQUIDACIONES'!P133))),1,0)</f>
        <v/>
      </c>
    </row>
    <row r="134">
      <c r="A134">
        <f>IF(AND('LID_LIQUIDACIONES'!A134&lt;&gt;"",NOT(ISNUMBER('LID_LIQUIDACIONES'!A134))),1,0)</f>
        <v/>
      </c>
      <c r="B134">
        <f>IF(AND('LID_LIQUIDACIONES'!B134&lt;&gt;"",LEN('LID_LIQUIDACIONES'!B134)&gt;5),1,0)</f>
        <v/>
      </c>
      <c r="C134">
        <f>IF(AND('LID_LIQUIDACIONES'!C134&lt;&gt;"",COUNTIF(CL_TIPO_VALOR,'LID_LIQUIDACIONES'!C134)=0),1,0)</f>
        <v/>
      </c>
      <c r="D134">
        <f>IF(AND('LID_LIQUIDACIONES'!D134&lt;&gt;"",COUNTIF(CL_TIPO_OBLIGACI_N,'LID_LIQUIDACIONES'!D134)=0),1,0)</f>
        <v/>
      </c>
      <c r="E134">
        <f>IF(AND('LID_LIQUIDACIONES'!E134&lt;&gt;"",IF(ISNUMBER('LID_LIQUIDACIONES'!E134),OR('LID_LIQUIDACIONES'!E134&lt;&gt;ROUND('LID_LIQUIDACIONES'!E134,0),LEN(TEXT(INT(ABS('LID_LIQUIDACIONES'!E134)),"0"))&gt;12),TRUE)),1,0)</f>
        <v/>
      </c>
      <c r="F134">
        <f>IF(AND('LID_LIQUIDACIONES'!F134&lt;&gt;"",OR(LEN('LID_LIQUIDACIONES'!F134)&gt;3,COUNTIF(CL_MONEDA,'LID_LIQUIDACIONES'!F134)=0)),1,0)</f>
        <v/>
      </c>
      <c r="G134">
        <f>IF(AND('LID_LIQUIDACIONES'!G134&lt;&gt;"",COUNTIF(CL_ID_PAGOS,'LID_LIQUIDACIONES'!G134)=0),1,0)</f>
        <v/>
      </c>
      <c r="H134">
        <f>IF(AND('LID_LIQUIDACIONES'!H134&lt;&gt;"",COUNTIF(CL_FLAG_HORARIO,'LID_LIQUIDACIONES'!H134)=0),1,0)</f>
        <v/>
      </c>
      <c r="I134">
        <f>IF(AND('LID_LIQUIDACIONES'!I134&lt;&gt;"",COUNTIF(CL_CAT_ID_PAGOS_RET,'LID_LIQUIDACIONES'!I134)=0),1,0)</f>
        <v/>
      </c>
      <c r="J134">
        <f>IF(AND('LID_LIQUIDACIONES'!J134&lt;&gt;"",NOT(ISNUMBER('LID_LIQUIDACIONES'!J134))),1,0)</f>
        <v/>
      </c>
      <c r="K134">
        <f>IF(AND('LID_LIQUIDACIONES'!K134&lt;&gt;"",LEN('LID_LIQUIDACIONES'!K134)&gt;5),1,0)</f>
        <v/>
      </c>
      <c r="L134">
        <f>IF(AND('LID_LIQUIDACIONES'!L134&lt;&gt;"",IF(ISNUMBER('LID_LIQUIDACIONES'!L134),OR('LID_LIQUIDACIONES'!L134&lt;&gt;ROUND('LID_LIQUIDACIONES'!L134,0),LEN(TEXT(INT(ABS('LID_LIQUIDACIONES'!L134)),"0"))&gt;12),TRUE)),1,0)</f>
        <v/>
      </c>
      <c r="M134">
        <f>IF(AND('LID_LIQUIDACIONES'!M134&lt;&gt;"",COUNTIF(CL_CAT_MOTIVO_RET,'LID_LIQUIDACIONES'!M134)=0),1,0)</f>
        <v/>
      </c>
      <c r="N134">
        <f>IF(AND('LID_LIQUIDACIONES'!N134&lt;&gt;"",LEN('LID_LIQUIDACIONES'!N134)&gt;50),1,0)</f>
        <v/>
      </c>
      <c r="O134">
        <f>IF(AND('LID_LIQUIDACIONES'!O134&lt;&gt;"",COUNTIF(CL_CARACT_LIQ,'LID_LIQUIDACIONES'!O134)=0),1,0)</f>
        <v/>
      </c>
      <c r="P134">
        <f>IF(AND('LID_LIQUIDACIONES'!P134&lt;&gt;"",NOT(ISNUMBER('LID_LIQUIDACIONES'!P134))),1,0)</f>
        <v/>
      </c>
    </row>
    <row r="135">
      <c r="A135">
        <f>IF(AND('LID_LIQUIDACIONES'!A135&lt;&gt;"",NOT(ISNUMBER('LID_LIQUIDACIONES'!A135))),1,0)</f>
        <v/>
      </c>
      <c r="B135">
        <f>IF(AND('LID_LIQUIDACIONES'!B135&lt;&gt;"",LEN('LID_LIQUIDACIONES'!B135)&gt;5),1,0)</f>
        <v/>
      </c>
      <c r="C135">
        <f>IF(AND('LID_LIQUIDACIONES'!C135&lt;&gt;"",COUNTIF(CL_TIPO_VALOR,'LID_LIQUIDACIONES'!C135)=0),1,0)</f>
        <v/>
      </c>
      <c r="D135">
        <f>IF(AND('LID_LIQUIDACIONES'!D135&lt;&gt;"",COUNTIF(CL_TIPO_OBLIGACI_N,'LID_LIQUIDACIONES'!D135)=0),1,0)</f>
        <v/>
      </c>
      <c r="E135">
        <f>IF(AND('LID_LIQUIDACIONES'!E135&lt;&gt;"",IF(ISNUMBER('LID_LIQUIDACIONES'!E135),OR('LID_LIQUIDACIONES'!E135&lt;&gt;ROUND('LID_LIQUIDACIONES'!E135,0),LEN(TEXT(INT(ABS('LID_LIQUIDACIONES'!E135)),"0"))&gt;12),TRUE)),1,0)</f>
        <v/>
      </c>
      <c r="F135">
        <f>IF(AND('LID_LIQUIDACIONES'!F135&lt;&gt;"",OR(LEN('LID_LIQUIDACIONES'!F135)&gt;3,COUNTIF(CL_MONEDA,'LID_LIQUIDACIONES'!F135)=0)),1,0)</f>
        <v/>
      </c>
      <c r="G135">
        <f>IF(AND('LID_LIQUIDACIONES'!G135&lt;&gt;"",COUNTIF(CL_ID_PAGOS,'LID_LIQUIDACIONES'!G135)=0),1,0)</f>
        <v/>
      </c>
      <c r="H135">
        <f>IF(AND('LID_LIQUIDACIONES'!H135&lt;&gt;"",COUNTIF(CL_FLAG_HORARIO,'LID_LIQUIDACIONES'!H135)=0),1,0)</f>
        <v/>
      </c>
      <c r="I135">
        <f>IF(AND('LID_LIQUIDACIONES'!I135&lt;&gt;"",COUNTIF(CL_CAT_ID_PAGOS_RET,'LID_LIQUIDACIONES'!I135)=0),1,0)</f>
        <v/>
      </c>
      <c r="J135">
        <f>IF(AND('LID_LIQUIDACIONES'!J135&lt;&gt;"",NOT(ISNUMBER('LID_LIQUIDACIONES'!J135))),1,0)</f>
        <v/>
      </c>
      <c r="K135">
        <f>IF(AND('LID_LIQUIDACIONES'!K135&lt;&gt;"",LEN('LID_LIQUIDACIONES'!K135)&gt;5),1,0)</f>
        <v/>
      </c>
      <c r="L135">
        <f>IF(AND('LID_LIQUIDACIONES'!L135&lt;&gt;"",IF(ISNUMBER('LID_LIQUIDACIONES'!L135),OR('LID_LIQUIDACIONES'!L135&lt;&gt;ROUND('LID_LIQUIDACIONES'!L135,0),LEN(TEXT(INT(ABS('LID_LIQUIDACIONES'!L135)),"0"))&gt;12),TRUE)),1,0)</f>
        <v/>
      </c>
      <c r="M135">
        <f>IF(AND('LID_LIQUIDACIONES'!M135&lt;&gt;"",COUNTIF(CL_CAT_MOTIVO_RET,'LID_LIQUIDACIONES'!M135)=0),1,0)</f>
        <v/>
      </c>
      <c r="N135">
        <f>IF(AND('LID_LIQUIDACIONES'!N135&lt;&gt;"",LEN('LID_LIQUIDACIONES'!N135)&gt;50),1,0)</f>
        <v/>
      </c>
      <c r="O135">
        <f>IF(AND('LID_LIQUIDACIONES'!O135&lt;&gt;"",COUNTIF(CL_CARACT_LIQ,'LID_LIQUIDACIONES'!O135)=0),1,0)</f>
        <v/>
      </c>
      <c r="P135">
        <f>IF(AND('LID_LIQUIDACIONES'!P135&lt;&gt;"",NOT(ISNUMBER('LID_LIQUIDACIONES'!P135))),1,0)</f>
        <v/>
      </c>
    </row>
    <row r="136">
      <c r="A136">
        <f>IF(AND('LID_LIQUIDACIONES'!A136&lt;&gt;"",NOT(ISNUMBER('LID_LIQUIDACIONES'!A136))),1,0)</f>
        <v/>
      </c>
      <c r="B136">
        <f>IF(AND('LID_LIQUIDACIONES'!B136&lt;&gt;"",LEN('LID_LIQUIDACIONES'!B136)&gt;5),1,0)</f>
        <v/>
      </c>
      <c r="C136">
        <f>IF(AND('LID_LIQUIDACIONES'!C136&lt;&gt;"",COUNTIF(CL_TIPO_VALOR,'LID_LIQUIDACIONES'!C136)=0),1,0)</f>
        <v/>
      </c>
      <c r="D136">
        <f>IF(AND('LID_LIQUIDACIONES'!D136&lt;&gt;"",COUNTIF(CL_TIPO_OBLIGACI_N,'LID_LIQUIDACIONES'!D136)=0),1,0)</f>
        <v/>
      </c>
      <c r="E136">
        <f>IF(AND('LID_LIQUIDACIONES'!E136&lt;&gt;"",IF(ISNUMBER('LID_LIQUIDACIONES'!E136),OR('LID_LIQUIDACIONES'!E136&lt;&gt;ROUND('LID_LIQUIDACIONES'!E136,0),LEN(TEXT(INT(ABS('LID_LIQUIDACIONES'!E136)),"0"))&gt;12),TRUE)),1,0)</f>
        <v/>
      </c>
      <c r="F136">
        <f>IF(AND('LID_LIQUIDACIONES'!F136&lt;&gt;"",OR(LEN('LID_LIQUIDACIONES'!F136)&gt;3,COUNTIF(CL_MONEDA,'LID_LIQUIDACIONES'!F136)=0)),1,0)</f>
        <v/>
      </c>
      <c r="G136">
        <f>IF(AND('LID_LIQUIDACIONES'!G136&lt;&gt;"",COUNTIF(CL_ID_PAGOS,'LID_LIQUIDACIONES'!G136)=0),1,0)</f>
        <v/>
      </c>
      <c r="H136">
        <f>IF(AND('LID_LIQUIDACIONES'!H136&lt;&gt;"",COUNTIF(CL_FLAG_HORARIO,'LID_LIQUIDACIONES'!H136)=0),1,0)</f>
        <v/>
      </c>
      <c r="I136">
        <f>IF(AND('LID_LIQUIDACIONES'!I136&lt;&gt;"",COUNTIF(CL_CAT_ID_PAGOS_RET,'LID_LIQUIDACIONES'!I136)=0),1,0)</f>
        <v/>
      </c>
      <c r="J136">
        <f>IF(AND('LID_LIQUIDACIONES'!J136&lt;&gt;"",NOT(ISNUMBER('LID_LIQUIDACIONES'!J136))),1,0)</f>
        <v/>
      </c>
      <c r="K136">
        <f>IF(AND('LID_LIQUIDACIONES'!K136&lt;&gt;"",LEN('LID_LIQUIDACIONES'!K136)&gt;5),1,0)</f>
        <v/>
      </c>
      <c r="L136">
        <f>IF(AND('LID_LIQUIDACIONES'!L136&lt;&gt;"",IF(ISNUMBER('LID_LIQUIDACIONES'!L136),OR('LID_LIQUIDACIONES'!L136&lt;&gt;ROUND('LID_LIQUIDACIONES'!L136,0),LEN(TEXT(INT(ABS('LID_LIQUIDACIONES'!L136)),"0"))&gt;12),TRUE)),1,0)</f>
        <v/>
      </c>
      <c r="M136">
        <f>IF(AND('LID_LIQUIDACIONES'!M136&lt;&gt;"",COUNTIF(CL_CAT_MOTIVO_RET,'LID_LIQUIDACIONES'!M136)=0),1,0)</f>
        <v/>
      </c>
      <c r="N136">
        <f>IF(AND('LID_LIQUIDACIONES'!N136&lt;&gt;"",LEN('LID_LIQUIDACIONES'!N136)&gt;50),1,0)</f>
        <v/>
      </c>
      <c r="O136">
        <f>IF(AND('LID_LIQUIDACIONES'!O136&lt;&gt;"",COUNTIF(CL_CARACT_LIQ,'LID_LIQUIDACIONES'!O136)=0),1,0)</f>
        <v/>
      </c>
      <c r="P136">
        <f>IF(AND('LID_LIQUIDACIONES'!P136&lt;&gt;"",NOT(ISNUMBER('LID_LIQUIDACIONES'!P136))),1,0)</f>
        <v/>
      </c>
    </row>
    <row r="137">
      <c r="A137">
        <f>IF(AND('LID_LIQUIDACIONES'!A137&lt;&gt;"",NOT(ISNUMBER('LID_LIQUIDACIONES'!A137))),1,0)</f>
        <v/>
      </c>
      <c r="B137">
        <f>IF(AND('LID_LIQUIDACIONES'!B137&lt;&gt;"",LEN('LID_LIQUIDACIONES'!B137)&gt;5),1,0)</f>
        <v/>
      </c>
      <c r="C137">
        <f>IF(AND('LID_LIQUIDACIONES'!C137&lt;&gt;"",COUNTIF(CL_TIPO_VALOR,'LID_LIQUIDACIONES'!C137)=0),1,0)</f>
        <v/>
      </c>
      <c r="D137">
        <f>IF(AND('LID_LIQUIDACIONES'!D137&lt;&gt;"",COUNTIF(CL_TIPO_OBLIGACI_N,'LID_LIQUIDACIONES'!D137)=0),1,0)</f>
        <v/>
      </c>
      <c r="E137">
        <f>IF(AND('LID_LIQUIDACIONES'!E137&lt;&gt;"",IF(ISNUMBER('LID_LIQUIDACIONES'!E137),OR('LID_LIQUIDACIONES'!E137&lt;&gt;ROUND('LID_LIQUIDACIONES'!E137,0),LEN(TEXT(INT(ABS('LID_LIQUIDACIONES'!E137)),"0"))&gt;12),TRUE)),1,0)</f>
        <v/>
      </c>
      <c r="F137">
        <f>IF(AND('LID_LIQUIDACIONES'!F137&lt;&gt;"",OR(LEN('LID_LIQUIDACIONES'!F137)&gt;3,COUNTIF(CL_MONEDA,'LID_LIQUIDACIONES'!F137)=0)),1,0)</f>
        <v/>
      </c>
      <c r="G137">
        <f>IF(AND('LID_LIQUIDACIONES'!G137&lt;&gt;"",COUNTIF(CL_ID_PAGOS,'LID_LIQUIDACIONES'!G137)=0),1,0)</f>
        <v/>
      </c>
      <c r="H137">
        <f>IF(AND('LID_LIQUIDACIONES'!H137&lt;&gt;"",COUNTIF(CL_FLAG_HORARIO,'LID_LIQUIDACIONES'!H137)=0),1,0)</f>
        <v/>
      </c>
      <c r="I137">
        <f>IF(AND('LID_LIQUIDACIONES'!I137&lt;&gt;"",COUNTIF(CL_CAT_ID_PAGOS_RET,'LID_LIQUIDACIONES'!I137)=0),1,0)</f>
        <v/>
      </c>
      <c r="J137">
        <f>IF(AND('LID_LIQUIDACIONES'!J137&lt;&gt;"",NOT(ISNUMBER('LID_LIQUIDACIONES'!J137))),1,0)</f>
        <v/>
      </c>
      <c r="K137">
        <f>IF(AND('LID_LIQUIDACIONES'!K137&lt;&gt;"",LEN('LID_LIQUIDACIONES'!K137)&gt;5),1,0)</f>
        <v/>
      </c>
      <c r="L137">
        <f>IF(AND('LID_LIQUIDACIONES'!L137&lt;&gt;"",IF(ISNUMBER('LID_LIQUIDACIONES'!L137),OR('LID_LIQUIDACIONES'!L137&lt;&gt;ROUND('LID_LIQUIDACIONES'!L137,0),LEN(TEXT(INT(ABS('LID_LIQUIDACIONES'!L137)),"0"))&gt;12),TRUE)),1,0)</f>
        <v/>
      </c>
      <c r="M137">
        <f>IF(AND('LID_LIQUIDACIONES'!M137&lt;&gt;"",COUNTIF(CL_CAT_MOTIVO_RET,'LID_LIQUIDACIONES'!M137)=0),1,0)</f>
        <v/>
      </c>
      <c r="N137">
        <f>IF(AND('LID_LIQUIDACIONES'!N137&lt;&gt;"",LEN('LID_LIQUIDACIONES'!N137)&gt;50),1,0)</f>
        <v/>
      </c>
      <c r="O137">
        <f>IF(AND('LID_LIQUIDACIONES'!O137&lt;&gt;"",COUNTIF(CL_CARACT_LIQ,'LID_LIQUIDACIONES'!O137)=0),1,0)</f>
        <v/>
      </c>
      <c r="P137">
        <f>IF(AND('LID_LIQUIDACIONES'!P137&lt;&gt;"",NOT(ISNUMBER('LID_LIQUIDACIONES'!P137))),1,0)</f>
        <v/>
      </c>
    </row>
    <row r="138">
      <c r="A138">
        <f>IF(AND('LID_LIQUIDACIONES'!A138&lt;&gt;"",NOT(ISNUMBER('LID_LIQUIDACIONES'!A138))),1,0)</f>
        <v/>
      </c>
      <c r="B138">
        <f>IF(AND('LID_LIQUIDACIONES'!B138&lt;&gt;"",LEN('LID_LIQUIDACIONES'!B138)&gt;5),1,0)</f>
        <v/>
      </c>
      <c r="C138">
        <f>IF(AND('LID_LIQUIDACIONES'!C138&lt;&gt;"",COUNTIF(CL_TIPO_VALOR,'LID_LIQUIDACIONES'!C138)=0),1,0)</f>
        <v/>
      </c>
      <c r="D138">
        <f>IF(AND('LID_LIQUIDACIONES'!D138&lt;&gt;"",COUNTIF(CL_TIPO_OBLIGACI_N,'LID_LIQUIDACIONES'!D138)=0),1,0)</f>
        <v/>
      </c>
      <c r="E138">
        <f>IF(AND('LID_LIQUIDACIONES'!E138&lt;&gt;"",IF(ISNUMBER('LID_LIQUIDACIONES'!E138),OR('LID_LIQUIDACIONES'!E138&lt;&gt;ROUND('LID_LIQUIDACIONES'!E138,0),LEN(TEXT(INT(ABS('LID_LIQUIDACIONES'!E138)),"0"))&gt;12),TRUE)),1,0)</f>
        <v/>
      </c>
      <c r="F138">
        <f>IF(AND('LID_LIQUIDACIONES'!F138&lt;&gt;"",OR(LEN('LID_LIQUIDACIONES'!F138)&gt;3,COUNTIF(CL_MONEDA,'LID_LIQUIDACIONES'!F138)=0)),1,0)</f>
        <v/>
      </c>
      <c r="G138">
        <f>IF(AND('LID_LIQUIDACIONES'!G138&lt;&gt;"",COUNTIF(CL_ID_PAGOS,'LID_LIQUIDACIONES'!G138)=0),1,0)</f>
        <v/>
      </c>
      <c r="H138">
        <f>IF(AND('LID_LIQUIDACIONES'!H138&lt;&gt;"",COUNTIF(CL_FLAG_HORARIO,'LID_LIQUIDACIONES'!H138)=0),1,0)</f>
        <v/>
      </c>
      <c r="I138">
        <f>IF(AND('LID_LIQUIDACIONES'!I138&lt;&gt;"",COUNTIF(CL_CAT_ID_PAGOS_RET,'LID_LIQUIDACIONES'!I138)=0),1,0)</f>
        <v/>
      </c>
      <c r="J138">
        <f>IF(AND('LID_LIQUIDACIONES'!J138&lt;&gt;"",NOT(ISNUMBER('LID_LIQUIDACIONES'!J138))),1,0)</f>
        <v/>
      </c>
      <c r="K138">
        <f>IF(AND('LID_LIQUIDACIONES'!K138&lt;&gt;"",LEN('LID_LIQUIDACIONES'!K138)&gt;5),1,0)</f>
        <v/>
      </c>
      <c r="L138">
        <f>IF(AND('LID_LIQUIDACIONES'!L138&lt;&gt;"",IF(ISNUMBER('LID_LIQUIDACIONES'!L138),OR('LID_LIQUIDACIONES'!L138&lt;&gt;ROUND('LID_LIQUIDACIONES'!L138,0),LEN(TEXT(INT(ABS('LID_LIQUIDACIONES'!L138)),"0"))&gt;12),TRUE)),1,0)</f>
        <v/>
      </c>
      <c r="M138">
        <f>IF(AND('LID_LIQUIDACIONES'!M138&lt;&gt;"",COUNTIF(CL_CAT_MOTIVO_RET,'LID_LIQUIDACIONES'!M138)=0),1,0)</f>
        <v/>
      </c>
      <c r="N138">
        <f>IF(AND('LID_LIQUIDACIONES'!N138&lt;&gt;"",LEN('LID_LIQUIDACIONES'!N138)&gt;50),1,0)</f>
        <v/>
      </c>
      <c r="O138">
        <f>IF(AND('LID_LIQUIDACIONES'!O138&lt;&gt;"",COUNTIF(CL_CARACT_LIQ,'LID_LIQUIDACIONES'!O138)=0),1,0)</f>
        <v/>
      </c>
      <c r="P138">
        <f>IF(AND('LID_LIQUIDACIONES'!P138&lt;&gt;"",NOT(ISNUMBER('LID_LIQUIDACIONES'!P138))),1,0)</f>
        <v/>
      </c>
    </row>
    <row r="139">
      <c r="A139">
        <f>IF(AND('LID_LIQUIDACIONES'!A139&lt;&gt;"",NOT(ISNUMBER('LID_LIQUIDACIONES'!A139))),1,0)</f>
        <v/>
      </c>
      <c r="B139">
        <f>IF(AND('LID_LIQUIDACIONES'!B139&lt;&gt;"",LEN('LID_LIQUIDACIONES'!B139)&gt;5),1,0)</f>
        <v/>
      </c>
      <c r="C139">
        <f>IF(AND('LID_LIQUIDACIONES'!C139&lt;&gt;"",COUNTIF(CL_TIPO_VALOR,'LID_LIQUIDACIONES'!C139)=0),1,0)</f>
        <v/>
      </c>
      <c r="D139">
        <f>IF(AND('LID_LIQUIDACIONES'!D139&lt;&gt;"",COUNTIF(CL_TIPO_OBLIGACI_N,'LID_LIQUIDACIONES'!D139)=0),1,0)</f>
        <v/>
      </c>
      <c r="E139">
        <f>IF(AND('LID_LIQUIDACIONES'!E139&lt;&gt;"",IF(ISNUMBER('LID_LIQUIDACIONES'!E139),OR('LID_LIQUIDACIONES'!E139&lt;&gt;ROUND('LID_LIQUIDACIONES'!E139,0),LEN(TEXT(INT(ABS('LID_LIQUIDACIONES'!E139)),"0"))&gt;12),TRUE)),1,0)</f>
        <v/>
      </c>
      <c r="F139">
        <f>IF(AND('LID_LIQUIDACIONES'!F139&lt;&gt;"",OR(LEN('LID_LIQUIDACIONES'!F139)&gt;3,COUNTIF(CL_MONEDA,'LID_LIQUIDACIONES'!F139)=0)),1,0)</f>
        <v/>
      </c>
      <c r="G139">
        <f>IF(AND('LID_LIQUIDACIONES'!G139&lt;&gt;"",COUNTIF(CL_ID_PAGOS,'LID_LIQUIDACIONES'!G139)=0),1,0)</f>
        <v/>
      </c>
      <c r="H139">
        <f>IF(AND('LID_LIQUIDACIONES'!H139&lt;&gt;"",COUNTIF(CL_FLAG_HORARIO,'LID_LIQUIDACIONES'!H139)=0),1,0)</f>
        <v/>
      </c>
      <c r="I139">
        <f>IF(AND('LID_LIQUIDACIONES'!I139&lt;&gt;"",COUNTIF(CL_CAT_ID_PAGOS_RET,'LID_LIQUIDACIONES'!I139)=0),1,0)</f>
        <v/>
      </c>
      <c r="J139">
        <f>IF(AND('LID_LIQUIDACIONES'!J139&lt;&gt;"",NOT(ISNUMBER('LID_LIQUIDACIONES'!J139))),1,0)</f>
        <v/>
      </c>
      <c r="K139">
        <f>IF(AND('LID_LIQUIDACIONES'!K139&lt;&gt;"",LEN('LID_LIQUIDACIONES'!K139)&gt;5),1,0)</f>
        <v/>
      </c>
      <c r="L139">
        <f>IF(AND('LID_LIQUIDACIONES'!L139&lt;&gt;"",IF(ISNUMBER('LID_LIQUIDACIONES'!L139),OR('LID_LIQUIDACIONES'!L139&lt;&gt;ROUND('LID_LIQUIDACIONES'!L139,0),LEN(TEXT(INT(ABS('LID_LIQUIDACIONES'!L139)),"0"))&gt;12),TRUE)),1,0)</f>
        <v/>
      </c>
      <c r="M139">
        <f>IF(AND('LID_LIQUIDACIONES'!M139&lt;&gt;"",COUNTIF(CL_CAT_MOTIVO_RET,'LID_LIQUIDACIONES'!M139)=0),1,0)</f>
        <v/>
      </c>
      <c r="N139">
        <f>IF(AND('LID_LIQUIDACIONES'!N139&lt;&gt;"",LEN('LID_LIQUIDACIONES'!N139)&gt;50),1,0)</f>
        <v/>
      </c>
      <c r="O139">
        <f>IF(AND('LID_LIQUIDACIONES'!O139&lt;&gt;"",COUNTIF(CL_CARACT_LIQ,'LID_LIQUIDACIONES'!O139)=0),1,0)</f>
        <v/>
      </c>
      <c r="P139">
        <f>IF(AND('LID_LIQUIDACIONES'!P139&lt;&gt;"",NOT(ISNUMBER('LID_LIQUIDACIONES'!P139))),1,0)</f>
        <v/>
      </c>
    </row>
    <row r="140">
      <c r="A140">
        <f>IF(AND('LID_LIQUIDACIONES'!A140&lt;&gt;"",NOT(ISNUMBER('LID_LIQUIDACIONES'!A140))),1,0)</f>
        <v/>
      </c>
      <c r="B140">
        <f>IF(AND('LID_LIQUIDACIONES'!B140&lt;&gt;"",LEN('LID_LIQUIDACIONES'!B140)&gt;5),1,0)</f>
        <v/>
      </c>
      <c r="C140">
        <f>IF(AND('LID_LIQUIDACIONES'!C140&lt;&gt;"",COUNTIF(CL_TIPO_VALOR,'LID_LIQUIDACIONES'!C140)=0),1,0)</f>
        <v/>
      </c>
      <c r="D140">
        <f>IF(AND('LID_LIQUIDACIONES'!D140&lt;&gt;"",COUNTIF(CL_TIPO_OBLIGACI_N,'LID_LIQUIDACIONES'!D140)=0),1,0)</f>
        <v/>
      </c>
      <c r="E140">
        <f>IF(AND('LID_LIQUIDACIONES'!E140&lt;&gt;"",IF(ISNUMBER('LID_LIQUIDACIONES'!E140),OR('LID_LIQUIDACIONES'!E140&lt;&gt;ROUND('LID_LIQUIDACIONES'!E140,0),LEN(TEXT(INT(ABS('LID_LIQUIDACIONES'!E140)),"0"))&gt;12),TRUE)),1,0)</f>
        <v/>
      </c>
      <c r="F140">
        <f>IF(AND('LID_LIQUIDACIONES'!F140&lt;&gt;"",OR(LEN('LID_LIQUIDACIONES'!F140)&gt;3,COUNTIF(CL_MONEDA,'LID_LIQUIDACIONES'!F140)=0)),1,0)</f>
        <v/>
      </c>
      <c r="G140">
        <f>IF(AND('LID_LIQUIDACIONES'!G140&lt;&gt;"",COUNTIF(CL_ID_PAGOS,'LID_LIQUIDACIONES'!G140)=0),1,0)</f>
        <v/>
      </c>
      <c r="H140">
        <f>IF(AND('LID_LIQUIDACIONES'!H140&lt;&gt;"",COUNTIF(CL_FLAG_HORARIO,'LID_LIQUIDACIONES'!H140)=0),1,0)</f>
        <v/>
      </c>
      <c r="I140">
        <f>IF(AND('LID_LIQUIDACIONES'!I140&lt;&gt;"",COUNTIF(CL_CAT_ID_PAGOS_RET,'LID_LIQUIDACIONES'!I140)=0),1,0)</f>
        <v/>
      </c>
      <c r="J140">
        <f>IF(AND('LID_LIQUIDACIONES'!J140&lt;&gt;"",NOT(ISNUMBER('LID_LIQUIDACIONES'!J140))),1,0)</f>
        <v/>
      </c>
      <c r="K140">
        <f>IF(AND('LID_LIQUIDACIONES'!K140&lt;&gt;"",LEN('LID_LIQUIDACIONES'!K140)&gt;5),1,0)</f>
        <v/>
      </c>
      <c r="L140">
        <f>IF(AND('LID_LIQUIDACIONES'!L140&lt;&gt;"",IF(ISNUMBER('LID_LIQUIDACIONES'!L140),OR('LID_LIQUIDACIONES'!L140&lt;&gt;ROUND('LID_LIQUIDACIONES'!L140,0),LEN(TEXT(INT(ABS('LID_LIQUIDACIONES'!L140)),"0"))&gt;12),TRUE)),1,0)</f>
        <v/>
      </c>
      <c r="M140">
        <f>IF(AND('LID_LIQUIDACIONES'!M140&lt;&gt;"",COUNTIF(CL_CAT_MOTIVO_RET,'LID_LIQUIDACIONES'!M140)=0),1,0)</f>
        <v/>
      </c>
      <c r="N140">
        <f>IF(AND('LID_LIQUIDACIONES'!N140&lt;&gt;"",LEN('LID_LIQUIDACIONES'!N140)&gt;50),1,0)</f>
        <v/>
      </c>
      <c r="O140">
        <f>IF(AND('LID_LIQUIDACIONES'!O140&lt;&gt;"",COUNTIF(CL_CARACT_LIQ,'LID_LIQUIDACIONES'!O140)=0),1,0)</f>
        <v/>
      </c>
      <c r="P140">
        <f>IF(AND('LID_LIQUIDACIONES'!P140&lt;&gt;"",NOT(ISNUMBER('LID_LIQUIDACIONES'!P140))),1,0)</f>
        <v/>
      </c>
    </row>
    <row r="141">
      <c r="A141">
        <f>IF(AND('LID_LIQUIDACIONES'!A141&lt;&gt;"",NOT(ISNUMBER('LID_LIQUIDACIONES'!A141))),1,0)</f>
        <v/>
      </c>
      <c r="B141">
        <f>IF(AND('LID_LIQUIDACIONES'!B141&lt;&gt;"",LEN('LID_LIQUIDACIONES'!B141)&gt;5),1,0)</f>
        <v/>
      </c>
      <c r="C141">
        <f>IF(AND('LID_LIQUIDACIONES'!C141&lt;&gt;"",COUNTIF(CL_TIPO_VALOR,'LID_LIQUIDACIONES'!C141)=0),1,0)</f>
        <v/>
      </c>
      <c r="D141">
        <f>IF(AND('LID_LIQUIDACIONES'!D141&lt;&gt;"",COUNTIF(CL_TIPO_OBLIGACI_N,'LID_LIQUIDACIONES'!D141)=0),1,0)</f>
        <v/>
      </c>
      <c r="E141">
        <f>IF(AND('LID_LIQUIDACIONES'!E141&lt;&gt;"",IF(ISNUMBER('LID_LIQUIDACIONES'!E141),OR('LID_LIQUIDACIONES'!E141&lt;&gt;ROUND('LID_LIQUIDACIONES'!E141,0),LEN(TEXT(INT(ABS('LID_LIQUIDACIONES'!E141)),"0"))&gt;12),TRUE)),1,0)</f>
        <v/>
      </c>
      <c r="F141">
        <f>IF(AND('LID_LIQUIDACIONES'!F141&lt;&gt;"",OR(LEN('LID_LIQUIDACIONES'!F141)&gt;3,COUNTIF(CL_MONEDA,'LID_LIQUIDACIONES'!F141)=0)),1,0)</f>
        <v/>
      </c>
      <c r="G141">
        <f>IF(AND('LID_LIQUIDACIONES'!G141&lt;&gt;"",COUNTIF(CL_ID_PAGOS,'LID_LIQUIDACIONES'!G141)=0),1,0)</f>
        <v/>
      </c>
      <c r="H141">
        <f>IF(AND('LID_LIQUIDACIONES'!H141&lt;&gt;"",COUNTIF(CL_FLAG_HORARIO,'LID_LIQUIDACIONES'!H141)=0),1,0)</f>
        <v/>
      </c>
      <c r="I141">
        <f>IF(AND('LID_LIQUIDACIONES'!I141&lt;&gt;"",COUNTIF(CL_CAT_ID_PAGOS_RET,'LID_LIQUIDACIONES'!I141)=0),1,0)</f>
        <v/>
      </c>
      <c r="J141">
        <f>IF(AND('LID_LIQUIDACIONES'!J141&lt;&gt;"",NOT(ISNUMBER('LID_LIQUIDACIONES'!J141))),1,0)</f>
        <v/>
      </c>
      <c r="K141">
        <f>IF(AND('LID_LIQUIDACIONES'!K141&lt;&gt;"",LEN('LID_LIQUIDACIONES'!K141)&gt;5),1,0)</f>
        <v/>
      </c>
      <c r="L141">
        <f>IF(AND('LID_LIQUIDACIONES'!L141&lt;&gt;"",IF(ISNUMBER('LID_LIQUIDACIONES'!L141),OR('LID_LIQUIDACIONES'!L141&lt;&gt;ROUND('LID_LIQUIDACIONES'!L141,0),LEN(TEXT(INT(ABS('LID_LIQUIDACIONES'!L141)),"0"))&gt;12),TRUE)),1,0)</f>
        <v/>
      </c>
      <c r="M141">
        <f>IF(AND('LID_LIQUIDACIONES'!M141&lt;&gt;"",COUNTIF(CL_CAT_MOTIVO_RET,'LID_LIQUIDACIONES'!M141)=0),1,0)</f>
        <v/>
      </c>
      <c r="N141">
        <f>IF(AND('LID_LIQUIDACIONES'!N141&lt;&gt;"",LEN('LID_LIQUIDACIONES'!N141)&gt;50),1,0)</f>
        <v/>
      </c>
      <c r="O141">
        <f>IF(AND('LID_LIQUIDACIONES'!O141&lt;&gt;"",COUNTIF(CL_CARACT_LIQ,'LID_LIQUIDACIONES'!O141)=0),1,0)</f>
        <v/>
      </c>
      <c r="P141">
        <f>IF(AND('LID_LIQUIDACIONES'!P141&lt;&gt;"",NOT(ISNUMBER('LID_LIQUIDACIONES'!P141))),1,0)</f>
        <v/>
      </c>
    </row>
    <row r="142">
      <c r="A142">
        <f>IF(AND('LID_LIQUIDACIONES'!A142&lt;&gt;"",NOT(ISNUMBER('LID_LIQUIDACIONES'!A142))),1,0)</f>
        <v/>
      </c>
      <c r="B142">
        <f>IF(AND('LID_LIQUIDACIONES'!B142&lt;&gt;"",LEN('LID_LIQUIDACIONES'!B142)&gt;5),1,0)</f>
        <v/>
      </c>
      <c r="C142">
        <f>IF(AND('LID_LIQUIDACIONES'!C142&lt;&gt;"",COUNTIF(CL_TIPO_VALOR,'LID_LIQUIDACIONES'!C142)=0),1,0)</f>
        <v/>
      </c>
      <c r="D142">
        <f>IF(AND('LID_LIQUIDACIONES'!D142&lt;&gt;"",COUNTIF(CL_TIPO_OBLIGACI_N,'LID_LIQUIDACIONES'!D142)=0),1,0)</f>
        <v/>
      </c>
      <c r="E142">
        <f>IF(AND('LID_LIQUIDACIONES'!E142&lt;&gt;"",IF(ISNUMBER('LID_LIQUIDACIONES'!E142),OR('LID_LIQUIDACIONES'!E142&lt;&gt;ROUND('LID_LIQUIDACIONES'!E142,0),LEN(TEXT(INT(ABS('LID_LIQUIDACIONES'!E142)),"0"))&gt;12),TRUE)),1,0)</f>
        <v/>
      </c>
      <c r="F142">
        <f>IF(AND('LID_LIQUIDACIONES'!F142&lt;&gt;"",OR(LEN('LID_LIQUIDACIONES'!F142)&gt;3,COUNTIF(CL_MONEDA,'LID_LIQUIDACIONES'!F142)=0)),1,0)</f>
        <v/>
      </c>
      <c r="G142">
        <f>IF(AND('LID_LIQUIDACIONES'!G142&lt;&gt;"",COUNTIF(CL_ID_PAGOS,'LID_LIQUIDACIONES'!G142)=0),1,0)</f>
        <v/>
      </c>
      <c r="H142">
        <f>IF(AND('LID_LIQUIDACIONES'!H142&lt;&gt;"",COUNTIF(CL_FLAG_HORARIO,'LID_LIQUIDACIONES'!H142)=0),1,0)</f>
        <v/>
      </c>
      <c r="I142">
        <f>IF(AND('LID_LIQUIDACIONES'!I142&lt;&gt;"",COUNTIF(CL_CAT_ID_PAGOS_RET,'LID_LIQUIDACIONES'!I142)=0),1,0)</f>
        <v/>
      </c>
      <c r="J142">
        <f>IF(AND('LID_LIQUIDACIONES'!J142&lt;&gt;"",NOT(ISNUMBER('LID_LIQUIDACIONES'!J142))),1,0)</f>
        <v/>
      </c>
      <c r="K142">
        <f>IF(AND('LID_LIQUIDACIONES'!K142&lt;&gt;"",LEN('LID_LIQUIDACIONES'!K142)&gt;5),1,0)</f>
        <v/>
      </c>
      <c r="L142">
        <f>IF(AND('LID_LIQUIDACIONES'!L142&lt;&gt;"",IF(ISNUMBER('LID_LIQUIDACIONES'!L142),OR('LID_LIQUIDACIONES'!L142&lt;&gt;ROUND('LID_LIQUIDACIONES'!L142,0),LEN(TEXT(INT(ABS('LID_LIQUIDACIONES'!L142)),"0"))&gt;12),TRUE)),1,0)</f>
        <v/>
      </c>
      <c r="M142">
        <f>IF(AND('LID_LIQUIDACIONES'!M142&lt;&gt;"",COUNTIF(CL_CAT_MOTIVO_RET,'LID_LIQUIDACIONES'!M142)=0),1,0)</f>
        <v/>
      </c>
      <c r="N142">
        <f>IF(AND('LID_LIQUIDACIONES'!N142&lt;&gt;"",LEN('LID_LIQUIDACIONES'!N142)&gt;50),1,0)</f>
        <v/>
      </c>
      <c r="O142">
        <f>IF(AND('LID_LIQUIDACIONES'!O142&lt;&gt;"",COUNTIF(CL_CARACT_LIQ,'LID_LIQUIDACIONES'!O142)=0),1,0)</f>
        <v/>
      </c>
      <c r="P142">
        <f>IF(AND('LID_LIQUIDACIONES'!P142&lt;&gt;"",NOT(ISNUMBER('LID_LIQUIDACIONES'!P142))),1,0)</f>
        <v/>
      </c>
    </row>
    <row r="143">
      <c r="A143">
        <f>IF(AND('LID_LIQUIDACIONES'!A143&lt;&gt;"",NOT(ISNUMBER('LID_LIQUIDACIONES'!A143))),1,0)</f>
        <v/>
      </c>
      <c r="B143">
        <f>IF(AND('LID_LIQUIDACIONES'!B143&lt;&gt;"",LEN('LID_LIQUIDACIONES'!B143)&gt;5),1,0)</f>
        <v/>
      </c>
      <c r="C143">
        <f>IF(AND('LID_LIQUIDACIONES'!C143&lt;&gt;"",COUNTIF(CL_TIPO_VALOR,'LID_LIQUIDACIONES'!C143)=0),1,0)</f>
        <v/>
      </c>
      <c r="D143">
        <f>IF(AND('LID_LIQUIDACIONES'!D143&lt;&gt;"",COUNTIF(CL_TIPO_OBLIGACI_N,'LID_LIQUIDACIONES'!D143)=0),1,0)</f>
        <v/>
      </c>
      <c r="E143">
        <f>IF(AND('LID_LIQUIDACIONES'!E143&lt;&gt;"",IF(ISNUMBER('LID_LIQUIDACIONES'!E143),OR('LID_LIQUIDACIONES'!E143&lt;&gt;ROUND('LID_LIQUIDACIONES'!E143,0),LEN(TEXT(INT(ABS('LID_LIQUIDACIONES'!E143)),"0"))&gt;12),TRUE)),1,0)</f>
        <v/>
      </c>
      <c r="F143">
        <f>IF(AND('LID_LIQUIDACIONES'!F143&lt;&gt;"",OR(LEN('LID_LIQUIDACIONES'!F143)&gt;3,COUNTIF(CL_MONEDA,'LID_LIQUIDACIONES'!F143)=0)),1,0)</f>
        <v/>
      </c>
      <c r="G143">
        <f>IF(AND('LID_LIQUIDACIONES'!G143&lt;&gt;"",COUNTIF(CL_ID_PAGOS,'LID_LIQUIDACIONES'!G143)=0),1,0)</f>
        <v/>
      </c>
      <c r="H143">
        <f>IF(AND('LID_LIQUIDACIONES'!H143&lt;&gt;"",COUNTIF(CL_FLAG_HORARIO,'LID_LIQUIDACIONES'!H143)=0),1,0)</f>
        <v/>
      </c>
      <c r="I143">
        <f>IF(AND('LID_LIQUIDACIONES'!I143&lt;&gt;"",COUNTIF(CL_CAT_ID_PAGOS_RET,'LID_LIQUIDACIONES'!I143)=0),1,0)</f>
        <v/>
      </c>
      <c r="J143">
        <f>IF(AND('LID_LIQUIDACIONES'!J143&lt;&gt;"",NOT(ISNUMBER('LID_LIQUIDACIONES'!J143))),1,0)</f>
        <v/>
      </c>
      <c r="K143">
        <f>IF(AND('LID_LIQUIDACIONES'!K143&lt;&gt;"",LEN('LID_LIQUIDACIONES'!K143)&gt;5),1,0)</f>
        <v/>
      </c>
      <c r="L143">
        <f>IF(AND('LID_LIQUIDACIONES'!L143&lt;&gt;"",IF(ISNUMBER('LID_LIQUIDACIONES'!L143),OR('LID_LIQUIDACIONES'!L143&lt;&gt;ROUND('LID_LIQUIDACIONES'!L143,0),LEN(TEXT(INT(ABS('LID_LIQUIDACIONES'!L143)),"0"))&gt;12),TRUE)),1,0)</f>
        <v/>
      </c>
      <c r="M143">
        <f>IF(AND('LID_LIQUIDACIONES'!M143&lt;&gt;"",COUNTIF(CL_CAT_MOTIVO_RET,'LID_LIQUIDACIONES'!M143)=0),1,0)</f>
        <v/>
      </c>
      <c r="N143">
        <f>IF(AND('LID_LIQUIDACIONES'!N143&lt;&gt;"",LEN('LID_LIQUIDACIONES'!N143)&gt;50),1,0)</f>
        <v/>
      </c>
      <c r="O143">
        <f>IF(AND('LID_LIQUIDACIONES'!O143&lt;&gt;"",COUNTIF(CL_CARACT_LIQ,'LID_LIQUIDACIONES'!O143)=0),1,0)</f>
        <v/>
      </c>
      <c r="P143">
        <f>IF(AND('LID_LIQUIDACIONES'!P143&lt;&gt;"",NOT(ISNUMBER('LID_LIQUIDACIONES'!P143))),1,0)</f>
        <v/>
      </c>
    </row>
    <row r="144">
      <c r="A144">
        <f>IF(AND('LID_LIQUIDACIONES'!A144&lt;&gt;"",NOT(ISNUMBER('LID_LIQUIDACIONES'!A144))),1,0)</f>
        <v/>
      </c>
      <c r="B144">
        <f>IF(AND('LID_LIQUIDACIONES'!B144&lt;&gt;"",LEN('LID_LIQUIDACIONES'!B144)&gt;5),1,0)</f>
        <v/>
      </c>
      <c r="C144">
        <f>IF(AND('LID_LIQUIDACIONES'!C144&lt;&gt;"",COUNTIF(CL_TIPO_VALOR,'LID_LIQUIDACIONES'!C144)=0),1,0)</f>
        <v/>
      </c>
      <c r="D144">
        <f>IF(AND('LID_LIQUIDACIONES'!D144&lt;&gt;"",COUNTIF(CL_TIPO_OBLIGACI_N,'LID_LIQUIDACIONES'!D144)=0),1,0)</f>
        <v/>
      </c>
      <c r="E144">
        <f>IF(AND('LID_LIQUIDACIONES'!E144&lt;&gt;"",IF(ISNUMBER('LID_LIQUIDACIONES'!E144),OR('LID_LIQUIDACIONES'!E144&lt;&gt;ROUND('LID_LIQUIDACIONES'!E144,0),LEN(TEXT(INT(ABS('LID_LIQUIDACIONES'!E144)),"0"))&gt;12),TRUE)),1,0)</f>
        <v/>
      </c>
      <c r="F144">
        <f>IF(AND('LID_LIQUIDACIONES'!F144&lt;&gt;"",OR(LEN('LID_LIQUIDACIONES'!F144)&gt;3,COUNTIF(CL_MONEDA,'LID_LIQUIDACIONES'!F144)=0)),1,0)</f>
        <v/>
      </c>
      <c r="G144">
        <f>IF(AND('LID_LIQUIDACIONES'!G144&lt;&gt;"",COUNTIF(CL_ID_PAGOS,'LID_LIQUIDACIONES'!G144)=0),1,0)</f>
        <v/>
      </c>
      <c r="H144">
        <f>IF(AND('LID_LIQUIDACIONES'!H144&lt;&gt;"",COUNTIF(CL_FLAG_HORARIO,'LID_LIQUIDACIONES'!H144)=0),1,0)</f>
        <v/>
      </c>
      <c r="I144">
        <f>IF(AND('LID_LIQUIDACIONES'!I144&lt;&gt;"",COUNTIF(CL_CAT_ID_PAGOS_RET,'LID_LIQUIDACIONES'!I144)=0),1,0)</f>
        <v/>
      </c>
      <c r="J144">
        <f>IF(AND('LID_LIQUIDACIONES'!J144&lt;&gt;"",NOT(ISNUMBER('LID_LIQUIDACIONES'!J144))),1,0)</f>
        <v/>
      </c>
      <c r="K144">
        <f>IF(AND('LID_LIQUIDACIONES'!K144&lt;&gt;"",LEN('LID_LIQUIDACIONES'!K144)&gt;5),1,0)</f>
        <v/>
      </c>
      <c r="L144">
        <f>IF(AND('LID_LIQUIDACIONES'!L144&lt;&gt;"",IF(ISNUMBER('LID_LIQUIDACIONES'!L144),OR('LID_LIQUIDACIONES'!L144&lt;&gt;ROUND('LID_LIQUIDACIONES'!L144,0),LEN(TEXT(INT(ABS('LID_LIQUIDACIONES'!L144)),"0"))&gt;12),TRUE)),1,0)</f>
        <v/>
      </c>
      <c r="M144">
        <f>IF(AND('LID_LIQUIDACIONES'!M144&lt;&gt;"",COUNTIF(CL_CAT_MOTIVO_RET,'LID_LIQUIDACIONES'!M144)=0),1,0)</f>
        <v/>
      </c>
      <c r="N144">
        <f>IF(AND('LID_LIQUIDACIONES'!N144&lt;&gt;"",LEN('LID_LIQUIDACIONES'!N144)&gt;50),1,0)</f>
        <v/>
      </c>
      <c r="O144">
        <f>IF(AND('LID_LIQUIDACIONES'!O144&lt;&gt;"",COUNTIF(CL_CARACT_LIQ,'LID_LIQUIDACIONES'!O144)=0),1,0)</f>
        <v/>
      </c>
      <c r="P144">
        <f>IF(AND('LID_LIQUIDACIONES'!P144&lt;&gt;"",NOT(ISNUMBER('LID_LIQUIDACIONES'!P144))),1,0)</f>
        <v/>
      </c>
    </row>
    <row r="145">
      <c r="A145">
        <f>IF(AND('LID_LIQUIDACIONES'!A145&lt;&gt;"",NOT(ISNUMBER('LID_LIQUIDACIONES'!A145))),1,0)</f>
        <v/>
      </c>
      <c r="B145">
        <f>IF(AND('LID_LIQUIDACIONES'!B145&lt;&gt;"",LEN('LID_LIQUIDACIONES'!B145)&gt;5),1,0)</f>
        <v/>
      </c>
      <c r="C145">
        <f>IF(AND('LID_LIQUIDACIONES'!C145&lt;&gt;"",COUNTIF(CL_TIPO_VALOR,'LID_LIQUIDACIONES'!C145)=0),1,0)</f>
        <v/>
      </c>
      <c r="D145">
        <f>IF(AND('LID_LIQUIDACIONES'!D145&lt;&gt;"",COUNTIF(CL_TIPO_OBLIGACI_N,'LID_LIQUIDACIONES'!D145)=0),1,0)</f>
        <v/>
      </c>
      <c r="E145">
        <f>IF(AND('LID_LIQUIDACIONES'!E145&lt;&gt;"",IF(ISNUMBER('LID_LIQUIDACIONES'!E145),OR('LID_LIQUIDACIONES'!E145&lt;&gt;ROUND('LID_LIQUIDACIONES'!E145,0),LEN(TEXT(INT(ABS('LID_LIQUIDACIONES'!E145)),"0"))&gt;12),TRUE)),1,0)</f>
        <v/>
      </c>
      <c r="F145">
        <f>IF(AND('LID_LIQUIDACIONES'!F145&lt;&gt;"",OR(LEN('LID_LIQUIDACIONES'!F145)&gt;3,COUNTIF(CL_MONEDA,'LID_LIQUIDACIONES'!F145)=0)),1,0)</f>
        <v/>
      </c>
      <c r="G145">
        <f>IF(AND('LID_LIQUIDACIONES'!G145&lt;&gt;"",COUNTIF(CL_ID_PAGOS,'LID_LIQUIDACIONES'!G145)=0),1,0)</f>
        <v/>
      </c>
      <c r="H145">
        <f>IF(AND('LID_LIQUIDACIONES'!H145&lt;&gt;"",COUNTIF(CL_FLAG_HORARIO,'LID_LIQUIDACIONES'!H145)=0),1,0)</f>
        <v/>
      </c>
      <c r="I145">
        <f>IF(AND('LID_LIQUIDACIONES'!I145&lt;&gt;"",COUNTIF(CL_CAT_ID_PAGOS_RET,'LID_LIQUIDACIONES'!I145)=0),1,0)</f>
        <v/>
      </c>
      <c r="J145">
        <f>IF(AND('LID_LIQUIDACIONES'!J145&lt;&gt;"",NOT(ISNUMBER('LID_LIQUIDACIONES'!J145))),1,0)</f>
        <v/>
      </c>
      <c r="K145">
        <f>IF(AND('LID_LIQUIDACIONES'!K145&lt;&gt;"",LEN('LID_LIQUIDACIONES'!K145)&gt;5),1,0)</f>
        <v/>
      </c>
      <c r="L145">
        <f>IF(AND('LID_LIQUIDACIONES'!L145&lt;&gt;"",IF(ISNUMBER('LID_LIQUIDACIONES'!L145),OR('LID_LIQUIDACIONES'!L145&lt;&gt;ROUND('LID_LIQUIDACIONES'!L145,0),LEN(TEXT(INT(ABS('LID_LIQUIDACIONES'!L145)),"0"))&gt;12),TRUE)),1,0)</f>
        <v/>
      </c>
      <c r="M145">
        <f>IF(AND('LID_LIQUIDACIONES'!M145&lt;&gt;"",COUNTIF(CL_CAT_MOTIVO_RET,'LID_LIQUIDACIONES'!M145)=0),1,0)</f>
        <v/>
      </c>
      <c r="N145">
        <f>IF(AND('LID_LIQUIDACIONES'!N145&lt;&gt;"",LEN('LID_LIQUIDACIONES'!N145)&gt;50),1,0)</f>
        <v/>
      </c>
      <c r="O145">
        <f>IF(AND('LID_LIQUIDACIONES'!O145&lt;&gt;"",COUNTIF(CL_CARACT_LIQ,'LID_LIQUIDACIONES'!O145)=0),1,0)</f>
        <v/>
      </c>
      <c r="P145">
        <f>IF(AND('LID_LIQUIDACIONES'!P145&lt;&gt;"",NOT(ISNUMBER('LID_LIQUIDACIONES'!P145))),1,0)</f>
        <v/>
      </c>
    </row>
    <row r="146">
      <c r="A146">
        <f>IF(AND('LID_LIQUIDACIONES'!A146&lt;&gt;"",NOT(ISNUMBER('LID_LIQUIDACIONES'!A146))),1,0)</f>
        <v/>
      </c>
      <c r="B146">
        <f>IF(AND('LID_LIQUIDACIONES'!B146&lt;&gt;"",LEN('LID_LIQUIDACIONES'!B146)&gt;5),1,0)</f>
        <v/>
      </c>
      <c r="C146">
        <f>IF(AND('LID_LIQUIDACIONES'!C146&lt;&gt;"",COUNTIF(CL_TIPO_VALOR,'LID_LIQUIDACIONES'!C146)=0),1,0)</f>
        <v/>
      </c>
      <c r="D146">
        <f>IF(AND('LID_LIQUIDACIONES'!D146&lt;&gt;"",COUNTIF(CL_TIPO_OBLIGACI_N,'LID_LIQUIDACIONES'!D146)=0),1,0)</f>
        <v/>
      </c>
      <c r="E146">
        <f>IF(AND('LID_LIQUIDACIONES'!E146&lt;&gt;"",IF(ISNUMBER('LID_LIQUIDACIONES'!E146),OR('LID_LIQUIDACIONES'!E146&lt;&gt;ROUND('LID_LIQUIDACIONES'!E146,0),LEN(TEXT(INT(ABS('LID_LIQUIDACIONES'!E146)),"0"))&gt;12),TRUE)),1,0)</f>
        <v/>
      </c>
      <c r="F146">
        <f>IF(AND('LID_LIQUIDACIONES'!F146&lt;&gt;"",OR(LEN('LID_LIQUIDACIONES'!F146)&gt;3,COUNTIF(CL_MONEDA,'LID_LIQUIDACIONES'!F146)=0)),1,0)</f>
        <v/>
      </c>
      <c r="G146">
        <f>IF(AND('LID_LIQUIDACIONES'!G146&lt;&gt;"",COUNTIF(CL_ID_PAGOS,'LID_LIQUIDACIONES'!G146)=0),1,0)</f>
        <v/>
      </c>
      <c r="H146">
        <f>IF(AND('LID_LIQUIDACIONES'!H146&lt;&gt;"",COUNTIF(CL_FLAG_HORARIO,'LID_LIQUIDACIONES'!H146)=0),1,0)</f>
        <v/>
      </c>
      <c r="I146">
        <f>IF(AND('LID_LIQUIDACIONES'!I146&lt;&gt;"",COUNTIF(CL_CAT_ID_PAGOS_RET,'LID_LIQUIDACIONES'!I146)=0),1,0)</f>
        <v/>
      </c>
      <c r="J146">
        <f>IF(AND('LID_LIQUIDACIONES'!J146&lt;&gt;"",NOT(ISNUMBER('LID_LIQUIDACIONES'!J146))),1,0)</f>
        <v/>
      </c>
      <c r="K146">
        <f>IF(AND('LID_LIQUIDACIONES'!K146&lt;&gt;"",LEN('LID_LIQUIDACIONES'!K146)&gt;5),1,0)</f>
        <v/>
      </c>
      <c r="L146">
        <f>IF(AND('LID_LIQUIDACIONES'!L146&lt;&gt;"",IF(ISNUMBER('LID_LIQUIDACIONES'!L146),OR('LID_LIQUIDACIONES'!L146&lt;&gt;ROUND('LID_LIQUIDACIONES'!L146,0),LEN(TEXT(INT(ABS('LID_LIQUIDACIONES'!L146)),"0"))&gt;12),TRUE)),1,0)</f>
        <v/>
      </c>
      <c r="M146">
        <f>IF(AND('LID_LIQUIDACIONES'!M146&lt;&gt;"",COUNTIF(CL_CAT_MOTIVO_RET,'LID_LIQUIDACIONES'!M146)=0),1,0)</f>
        <v/>
      </c>
      <c r="N146">
        <f>IF(AND('LID_LIQUIDACIONES'!N146&lt;&gt;"",LEN('LID_LIQUIDACIONES'!N146)&gt;50),1,0)</f>
        <v/>
      </c>
      <c r="O146">
        <f>IF(AND('LID_LIQUIDACIONES'!O146&lt;&gt;"",COUNTIF(CL_CARACT_LIQ,'LID_LIQUIDACIONES'!O146)=0),1,0)</f>
        <v/>
      </c>
      <c r="P146">
        <f>IF(AND('LID_LIQUIDACIONES'!P146&lt;&gt;"",NOT(ISNUMBER('LID_LIQUIDACIONES'!P146))),1,0)</f>
        <v/>
      </c>
    </row>
    <row r="147">
      <c r="A147">
        <f>IF(AND('LID_LIQUIDACIONES'!A147&lt;&gt;"",NOT(ISNUMBER('LID_LIQUIDACIONES'!A147))),1,0)</f>
        <v/>
      </c>
      <c r="B147">
        <f>IF(AND('LID_LIQUIDACIONES'!B147&lt;&gt;"",LEN('LID_LIQUIDACIONES'!B147)&gt;5),1,0)</f>
        <v/>
      </c>
      <c r="C147">
        <f>IF(AND('LID_LIQUIDACIONES'!C147&lt;&gt;"",COUNTIF(CL_TIPO_VALOR,'LID_LIQUIDACIONES'!C147)=0),1,0)</f>
        <v/>
      </c>
      <c r="D147">
        <f>IF(AND('LID_LIQUIDACIONES'!D147&lt;&gt;"",COUNTIF(CL_TIPO_OBLIGACI_N,'LID_LIQUIDACIONES'!D147)=0),1,0)</f>
        <v/>
      </c>
      <c r="E147">
        <f>IF(AND('LID_LIQUIDACIONES'!E147&lt;&gt;"",IF(ISNUMBER('LID_LIQUIDACIONES'!E147),OR('LID_LIQUIDACIONES'!E147&lt;&gt;ROUND('LID_LIQUIDACIONES'!E147,0),LEN(TEXT(INT(ABS('LID_LIQUIDACIONES'!E147)),"0"))&gt;12),TRUE)),1,0)</f>
        <v/>
      </c>
      <c r="F147">
        <f>IF(AND('LID_LIQUIDACIONES'!F147&lt;&gt;"",OR(LEN('LID_LIQUIDACIONES'!F147)&gt;3,COUNTIF(CL_MONEDA,'LID_LIQUIDACIONES'!F147)=0)),1,0)</f>
        <v/>
      </c>
      <c r="G147">
        <f>IF(AND('LID_LIQUIDACIONES'!G147&lt;&gt;"",COUNTIF(CL_ID_PAGOS,'LID_LIQUIDACIONES'!G147)=0),1,0)</f>
        <v/>
      </c>
      <c r="H147">
        <f>IF(AND('LID_LIQUIDACIONES'!H147&lt;&gt;"",COUNTIF(CL_FLAG_HORARIO,'LID_LIQUIDACIONES'!H147)=0),1,0)</f>
        <v/>
      </c>
      <c r="I147">
        <f>IF(AND('LID_LIQUIDACIONES'!I147&lt;&gt;"",COUNTIF(CL_CAT_ID_PAGOS_RET,'LID_LIQUIDACIONES'!I147)=0),1,0)</f>
        <v/>
      </c>
      <c r="J147">
        <f>IF(AND('LID_LIQUIDACIONES'!J147&lt;&gt;"",NOT(ISNUMBER('LID_LIQUIDACIONES'!J147))),1,0)</f>
        <v/>
      </c>
      <c r="K147">
        <f>IF(AND('LID_LIQUIDACIONES'!K147&lt;&gt;"",LEN('LID_LIQUIDACIONES'!K147)&gt;5),1,0)</f>
        <v/>
      </c>
      <c r="L147">
        <f>IF(AND('LID_LIQUIDACIONES'!L147&lt;&gt;"",IF(ISNUMBER('LID_LIQUIDACIONES'!L147),OR('LID_LIQUIDACIONES'!L147&lt;&gt;ROUND('LID_LIQUIDACIONES'!L147,0),LEN(TEXT(INT(ABS('LID_LIQUIDACIONES'!L147)),"0"))&gt;12),TRUE)),1,0)</f>
        <v/>
      </c>
      <c r="M147">
        <f>IF(AND('LID_LIQUIDACIONES'!M147&lt;&gt;"",COUNTIF(CL_CAT_MOTIVO_RET,'LID_LIQUIDACIONES'!M147)=0),1,0)</f>
        <v/>
      </c>
      <c r="N147">
        <f>IF(AND('LID_LIQUIDACIONES'!N147&lt;&gt;"",LEN('LID_LIQUIDACIONES'!N147)&gt;50),1,0)</f>
        <v/>
      </c>
      <c r="O147">
        <f>IF(AND('LID_LIQUIDACIONES'!O147&lt;&gt;"",COUNTIF(CL_CARACT_LIQ,'LID_LIQUIDACIONES'!O147)=0),1,0)</f>
        <v/>
      </c>
      <c r="P147">
        <f>IF(AND('LID_LIQUIDACIONES'!P147&lt;&gt;"",NOT(ISNUMBER('LID_LIQUIDACIONES'!P147))),1,0)</f>
        <v/>
      </c>
    </row>
    <row r="148">
      <c r="A148">
        <f>IF(AND('LID_LIQUIDACIONES'!A148&lt;&gt;"",NOT(ISNUMBER('LID_LIQUIDACIONES'!A148))),1,0)</f>
        <v/>
      </c>
      <c r="B148">
        <f>IF(AND('LID_LIQUIDACIONES'!B148&lt;&gt;"",LEN('LID_LIQUIDACIONES'!B148)&gt;5),1,0)</f>
        <v/>
      </c>
      <c r="C148">
        <f>IF(AND('LID_LIQUIDACIONES'!C148&lt;&gt;"",COUNTIF(CL_TIPO_VALOR,'LID_LIQUIDACIONES'!C148)=0),1,0)</f>
        <v/>
      </c>
      <c r="D148">
        <f>IF(AND('LID_LIQUIDACIONES'!D148&lt;&gt;"",COUNTIF(CL_TIPO_OBLIGACI_N,'LID_LIQUIDACIONES'!D148)=0),1,0)</f>
        <v/>
      </c>
      <c r="E148">
        <f>IF(AND('LID_LIQUIDACIONES'!E148&lt;&gt;"",IF(ISNUMBER('LID_LIQUIDACIONES'!E148),OR('LID_LIQUIDACIONES'!E148&lt;&gt;ROUND('LID_LIQUIDACIONES'!E148,0),LEN(TEXT(INT(ABS('LID_LIQUIDACIONES'!E148)),"0"))&gt;12),TRUE)),1,0)</f>
        <v/>
      </c>
      <c r="F148">
        <f>IF(AND('LID_LIQUIDACIONES'!F148&lt;&gt;"",OR(LEN('LID_LIQUIDACIONES'!F148)&gt;3,COUNTIF(CL_MONEDA,'LID_LIQUIDACIONES'!F148)=0)),1,0)</f>
        <v/>
      </c>
      <c r="G148">
        <f>IF(AND('LID_LIQUIDACIONES'!G148&lt;&gt;"",COUNTIF(CL_ID_PAGOS,'LID_LIQUIDACIONES'!G148)=0),1,0)</f>
        <v/>
      </c>
      <c r="H148">
        <f>IF(AND('LID_LIQUIDACIONES'!H148&lt;&gt;"",COUNTIF(CL_FLAG_HORARIO,'LID_LIQUIDACIONES'!H148)=0),1,0)</f>
        <v/>
      </c>
      <c r="I148">
        <f>IF(AND('LID_LIQUIDACIONES'!I148&lt;&gt;"",COUNTIF(CL_CAT_ID_PAGOS_RET,'LID_LIQUIDACIONES'!I148)=0),1,0)</f>
        <v/>
      </c>
      <c r="J148">
        <f>IF(AND('LID_LIQUIDACIONES'!J148&lt;&gt;"",NOT(ISNUMBER('LID_LIQUIDACIONES'!J148))),1,0)</f>
        <v/>
      </c>
      <c r="K148">
        <f>IF(AND('LID_LIQUIDACIONES'!K148&lt;&gt;"",LEN('LID_LIQUIDACIONES'!K148)&gt;5),1,0)</f>
        <v/>
      </c>
      <c r="L148">
        <f>IF(AND('LID_LIQUIDACIONES'!L148&lt;&gt;"",IF(ISNUMBER('LID_LIQUIDACIONES'!L148),OR('LID_LIQUIDACIONES'!L148&lt;&gt;ROUND('LID_LIQUIDACIONES'!L148,0),LEN(TEXT(INT(ABS('LID_LIQUIDACIONES'!L148)),"0"))&gt;12),TRUE)),1,0)</f>
        <v/>
      </c>
      <c r="M148">
        <f>IF(AND('LID_LIQUIDACIONES'!M148&lt;&gt;"",COUNTIF(CL_CAT_MOTIVO_RET,'LID_LIQUIDACIONES'!M148)=0),1,0)</f>
        <v/>
      </c>
      <c r="N148">
        <f>IF(AND('LID_LIQUIDACIONES'!N148&lt;&gt;"",LEN('LID_LIQUIDACIONES'!N148)&gt;50),1,0)</f>
        <v/>
      </c>
      <c r="O148">
        <f>IF(AND('LID_LIQUIDACIONES'!O148&lt;&gt;"",COUNTIF(CL_CARACT_LIQ,'LID_LIQUIDACIONES'!O148)=0),1,0)</f>
        <v/>
      </c>
      <c r="P148">
        <f>IF(AND('LID_LIQUIDACIONES'!P148&lt;&gt;"",NOT(ISNUMBER('LID_LIQUIDACIONES'!P148))),1,0)</f>
        <v/>
      </c>
    </row>
    <row r="149">
      <c r="A149">
        <f>IF(AND('LID_LIQUIDACIONES'!A149&lt;&gt;"",NOT(ISNUMBER('LID_LIQUIDACIONES'!A149))),1,0)</f>
        <v/>
      </c>
      <c r="B149">
        <f>IF(AND('LID_LIQUIDACIONES'!B149&lt;&gt;"",LEN('LID_LIQUIDACIONES'!B149)&gt;5),1,0)</f>
        <v/>
      </c>
      <c r="C149">
        <f>IF(AND('LID_LIQUIDACIONES'!C149&lt;&gt;"",COUNTIF(CL_TIPO_VALOR,'LID_LIQUIDACIONES'!C149)=0),1,0)</f>
        <v/>
      </c>
      <c r="D149">
        <f>IF(AND('LID_LIQUIDACIONES'!D149&lt;&gt;"",COUNTIF(CL_TIPO_OBLIGACI_N,'LID_LIQUIDACIONES'!D149)=0),1,0)</f>
        <v/>
      </c>
      <c r="E149">
        <f>IF(AND('LID_LIQUIDACIONES'!E149&lt;&gt;"",IF(ISNUMBER('LID_LIQUIDACIONES'!E149),OR('LID_LIQUIDACIONES'!E149&lt;&gt;ROUND('LID_LIQUIDACIONES'!E149,0),LEN(TEXT(INT(ABS('LID_LIQUIDACIONES'!E149)),"0"))&gt;12),TRUE)),1,0)</f>
        <v/>
      </c>
      <c r="F149">
        <f>IF(AND('LID_LIQUIDACIONES'!F149&lt;&gt;"",OR(LEN('LID_LIQUIDACIONES'!F149)&gt;3,COUNTIF(CL_MONEDA,'LID_LIQUIDACIONES'!F149)=0)),1,0)</f>
        <v/>
      </c>
      <c r="G149">
        <f>IF(AND('LID_LIQUIDACIONES'!G149&lt;&gt;"",COUNTIF(CL_ID_PAGOS,'LID_LIQUIDACIONES'!G149)=0),1,0)</f>
        <v/>
      </c>
      <c r="H149">
        <f>IF(AND('LID_LIQUIDACIONES'!H149&lt;&gt;"",COUNTIF(CL_FLAG_HORARIO,'LID_LIQUIDACIONES'!H149)=0),1,0)</f>
        <v/>
      </c>
      <c r="I149">
        <f>IF(AND('LID_LIQUIDACIONES'!I149&lt;&gt;"",COUNTIF(CL_CAT_ID_PAGOS_RET,'LID_LIQUIDACIONES'!I149)=0),1,0)</f>
        <v/>
      </c>
      <c r="J149">
        <f>IF(AND('LID_LIQUIDACIONES'!J149&lt;&gt;"",NOT(ISNUMBER('LID_LIQUIDACIONES'!J149))),1,0)</f>
        <v/>
      </c>
      <c r="K149">
        <f>IF(AND('LID_LIQUIDACIONES'!K149&lt;&gt;"",LEN('LID_LIQUIDACIONES'!K149)&gt;5),1,0)</f>
        <v/>
      </c>
      <c r="L149">
        <f>IF(AND('LID_LIQUIDACIONES'!L149&lt;&gt;"",IF(ISNUMBER('LID_LIQUIDACIONES'!L149),OR('LID_LIQUIDACIONES'!L149&lt;&gt;ROUND('LID_LIQUIDACIONES'!L149,0),LEN(TEXT(INT(ABS('LID_LIQUIDACIONES'!L149)),"0"))&gt;12),TRUE)),1,0)</f>
        <v/>
      </c>
      <c r="M149">
        <f>IF(AND('LID_LIQUIDACIONES'!M149&lt;&gt;"",COUNTIF(CL_CAT_MOTIVO_RET,'LID_LIQUIDACIONES'!M149)=0),1,0)</f>
        <v/>
      </c>
      <c r="N149">
        <f>IF(AND('LID_LIQUIDACIONES'!N149&lt;&gt;"",LEN('LID_LIQUIDACIONES'!N149)&gt;50),1,0)</f>
        <v/>
      </c>
      <c r="O149">
        <f>IF(AND('LID_LIQUIDACIONES'!O149&lt;&gt;"",COUNTIF(CL_CARACT_LIQ,'LID_LIQUIDACIONES'!O149)=0),1,0)</f>
        <v/>
      </c>
      <c r="P149">
        <f>IF(AND('LID_LIQUIDACIONES'!P149&lt;&gt;"",NOT(ISNUMBER('LID_LIQUIDACIONES'!P149))),1,0)</f>
        <v/>
      </c>
    </row>
    <row r="150">
      <c r="A150">
        <f>IF(AND('LID_LIQUIDACIONES'!A150&lt;&gt;"",NOT(ISNUMBER('LID_LIQUIDACIONES'!A150))),1,0)</f>
        <v/>
      </c>
      <c r="B150">
        <f>IF(AND('LID_LIQUIDACIONES'!B150&lt;&gt;"",LEN('LID_LIQUIDACIONES'!B150)&gt;5),1,0)</f>
        <v/>
      </c>
      <c r="C150">
        <f>IF(AND('LID_LIQUIDACIONES'!C150&lt;&gt;"",COUNTIF(CL_TIPO_VALOR,'LID_LIQUIDACIONES'!C150)=0),1,0)</f>
        <v/>
      </c>
      <c r="D150">
        <f>IF(AND('LID_LIQUIDACIONES'!D150&lt;&gt;"",COUNTIF(CL_TIPO_OBLIGACI_N,'LID_LIQUIDACIONES'!D150)=0),1,0)</f>
        <v/>
      </c>
      <c r="E150">
        <f>IF(AND('LID_LIQUIDACIONES'!E150&lt;&gt;"",IF(ISNUMBER('LID_LIQUIDACIONES'!E150),OR('LID_LIQUIDACIONES'!E150&lt;&gt;ROUND('LID_LIQUIDACIONES'!E150,0),LEN(TEXT(INT(ABS('LID_LIQUIDACIONES'!E150)),"0"))&gt;12),TRUE)),1,0)</f>
        <v/>
      </c>
      <c r="F150">
        <f>IF(AND('LID_LIQUIDACIONES'!F150&lt;&gt;"",OR(LEN('LID_LIQUIDACIONES'!F150)&gt;3,COUNTIF(CL_MONEDA,'LID_LIQUIDACIONES'!F150)=0)),1,0)</f>
        <v/>
      </c>
      <c r="G150">
        <f>IF(AND('LID_LIQUIDACIONES'!G150&lt;&gt;"",COUNTIF(CL_ID_PAGOS,'LID_LIQUIDACIONES'!G150)=0),1,0)</f>
        <v/>
      </c>
      <c r="H150">
        <f>IF(AND('LID_LIQUIDACIONES'!H150&lt;&gt;"",COUNTIF(CL_FLAG_HORARIO,'LID_LIQUIDACIONES'!H150)=0),1,0)</f>
        <v/>
      </c>
      <c r="I150">
        <f>IF(AND('LID_LIQUIDACIONES'!I150&lt;&gt;"",COUNTIF(CL_CAT_ID_PAGOS_RET,'LID_LIQUIDACIONES'!I150)=0),1,0)</f>
        <v/>
      </c>
      <c r="J150">
        <f>IF(AND('LID_LIQUIDACIONES'!J150&lt;&gt;"",NOT(ISNUMBER('LID_LIQUIDACIONES'!J150))),1,0)</f>
        <v/>
      </c>
      <c r="K150">
        <f>IF(AND('LID_LIQUIDACIONES'!K150&lt;&gt;"",LEN('LID_LIQUIDACIONES'!K150)&gt;5),1,0)</f>
        <v/>
      </c>
      <c r="L150">
        <f>IF(AND('LID_LIQUIDACIONES'!L150&lt;&gt;"",IF(ISNUMBER('LID_LIQUIDACIONES'!L150),OR('LID_LIQUIDACIONES'!L150&lt;&gt;ROUND('LID_LIQUIDACIONES'!L150,0),LEN(TEXT(INT(ABS('LID_LIQUIDACIONES'!L150)),"0"))&gt;12),TRUE)),1,0)</f>
        <v/>
      </c>
      <c r="M150">
        <f>IF(AND('LID_LIQUIDACIONES'!M150&lt;&gt;"",COUNTIF(CL_CAT_MOTIVO_RET,'LID_LIQUIDACIONES'!M150)=0),1,0)</f>
        <v/>
      </c>
      <c r="N150">
        <f>IF(AND('LID_LIQUIDACIONES'!N150&lt;&gt;"",LEN('LID_LIQUIDACIONES'!N150)&gt;50),1,0)</f>
        <v/>
      </c>
      <c r="O150">
        <f>IF(AND('LID_LIQUIDACIONES'!O150&lt;&gt;"",COUNTIF(CL_CARACT_LIQ,'LID_LIQUIDACIONES'!O150)=0),1,0)</f>
        <v/>
      </c>
      <c r="P150">
        <f>IF(AND('LID_LIQUIDACIONES'!P150&lt;&gt;"",NOT(ISNUMBER('LID_LIQUIDACIONES'!P150))),1,0)</f>
        <v/>
      </c>
    </row>
    <row r="151">
      <c r="A151">
        <f>IF(AND('LID_LIQUIDACIONES'!A151&lt;&gt;"",NOT(ISNUMBER('LID_LIQUIDACIONES'!A151))),1,0)</f>
        <v/>
      </c>
      <c r="B151">
        <f>IF(AND('LID_LIQUIDACIONES'!B151&lt;&gt;"",LEN('LID_LIQUIDACIONES'!B151)&gt;5),1,0)</f>
        <v/>
      </c>
      <c r="C151">
        <f>IF(AND('LID_LIQUIDACIONES'!C151&lt;&gt;"",COUNTIF(CL_TIPO_VALOR,'LID_LIQUIDACIONES'!C151)=0),1,0)</f>
        <v/>
      </c>
      <c r="D151">
        <f>IF(AND('LID_LIQUIDACIONES'!D151&lt;&gt;"",COUNTIF(CL_TIPO_OBLIGACI_N,'LID_LIQUIDACIONES'!D151)=0),1,0)</f>
        <v/>
      </c>
      <c r="E151">
        <f>IF(AND('LID_LIQUIDACIONES'!E151&lt;&gt;"",IF(ISNUMBER('LID_LIQUIDACIONES'!E151),OR('LID_LIQUIDACIONES'!E151&lt;&gt;ROUND('LID_LIQUIDACIONES'!E151,0),LEN(TEXT(INT(ABS('LID_LIQUIDACIONES'!E151)),"0"))&gt;12),TRUE)),1,0)</f>
        <v/>
      </c>
      <c r="F151">
        <f>IF(AND('LID_LIQUIDACIONES'!F151&lt;&gt;"",OR(LEN('LID_LIQUIDACIONES'!F151)&gt;3,COUNTIF(CL_MONEDA,'LID_LIQUIDACIONES'!F151)=0)),1,0)</f>
        <v/>
      </c>
      <c r="G151">
        <f>IF(AND('LID_LIQUIDACIONES'!G151&lt;&gt;"",COUNTIF(CL_ID_PAGOS,'LID_LIQUIDACIONES'!G151)=0),1,0)</f>
        <v/>
      </c>
      <c r="H151">
        <f>IF(AND('LID_LIQUIDACIONES'!H151&lt;&gt;"",COUNTIF(CL_FLAG_HORARIO,'LID_LIQUIDACIONES'!H151)=0),1,0)</f>
        <v/>
      </c>
      <c r="I151">
        <f>IF(AND('LID_LIQUIDACIONES'!I151&lt;&gt;"",COUNTIF(CL_CAT_ID_PAGOS_RET,'LID_LIQUIDACIONES'!I151)=0),1,0)</f>
        <v/>
      </c>
      <c r="J151">
        <f>IF(AND('LID_LIQUIDACIONES'!J151&lt;&gt;"",NOT(ISNUMBER('LID_LIQUIDACIONES'!J151))),1,0)</f>
        <v/>
      </c>
      <c r="K151">
        <f>IF(AND('LID_LIQUIDACIONES'!K151&lt;&gt;"",LEN('LID_LIQUIDACIONES'!K151)&gt;5),1,0)</f>
        <v/>
      </c>
      <c r="L151">
        <f>IF(AND('LID_LIQUIDACIONES'!L151&lt;&gt;"",IF(ISNUMBER('LID_LIQUIDACIONES'!L151),OR('LID_LIQUIDACIONES'!L151&lt;&gt;ROUND('LID_LIQUIDACIONES'!L151,0),LEN(TEXT(INT(ABS('LID_LIQUIDACIONES'!L151)),"0"))&gt;12),TRUE)),1,0)</f>
        <v/>
      </c>
      <c r="M151">
        <f>IF(AND('LID_LIQUIDACIONES'!M151&lt;&gt;"",COUNTIF(CL_CAT_MOTIVO_RET,'LID_LIQUIDACIONES'!M151)=0),1,0)</f>
        <v/>
      </c>
      <c r="N151">
        <f>IF(AND('LID_LIQUIDACIONES'!N151&lt;&gt;"",LEN('LID_LIQUIDACIONES'!N151)&gt;50),1,0)</f>
        <v/>
      </c>
      <c r="O151">
        <f>IF(AND('LID_LIQUIDACIONES'!O151&lt;&gt;"",COUNTIF(CL_CARACT_LIQ,'LID_LIQUIDACIONES'!O151)=0),1,0)</f>
        <v/>
      </c>
      <c r="P151">
        <f>IF(AND('LID_LIQUIDACIONES'!P151&lt;&gt;"",NOT(ISNUMBER('LID_LIQUIDACIONES'!P151))),1,0)</f>
        <v/>
      </c>
    </row>
    <row r="152">
      <c r="A152">
        <f>IF(AND('LID_LIQUIDACIONES'!A152&lt;&gt;"",NOT(ISNUMBER('LID_LIQUIDACIONES'!A152))),1,0)</f>
        <v/>
      </c>
      <c r="B152">
        <f>IF(AND('LID_LIQUIDACIONES'!B152&lt;&gt;"",LEN('LID_LIQUIDACIONES'!B152)&gt;5),1,0)</f>
        <v/>
      </c>
      <c r="C152">
        <f>IF(AND('LID_LIQUIDACIONES'!C152&lt;&gt;"",COUNTIF(CL_TIPO_VALOR,'LID_LIQUIDACIONES'!C152)=0),1,0)</f>
        <v/>
      </c>
      <c r="D152">
        <f>IF(AND('LID_LIQUIDACIONES'!D152&lt;&gt;"",COUNTIF(CL_TIPO_OBLIGACI_N,'LID_LIQUIDACIONES'!D152)=0),1,0)</f>
        <v/>
      </c>
      <c r="E152">
        <f>IF(AND('LID_LIQUIDACIONES'!E152&lt;&gt;"",IF(ISNUMBER('LID_LIQUIDACIONES'!E152),OR('LID_LIQUIDACIONES'!E152&lt;&gt;ROUND('LID_LIQUIDACIONES'!E152,0),LEN(TEXT(INT(ABS('LID_LIQUIDACIONES'!E152)),"0"))&gt;12),TRUE)),1,0)</f>
        <v/>
      </c>
      <c r="F152">
        <f>IF(AND('LID_LIQUIDACIONES'!F152&lt;&gt;"",OR(LEN('LID_LIQUIDACIONES'!F152)&gt;3,COUNTIF(CL_MONEDA,'LID_LIQUIDACIONES'!F152)=0)),1,0)</f>
        <v/>
      </c>
      <c r="G152">
        <f>IF(AND('LID_LIQUIDACIONES'!G152&lt;&gt;"",COUNTIF(CL_ID_PAGOS,'LID_LIQUIDACIONES'!G152)=0),1,0)</f>
        <v/>
      </c>
      <c r="H152">
        <f>IF(AND('LID_LIQUIDACIONES'!H152&lt;&gt;"",COUNTIF(CL_FLAG_HORARIO,'LID_LIQUIDACIONES'!H152)=0),1,0)</f>
        <v/>
      </c>
      <c r="I152">
        <f>IF(AND('LID_LIQUIDACIONES'!I152&lt;&gt;"",COUNTIF(CL_CAT_ID_PAGOS_RET,'LID_LIQUIDACIONES'!I152)=0),1,0)</f>
        <v/>
      </c>
      <c r="J152">
        <f>IF(AND('LID_LIQUIDACIONES'!J152&lt;&gt;"",NOT(ISNUMBER('LID_LIQUIDACIONES'!J152))),1,0)</f>
        <v/>
      </c>
      <c r="K152">
        <f>IF(AND('LID_LIQUIDACIONES'!K152&lt;&gt;"",LEN('LID_LIQUIDACIONES'!K152)&gt;5),1,0)</f>
        <v/>
      </c>
      <c r="L152">
        <f>IF(AND('LID_LIQUIDACIONES'!L152&lt;&gt;"",IF(ISNUMBER('LID_LIQUIDACIONES'!L152),OR('LID_LIQUIDACIONES'!L152&lt;&gt;ROUND('LID_LIQUIDACIONES'!L152,0),LEN(TEXT(INT(ABS('LID_LIQUIDACIONES'!L152)),"0"))&gt;12),TRUE)),1,0)</f>
        <v/>
      </c>
      <c r="M152">
        <f>IF(AND('LID_LIQUIDACIONES'!M152&lt;&gt;"",COUNTIF(CL_CAT_MOTIVO_RET,'LID_LIQUIDACIONES'!M152)=0),1,0)</f>
        <v/>
      </c>
      <c r="N152">
        <f>IF(AND('LID_LIQUIDACIONES'!N152&lt;&gt;"",LEN('LID_LIQUIDACIONES'!N152)&gt;50),1,0)</f>
        <v/>
      </c>
      <c r="O152">
        <f>IF(AND('LID_LIQUIDACIONES'!O152&lt;&gt;"",COUNTIF(CL_CARACT_LIQ,'LID_LIQUIDACIONES'!O152)=0),1,0)</f>
        <v/>
      </c>
      <c r="P152">
        <f>IF(AND('LID_LIQUIDACIONES'!P152&lt;&gt;"",NOT(ISNUMBER('LID_LIQUIDACIONES'!P152))),1,0)</f>
        <v/>
      </c>
    </row>
    <row r="153">
      <c r="A153">
        <f>IF(AND('LID_LIQUIDACIONES'!A153&lt;&gt;"",NOT(ISNUMBER('LID_LIQUIDACIONES'!A153))),1,0)</f>
        <v/>
      </c>
      <c r="B153">
        <f>IF(AND('LID_LIQUIDACIONES'!B153&lt;&gt;"",LEN('LID_LIQUIDACIONES'!B153)&gt;5),1,0)</f>
        <v/>
      </c>
      <c r="C153">
        <f>IF(AND('LID_LIQUIDACIONES'!C153&lt;&gt;"",COUNTIF(CL_TIPO_VALOR,'LID_LIQUIDACIONES'!C153)=0),1,0)</f>
        <v/>
      </c>
      <c r="D153">
        <f>IF(AND('LID_LIQUIDACIONES'!D153&lt;&gt;"",COUNTIF(CL_TIPO_OBLIGACI_N,'LID_LIQUIDACIONES'!D153)=0),1,0)</f>
        <v/>
      </c>
      <c r="E153">
        <f>IF(AND('LID_LIQUIDACIONES'!E153&lt;&gt;"",IF(ISNUMBER('LID_LIQUIDACIONES'!E153),OR('LID_LIQUIDACIONES'!E153&lt;&gt;ROUND('LID_LIQUIDACIONES'!E153,0),LEN(TEXT(INT(ABS('LID_LIQUIDACIONES'!E153)),"0"))&gt;12),TRUE)),1,0)</f>
        <v/>
      </c>
      <c r="F153">
        <f>IF(AND('LID_LIQUIDACIONES'!F153&lt;&gt;"",OR(LEN('LID_LIQUIDACIONES'!F153)&gt;3,COUNTIF(CL_MONEDA,'LID_LIQUIDACIONES'!F153)=0)),1,0)</f>
        <v/>
      </c>
      <c r="G153">
        <f>IF(AND('LID_LIQUIDACIONES'!G153&lt;&gt;"",COUNTIF(CL_ID_PAGOS,'LID_LIQUIDACIONES'!G153)=0),1,0)</f>
        <v/>
      </c>
      <c r="H153">
        <f>IF(AND('LID_LIQUIDACIONES'!H153&lt;&gt;"",COUNTIF(CL_FLAG_HORARIO,'LID_LIQUIDACIONES'!H153)=0),1,0)</f>
        <v/>
      </c>
      <c r="I153">
        <f>IF(AND('LID_LIQUIDACIONES'!I153&lt;&gt;"",COUNTIF(CL_CAT_ID_PAGOS_RET,'LID_LIQUIDACIONES'!I153)=0),1,0)</f>
        <v/>
      </c>
      <c r="J153">
        <f>IF(AND('LID_LIQUIDACIONES'!J153&lt;&gt;"",NOT(ISNUMBER('LID_LIQUIDACIONES'!J153))),1,0)</f>
        <v/>
      </c>
      <c r="K153">
        <f>IF(AND('LID_LIQUIDACIONES'!K153&lt;&gt;"",LEN('LID_LIQUIDACIONES'!K153)&gt;5),1,0)</f>
        <v/>
      </c>
      <c r="L153">
        <f>IF(AND('LID_LIQUIDACIONES'!L153&lt;&gt;"",IF(ISNUMBER('LID_LIQUIDACIONES'!L153),OR('LID_LIQUIDACIONES'!L153&lt;&gt;ROUND('LID_LIQUIDACIONES'!L153,0),LEN(TEXT(INT(ABS('LID_LIQUIDACIONES'!L153)),"0"))&gt;12),TRUE)),1,0)</f>
        <v/>
      </c>
      <c r="M153">
        <f>IF(AND('LID_LIQUIDACIONES'!M153&lt;&gt;"",COUNTIF(CL_CAT_MOTIVO_RET,'LID_LIQUIDACIONES'!M153)=0),1,0)</f>
        <v/>
      </c>
      <c r="N153">
        <f>IF(AND('LID_LIQUIDACIONES'!N153&lt;&gt;"",LEN('LID_LIQUIDACIONES'!N153)&gt;50),1,0)</f>
        <v/>
      </c>
      <c r="O153">
        <f>IF(AND('LID_LIQUIDACIONES'!O153&lt;&gt;"",COUNTIF(CL_CARACT_LIQ,'LID_LIQUIDACIONES'!O153)=0),1,0)</f>
        <v/>
      </c>
      <c r="P153">
        <f>IF(AND('LID_LIQUIDACIONES'!P153&lt;&gt;"",NOT(ISNUMBER('LID_LIQUIDACIONES'!P153))),1,0)</f>
        <v/>
      </c>
    </row>
    <row r="154">
      <c r="A154">
        <f>IF(AND('LID_LIQUIDACIONES'!A154&lt;&gt;"",NOT(ISNUMBER('LID_LIQUIDACIONES'!A154))),1,0)</f>
        <v/>
      </c>
      <c r="B154">
        <f>IF(AND('LID_LIQUIDACIONES'!B154&lt;&gt;"",LEN('LID_LIQUIDACIONES'!B154)&gt;5),1,0)</f>
        <v/>
      </c>
      <c r="C154">
        <f>IF(AND('LID_LIQUIDACIONES'!C154&lt;&gt;"",COUNTIF(CL_TIPO_VALOR,'LID_LIQUIDACIONES'!C154)=0),1,0)</f>
        <v/>
      </c>
      <c r="D154">
        <f>IF(AND('LID_LIQUIDACIONES'!D154&lt;&gt;"",COUNTIF(CL_TIPO_OBLIGACI_N,'LID_LIQUIDACIONES'!D154)=0),1,0)</f>
        <v/>
      </c>
      <c r="E154">
        <f>IF(AND('LID_LIQUIDACIONES'!E154&lt;&gt;"",IF(ISNUMBER('LID_LIQUIDACIONES'!E154),OR('LID_LIQUIDACIONES'!E154&lt;&gt;ROUND('LID_LIQUIDACIONES'!E154,0),LEN(TEXT(INT(ABS('LID_LIQUIDACIONES'!E154)),"0"))&gt;12),TRUE)),1,0)</f>
        <v/>
      </c>
      <c r="F154">
        <f>IF(AND('LID_LIQUIDACIONES'!F154&lt;&gt;"",OR(LEN('LID_LIQUIDACIONES'!F154)&gt;3,COUNTIF(CL_MONEDA,'LID_LIQUIDACIONES'!F154)=0)),1,0)</f>
        <v/>
      </c>
      <c r="G154">
        <f>IF(AND('LID_LIQUIDACIONES'!G154&lt;&gt;"",COUNTIF(CL_ID_PAGOS,'LID_LIQUIDACIONES'!G154)=0),1,0)</f>
        <v/>
      </c>
      <c r="H154">
        <f>IF(AND('LID_LIQUIDACIONES'!H154&lt;&gt;"",COUNTIF(CL_FLAG_HORARIO,'LID_LIQUIDACIONES'!H154)=0),1,0)</f>
        <v/>
      </c>
      <c r="I154">
        <f>IF(AND('LID_LIQUIDACIONES'!I154&lt;&gt;"",COUNTIF(CL_CAT_ID_PAGOS_RET,'LID_LIQUIDACIONES'!I154)=0),1,0)</f>
        <v/>
      </c>
      <c r="J154">
        <f>IF(AND('LID_LIQUIDACIONES'!J154&lt;&gt;"",NOT(ISNUMBER('LID_LIQUIDACIONES'!J154))),1,0)</f>
        <v/>
      </c>
      <c r="K154">
        <f>IF(AND('LID_LIQUIDACIONES'!K154&lt;&gt;"",LEN('LID_LIQUIDACIONES'!K154)&gt;5),1,0)</f>
        <v/>
      </c>
      <c r="L154">
        <f>IF(AND('LID_LIQUIDACIONES'!L154&lt;&gt;"",IF(ISNUMBER('LID_LIQUIDACIONES'!L154),OR('LID_LIQUIDACIONES'!L154&lt;&gt;ROUND('LID_LIQUIDACIONES'!L154,0),LEN(TEXT(INT(ABS('LID_LIQUIDACIONES'!L154)),"0"))&gt;12),TRUE)),1,0)</f>
        <v/>
      </c>
      <c r="M154">
        <f>IF(AND('LID_LIQUIDACIONES'!M154&lt;&gt;"",COUNTIF(CL_CAT_MOTIVO_RET,'LID_LIQUIDACIONES'!M154)=0),1,0)</f>
        <v/>
      </c>
      <c r="N154">
        <f>IF(AND('LID_LIQUIDACIONES'!N154&lt;&gt;"",LEN('LID_LIQUIDACIONES'!N154)&gt;50),1,0)</f>
        <v/>
      </c>
      <c r="O154">
        <f>IF(AND('LID_LIQUIDACIONES'!O154&lt;&gt;"",COUNTIF(CL_CARACT_LIQ,'LID_LIQUIDACIONES'!O154)=0),1,0)</f>
        <v/>
      </c>
      <c r="P154">
        <f>IF(AND('LID_LIQUIDACIONES'!P154&lt;&gt;"",NOT(ISNUMBER('LID_LIQUIDACIONES'!P154))),1,0)</f>
        <v/>
      </c>
    </row>
    <row r="155">
      <c r="A155">
        <f>IF(AND('LID_LIQUIDACIONES'!A155&lt;&gt;"",NOT(ISNUMBER('LID_LIQUIDACIONES'!A155))),1,0)</f>
        <v/>
      </c>
      <c r="B155">
        <f>IF(AND('LID_LIQUIDACIONES'!B155&lt;&gt;"",LEN('LID_LIQUIDACIONES'!B155)&gt;5),1,0)</f>
        <v/>
      </c>
      <c r="C155">
        <f>IF(AND('LID_LIQUIDACIONES'!C155&lt;&gt;"",COUNTIF(CL_TIPO_VALOR,'LID_LIQUIDACIONES'!C155)=0),1,0)</f>
        <v/>
      </c>
      <c r="D155">
        <f>IF(AND('LID_LIQUIDACIONES'!D155&lt;&gt;"",COUNTIF(CL_TIPO_OBLIGACI_N,'LID_LIQUIDACIONES'!D155)=0),1,0)</f>
        <v/>
      </c>
      <c r="E155">
        <f>IF(AND('LID_LIQUIDACIONES'!E155&lt;&gt;"",IF(ISNUMBER('LID_LIQUIDACIONES'!E155),OR('LID_LIQUIDACIONES'!E155&lt;&gt;ROUND('LID_LIQUIDACIONES'!E155,0),LEN(TEXT(INT(ABS('LID_LIQUIDACIONES'!E155)),"0"))&gt;12),TRUE)),1,0)</f>
        <v/>
      </c>
      <c r="F155">
        <f>IF(AND('LID_LIQUIDACIONES'!F155&lt;&gt;"",OR(LEN('LID_LIQUIDACIONES'!F155)&gt;3,COUNTIF(CL_MONEDA,'LID_LIQUIDACIONES'!F155)=0)),1,0)</f>
        <v/>
      </c>
      <c r="G155">
        <f>IF(AND('LID_LIQUIDACIONES'!G155&lt;&gt;"",COUNTIF(CL_ID_PAGOS,'LID_LIQUIDACIONES'!G155)=0),1,0)</f>
        <v/>
      </c>
      <c r="H155">
        <f>IF(AND('LID_LIQUIDACIONES'!H155&lt;&gt;"",COUNTIF(CL_FLAG_HORARIO,'LID_LIQUIDACIONES'!H155)=0),1,0)</f>
        <v/>
      </c>
      <c r="I155">
        <f>IF(AND('LID_LIQUIDACIONES'!I155&lt;&gt;"",COUNTIF(CL_CAT_ID_PAGOS_RET,'LID_LIQUIDACIONES'!I155)=0),1,0)</f>
        <v/>
      </c>
      <c r="J155">
        <f>IF(AND('LID_LIQUIDACIONES'!J155&lt;&gt;"",NOT(ISNUMBER('LID_LIQUIDACIONES'!J155))),1,0)</f>
        <v/>
      </c>
      <c r="K155">
        <f>IF(AND('LID_LIQUIDACIONES'!K155&lt;&gt;"",LEN('LID_LIQUIDACIONES'!K155)&gt;5),1,0)</f>
        <v/>
      </c>
      <c r="L155">
        <f>IF(AND('LID_LIQUIDACIONES'!L155&lt;&gt;"",IF(ISNUMBER('LID_LIQUIDACIONES'!L155),OR('LID_LIQUIDACIONES'!L155&lt;&gt;ROUND('LID_LIQUIDACIONES'!L155,0),LEN(TEXT(INT(ABS('LID_LIQUIDACIONES'!L155)),"0"))&gt;12),TRUE)),1,0)</f>
        <v/>
      </c>
      <c r="M155">
        <f>IF(AND('LID_LIQUIDACIONES'!M155&lt;&gt;"",COUNTIF(CL_CAT_MOTIVO_RET,'LID_LIQUIDACIONES'!M155)=0),1,0)</f>
        <v/>
      </c>
      <c r="N155">
        <f>IF(AND('LID_LIQUIDACIONES'!N155&lt;&gt;"",LEN('LID_LIQUIDACIONES'!N155)&gt;50),1,0)</f>
        <v/>
      </c>
      <c r="O155">
        <f>IF(AND('LID_LIQUIDACIONES'!O155&lt;&gt;"",COUNTIF(CL_CARACT_LIQ,'LID_LIQUIDACIONES'!O155)=0),1,0)</f>
        <v/>
      </c>
      <c r="P155">
        <f>IF(AND('LID_LIQUIDACIONES'!P155&lt;&gt;"",NOT(ISNUMBER('LID_LIQUIDACIONES'!P155))),1,0)</f>
        <v/>
      </c>
    </row>
    <row r="156">
      <c r="A156">
        <f>IF(AND('LID_LIQUIDACIONES'!A156&lt;&gt;"",NOT(ISNUMBER('LID_LIQUIDACIONES'!A156))),1,0)</f>
        <v/>
      </c>
      <c r="B156">
        <f>IF(AND('LID_LIQUIDACIONES'!B156&lt;&gt;"",LEN('LID_LIQUIDACIONES'!B156)&gt;5),1,0)</f>
        <v/>
      </c>
      <c r="C156">
        <f>IF(AND('LID_LIQUIDACIONES'!C156&lt;&gt;"",COUNTIF(CL_TIPO_VALOR,'LID_LIQUIDACIONES'!C156)=0),1,0)</f>
        <v/>
      </c>
      <c r="D156">
        <f>IF(AND('LID_LIQUIDACIONES'!D156&lt;&gt;"",COUNTIF(CL_TIPO_OBLIGACI_N,'LID_LIQUIDACIONES'!D156)=0),1,0)</f>
        <v/>
      </c>
      <c r="E156">
        <f>IF(AND('LID_LIQUIDACIONES'!E156&lt;&gt;"",IF(ISNUMBER('LID_LIQUIDACIONES'!E156),OR('LID_LIQUIDACIONES'!E156&lt;&gt;ROUND('LID_LIQUIDACIONES'!E156,0),LEN(TEXT(INT(ABS('LID_LIQUIDACIONES'!E156)),"0"))&gt;12),TRUE)),1,0)</f>
        <v/>
      </c>
      <c r="F156">
        <f>IF(AND('LID_LIQUIDACIONES'!F156&lt;&gt;"",OR(LEN('LID_LIQUIDACIONES'!F156)&gt;3,COUNTIF(CL_MONEDA,'LID_LIQUIDACIONES'!F156)=0)),1,0)</f>
        <v/>
      </c>
      <c r="G156">
        <f>IF(AND('LID_LIQUIDACIONES'!G156&lt;&gt;"",COUNTIF(CL_ID_PAGOS,'LID_LIQUIDACIONES'!G156)=0),1,0)</f>
        <v/>
      </c>
      <c r="H156">
        <f>IF(AND('LID_LIQUIDACIONES'!H156&lt;&gt;"",COUNTIF(CL_FLAG_HORARIO,'LID_LIQUIDACIONES'!H156)=0),1,0)</f>
        <v/>
      </c>
      <c r="I156">
        <f>IF(AND('LID_LIQUIDACIONES'!I156&lt;&gt;"",COUNTIF(CL_CAT_ID_PAGOS_RET,'LID_LIQUIDACIONES'!I156)=0),1,0)</f>
        <v/>
      </c>
      <c r="J156">
        <f>IF(AND('LID_LIQUIDACIONES'!J156&lt;&gt;"",NOT(ISNUMBER('LID_LIQUIDACIONES'!J156))),1,0)</f>
        <v/>
      </c>
      <c r="K156">
        <f>IF(AND('LID_LIQUIDACIONES'!K156&lt;&gt;"",LEN('LID_LIQUIDACIONES'!K156)&gt;5),1,0)</f>
        <v/>
      </c>
      <c r="L156">
        <f>IF(AND('LID_LIQUIDACIONES'!L156&lt;&gt;"",IF(ISNUMBER('LID_LIQUIDACIONES'!L156),OR('LID_LIQUIDACIONES'!L156&lt;&gt;ROUND('LID_LIQUIDACIONES'!L156,0),LEN(TEXT(INT(ABS('LID_LIQUIDACIONES'!L156)),"0"))&gt;12),TRUE)),1,0)</f>
        <v/>
      </c>
      <c r="M156">
        <f>IF(AND('LID_LIQUIDACIONES'!M156&lt;&gt;"",COUNTIF(CL_CAT_MOTIVO_RET,'LID_LIQUIDACIONES'!M156)=0),1,0)</f>
        <v/>
      </c>
      <c r="N156">
        <f>IF(AND('LID_LIQUIDACIONES'!N156&lt;&gt;"",LEN('LID_LIQUIDACIONES'!N156)&gt;50),1,0)</f>
        <v/>
      </c>
      <c r="O156">
        <f>IF(AND('LID_LIQUIDACIONES'!O156&lt;&gt;"",COUNTIF(CL_CARACT_LIQ,'LID_LIQUIDACIONES'!O156)=0),1,0)</f>
        <v/>
      </c>
      <c r="P156">
        <f>IF(AND('LID_LIQUIDACIONES'!P156&lt;&gt;"",NOT(ISNUMBER('LID_LIQUIDACIONES'!P156))),1,0)</f>
        <v/>
      </c>
    </row>
    <row r="157">
      <c r="A157">
        <f>IF(AND('LID_LIQUIDACIONES'!A157&lt;&gt;"",NOT(ISNUMBER('LID_LIQUIDACIONES'!A157))),1,0)</f>
        <v/>
      </c>
      <c r="B157">
        <f>IF(AND('LID_LIQUIDACIONES'!B157&lt;&gt;"",LEN('LID_LIQUIDACIONES'!B157)&gt;5),1,0)</f>
        <v/>
      </c>
      <c r="C157">
        <f>IF(AND('LID_LIQUIDACIONES'!C157&lt;&gt;"",COUNTIF(CL_TIPO_VALOR,'LID_LIQUIDACIONES'!C157)=0),1,0)</f>
        <v/>
      </c>
      <c r="D157">
        <f>IF(AND('LID_LIQUIDACIONES'!D157&lt;&gt;"",COUNTIF(CL_TIPO_OBLIGACI_N,'LID_LIQUIDACIONES'!D157)=0),1,0)</f>
        <v/>
      </c>
      <c r="E157">
        <f>IF(AND('LID_LIQUIDACIONES'!E157&lt;&gt;"",IF(ISNUMBER('LID_LIQUIDACIONES'!E157),OR('LID_LIQUIDACIONES'!E157&lt;&gt;ROUND('LID_LIQUIDACIONES'!E157,0),LEN(TEXT(INT(ABS('LID_LIQUIDACIONES'!E157)),"0"))&gt;12),TRUE)),1,0)</f>
        <v/>
      </c>
      <c r="F157">
        <f>IF(AND('LID_LIQUIDACIONES'!F157&lt;&gt;"",OR(LEN('LID_LIQUIDACIONES'!F157)&gt;3,COUNTIF(CL_MONEDA,'LID_LIQUIDACIONES'!F157)=0)),1,0)</f>
        <v/>
      </c>
      <c r="G157">
        <f>IF(AND('LID_LIQUIDACIONES'!G157&lt;&gt;"",COUNTIF(CL_ID_PAGOS,'LID_LIQUIDACIONES'!G157)=0),1,0)</f>
        <v/>
      </c>
      <c r="H157">
        <f>IF(AND('LID_LIQUIDACIONES'!H157&lt;&gt;"",COUNTIF(CL_FLAG_HORARIO,'LID_LIQUIDACIONES'!H157)=0),1,0)</f>
        <v/>
      </c>
      <c r="I157">
        <f>IF(AND('LID_LIQUIDACIONES'!I157&lt;&gt;"",COUNTIF(CL_CAT_ID_PAGOS_RET,'LID_LIQUIDACIONES'!I157)=0),1,0)</f>
        <v/>
      </c>
      <c r="J157">
        <f>IF(AND('LID_LIQUIDACIONES'!J157&lt;&gt;"",NOT(ISNUMBER('LID_LIQUIDACIONES'!J157))),1,0)</f>
        <v/>
      </c>
      <c r="K157">
        <f>IF(AND('LID_LIQUIDACIONES'!K157&lt;&gt;"",LEN('LID_LIQUIDACIONES'!K157)&gt;5),1,0)</f>
        <v/>
      </c>
      <c r="L157">
        <f>IF(AND('LID_LIQUIDACIONES'!L157&lt;&gt;"",IF(ISNUMBER('LID_LIQUIDACIONES'!L157),OR('LID_LIQUIDACIONES'!L157&lt;&gt;ROUND('LID_LIQUIDACIONES'!L157,0),LEN(TEXT(INT(ABS('LID_LIQUIDACIONES'!L157)),"0"))&gt;12),TRUE)),1,0)</f>
        <v/>
      </c>
      <c r="M157">
        <f>IF(AND('LID_LIQUIDACIONES'!M157&lt;&gt;"",COUNTIF(CL_CAT_MOTIVO_RET,'LID_LIQUIDACIONES'!M157)=0),1,0)</f>
        <v/>
      </c>
      <c r="N157">
        <f>IF(AND('LID_LIQUIDACIONES'!N157&lt;&gt;"",LEN('LID_LIQUIDACIONES'!N157)&gt;50),1,0)</f>
        <v/>
      </c>
      <c r="O157">
        <f>IF(AND('LID_LIQUIDACIONES'!O157&lt;&gt;"",COUNTIF(CL_CARACT_LIQ,'LID_LIQUIDACIONES'!O157)=0),1,0)</f>
        <v/>
      </c>
      <c r="P157">
        <f>IF(AND('LID_LIQUIDACIONES'!P157&lt;&gt;"",NOT(ISNUMBER('LID_LIQUIDACIONES'!P157))),1,0)</f>
        <v/>
      </c>
    </row>
    <row r="158">
      <c r="A158">
        <f>IF(AND('LID_LIQUIDACIONES'!A158&lt;&gt;"",NOT(ISNUMBER('LID_LIQUIDACIONES'!A158))),1,0)</f>
        <v/>
      </c>
      <c r="B158">
        <f>IF(AND('LID_LIQUIDACIONES'!B158&lt;&gt;"",LEN('LID_LIQUIDACIONES'!B158)&gt;5),1,0)</f>
        <v/>
      </c>
      <c r="C158">
        <f>IF(AND('LID_LIQUIDACIONES'!C158&lt;&gt;"",COUNTIF(CL_TIPO_VALOR,'LID_LIQUIDACIONES'!C158)=0),1,0)</f>
        <v/>
      </c>
      <c r="D158">
        <f>IF(AND('LID_LIQUIDACIONES'!D158&lt;&gt;"",COUNTIF(CL_TIPO_OBLIGACI_N,'LID_LIQUIDACIONES'!D158)=0),1,0)</f>
        <v/>
      </c>
      <c r="E158">
        <f>IF(AND('LID_LIQUIDACIONES'!E158&lt;&gt;"",IF(ISNUMBER('LID_LIQUIDACIONES'!E158),OR('LID_LIQUIDACIONES'!E158&lt;&gt;ROUND('LID_LIQUIDACIONES'!E158,0),LEN(TEXT(INT(ABS('LID_LIQUIDACIONES'!E158)),"0"))&gt;12),TRUE)),1,0)</f>
        <v/>
      </c>
      <c r="F158">
        <f>IF(AND('LID_LIQUIDACIONES'!F158&lt;&gt;"",OR(LEN('LID_LIQUIDACIONES'!F158)&gt;3,COUNTIF(CL_MONEDA,'LID_LIQUIDACIONES'!F158)=0)),1,0)</f>
        <v/>
      </c>
      <c r="G158">
        <f>IF(AND('LID_LIQUIDACIONES'!G158&lt;&gt;"",COUNTIF(CL_ID_PAGOS,'LID_LIQUIDACIONES'!G158)=0),1,0)</f>
        <v/>
      </c>
      <c r="H158">
        <f>IF(AND('LID_LIQUIDACIONES'!H158&lt;&gt;"",COUNTIF(CL_FLAG_HORARIO,'LID_LIQUIDACIONES'!H158)=0),1,0)</f>
        <v/>
      </c>
      <c r="I158">
        <f>IF(AND('LID_LIQUIDACIONES'!I158&lt;&gt;"",COUNTIF(CL_CAT_ID_PAGOS_RET,'LID_LIQUIDACIONES'!I158)=0),1,0)</f>
        <v/>
      </c>
      <c r="J158">
        <f>IF(AND('LID_LIQUIDACIONES'!J158&lt;&gt;"",NOT(ISNUMBER('LID_LIQUIDACIONES'!J158))),1,0)</f>
        <v/>
      </c>
      <c r="K158">
        <f>IF(AND('LID_LIQUIDACIONES'!K158&lt;&gt;"",LEN('LID_LIQUIDACIONES'!K158)&gt;5),1,0)</f>
        <v/>
      </c>
      <c r="L158">
        <f>IF(AND('LID_LIQUIDACIONES'!L158&lt;&gt;"",IF(ISNUMBER('LID_LIQUIDACIONES'!L158),OR('LID_LIQUIDACIONES'!L158&lt;&gt;ROUND('LID_LIQUIDACIONES'!L158,0),LEN(TEXT(INT(ABS('LID_LIQUIDACIONES'!L158)),"0"))&gt;12),TRUE)),1,0)</f>
        <v/>
      </c>
      <c r="M158">
        <f>IF(AND('LID_LIQUIDACIONES'!M158&lt;&gt;"",COUNTIF(CL_CAT_MOTIVO_RET,'LID_LIQUIDACIONES'!M158)=0),1,0)</f>
        <v/>
      </c>
      <c r="N158">
        <f>IF(AND('LID_LIQUIDACIONES'!N158&lt;&gt;"",LEN('LID_LIQUIDACIONES'!N158)&gt;50),1,0)</f>
        <v/>
      </c>
      <c r="O158">
        <f>IF(AND('LID_LIQUIDACIONES'!O158&lt;&gt;"",COUNTIF(CL_CARACT_LIQ,'LID_LIQUIDACIONES'!O158)=0),1,0)</f>
        <v/>
      </c>
      <c r="P158">
        <f>IF(AND('LID_LIQUIDACIONES'!P158&lt;&gt;"",NOT(ISNUMBER('LID_LIQUIDACIONES'!P158))),1,0)</f>
        <v/>
      </c>
    </row>
    <row r="159">
      <c r="A159">
        <f>IF(AND('LID_LIQUIDACIONES'!A159&lt;&gt;"",NOT(ISNUMBER('LID_LIQUIDACIONES'!A159))),1,0)</f>
        <v/>
      </c>
      <c r="B159">
        <f>IF(AND('LID_LIQUIDACIONES'!B159&lt;&gt;"",LEN('LID_LIQUIDACIONES'!B159)&gt;5),1,0)</f>
        <v/>
      </c>
      <c r="C159">
        <f>IF(AND('LID_LIQUIDACIONES'!C159&lt;&gt;"",COUNTIF(CL_TIPO_VALOR,'LID_LIQUIDACIONES'!C159)=0),1,0)</f>
        <v/>
      </c>
      <c r="D159">
        <f>IF(AND('LID_LIQUIDACIONES'!D159&lt;&gt;"",COUNTIF(CL_TIPO_OBLIGACI_N,'LID_LIQUIDACIONES'!D159)=0),1,0)</f>
        <v/>
      </c>
      <c r="E159">
        <f>IF(AND('LID_LIQUIDACIONES'!E159&lt;&gt;"",IF(ISNUMBER('LID_LIQUIDACIONES'!E159),OR('LID_LIQUIDACIONES'!E159&lt;&gt;ROUND('LID_LIQUIDACIONES'!E159,0),LEN(TEXT(INT(ABS('LID_LIQUIDACIONES'!E159)),"0"))&gt;12),TRUE)),1,0)</f>
        <v/>
      </c>
      <c r="F159">
        <f>IF(AND('LID_LIQUIDACIONES'!F159&lt;&gt;"",OR(LEN('LID_LIQUIDACIONES'!F159)&gt;3,COUNTIF(CL_MONEDA,'LID_LIQUIDACIONES'!F159)=0)),1,0)</f>
        <v/>
      </c>
      <c r="G159">
        <f>IF(AND('LID_LIQUIDACIONES'!G159&lt;&gt;"",COUNTIF(CL_ID_PAGOS,'LID_LIQUIDACIONES'!G159)=0),1,0)</f>
        <v/>
      </c>
      <c r="H159">
        <f>IF(AND('LID_LIQUIDACIONES'!H159&lt;&gt;"",COUNTIF(CL_FLAG_HORARIO,'LID_LIQUIDACIONES'!H159)=0),1,0)</f>
        <v/>
      </c>
      <c r="I159">
        <f>IF(AND('LID_LIQUIDACIONES'!I159&lt;&gt;"",COUNTIF(CL_CAT_ID_PAGOS_RET,'LID_LIQUIDACIONES'!I159)=0),1,0)</f>
        <v/>
      </c>
      <c r="J159">
        <f>IF(AND('LID_LIQUIDACIONES'!J159&lt;&gt;"",NOT(ISNUMBER('LID_LIQUIDACIONES'!J159))),1,0)</f>
        <v/>
      </c>
      <c r="K159">
        <f>IF(AND('LID_LIQUIDACIONES'!K159&lt;&gt;"",LEN('LID_LIQUIDACIONES'!K159)&gt;5),1,0)</f>
        <v/>
      </c>
      <c r="L159">
        <f>IF(AND('LID_LIQUIDACIONES'!L159&lt;&gt;"",IF(ISNUMBER('LID_LIQUIDACIONES'!L159),OR('LID_LIQUIDACIONES'!L159&lt;&gt;ROUND('LID_LIQUIDACIONES'!L159,0),LEN(TEXT(INT(ABS('LID_LIQUIDACIONES'!L159)),"0"))&gt;12),TRUE)),1,0)</f>
        <v/>
      </c>
      <c r="M159">
        <f>IF(AND('LID_LIQUIDACIONES'!M159&lt;&gt;"",COUNTIF(CL_CAT_MOTIVO_RET,'LID_LIQUIDACIONES'!M159)=0),1,0)</f>
        <v/>
      </c>
      <c r="N159">
        <f>IF(AND('LID_LIQUIDACIONES'!N159&lt;&gt;"",LEN('LID_LIQUIDACIONES'!N159)&gt;50),1,0)</f>
        <v/>
      </c>
      <c r="O159">
        <f>IF(AND('LID_LIQUIDACIONES'!O159&lt;&gt;"",COUNTIF(CL_CARACT_LIQ,'LID_LIQUIDACIONES'!O159)=0),1,0)</f>
        <v/>
      </c>
      <c r="P159">
        <f>IF(AND('LID_LIQUIDACIONES'!P159&lt;&gt;"",NOT(ISNUMBER('LID_LIQUIDACIONES'!P159))),1,0)</f>
        <v/>
      </c>
    </row>
    <row r="160">
      <c r="A160">
        <f>IF(AND('LID_LIQUIDACIONES'!A160&lt;&gt;"",NOT(ISNUMBER('LID_LIQUIDACIONES'!A160))),1,0)</f>
        <v/>
      </c>
      <c r="B160">
        <f>IF(AND('LID_LIQUIDACIONES'!B160&lt;&gt;"",LEN('LID_LIQUIDACIONES'!B160)&gt;5),1,0)</f>
        <v/>
      </c>
      <c r="C160">
        <f>IF(AND('LID_LIQUIDACIONES'!C160&lt;&gt;"",COUNTIF(CL_TIPO_VALOR,'LID_LIQUIDACIONES'!C160)=0),1,0)</f>
        <v/>
      </c>
      <c r="D160">
        <f>IF(AND('LID_LIQUIDACIONES'!D160&lt;&gt;"",COUNTIF(CL_TIPO_OBLIGACI_N,'LID_LIQUIDACIONES'!D160)=0),1,0)</f>
        <v/>
      </c>
      <c r="E160">
        <f>IF(AND('LID_LIQUIDACIONES'!E160&lt;&gt;"",IF(ISNUMBER('LID_LIQUIDACIONES'!E160),OR('LID_LIQUIDACIONES'!E160&lt;&gt;ROUND('LID_LIQUIDACIONES'!E160,0),LEN(TEXT(INT(ABS('LID_LIQUIDACIONES'!E160)),"0"))&gt;12),TRUE)),1,0)</f>
        <v/>
      </c>
      <c r="F160">
        <f>IF(AND('LID_LIQUIDACIONES'!F160&lt;&gt;"",OR(LEN('LID_LIQUIDACIONES'!F160)&gt;3,COUNTIF(CL_MONEDA,'LID_LIQUIDACIONES'!F160)=0)),1,0)</f>
        <v/>
      </c>
      <c r="G160">
        <f>IF(AND('LID_LIQUIDACIONES'!G160&lt;&gt;"",COUNTIF(CL_ID_PAGOS,'LID_LIQUIDACIONES'!G160)=0),1,0)</f>
        <v/>
      </c>
      <c r="H160">
        <f>IF(AND('LID_LIQUIDACIONES'!H160&lt;&gt;"",COUNTIF(CL_FLAG_HORARIO,'LID_LIQUIDACIONES'!H160)=0),1,0)</f>
        <v/>
      </c>
      <c r="I160">
        <f>IF(AND('LID_LIQUIDACIONES'!I160&lt;&gt;"",COUNTIF(CL_CAT_ID_PAGOS_RET,'LID_LIQUIDACIONES'!I160)=0),1,0)</f>
        <v/>
      </c>
      <c r="J160">
        <f>IF(AND('LID_LIQUIDACIONES'!J160&lt;&gt;"",NOT(ISNUMBER('LID_LIQUIDACIONES'!J160))),1,0)</f>
        <v/>
      </c>
      <c r="K160">
        <f>IF(AND('LID_LIQUIDACIONES'!K160&lt;&gt;"",LEN('LID_LIQUIDACIONES'!K160)&gt;5),1,0)</f>
        <v/>
      </c>
      <c r="L160">
        <f>IF(AND('LID_LIQUIDACIONES'!L160&lt;&gt;"",IF(ISNUMBER('LID_LIQUIDACIONES'!L160),OR('LID_LIQUIDACIONES'!L160&lt;&gt;ROUND('LID_LIQUIDACIONES'!L160,0),LEN(TEXT(INT(ABS('LID_LIQUIDACIONES'!L160)),"0"))&gt;12),TRUE)),1,0)</f>
        <v/>
      </c>
      <c r="M160">
        <f>IF(AND('LID_LIQUIDACIONES'!M160&lt;&gt;"",COUNTIF(CL_CAT_MOTIVO_RET,'LID_LIQUIDACIONES'!M160)=0),1,0)</f>
        <v/>
      </c>
      <c r="N160">
        <f>IF(AND('LID_LIQUIDACIONES'!N160&lt;&gt;"",LEN('LID_LIQUIDACIONES'!N160)&gt;50),1,0)</f>
        <v/>
      </c>
      <c r="O160">
        <f>IF(AND('LID_LIQUIDACIONES'!O160&lt;&gt;"",COUNTIF(CL_CARACT_LIQ,'LID_LIQUIDACIONES'!O160)=0),1,0)</f>
        <v/>
      </c>
      <c r="P160">
        <f>IF(AND('LID_LIQUIDACIONES'!P160&lt;&gt;"",NOT(ISNUMBER('LID_LIQUIDACIONES'!P160))),1,0)</f>
        <v/>
      </c>
    </row>
    <row r="161">
      <c r="A161">
        <f>IF(AND('LID_LIQUIDACIONES'!A161&lt;&gt;"",NOT(ISNUMBER('LID_LIQUIDACIONES'!A161))),1,0)</f>
        <v/>
      </c>
      <c r="B161">
        <f>IF(AND('LID_LIQUIDACIONES'!B161&lt;&gt;"",LEN('LID_LIQUIDACIONES'!B161)&gt;5),1,0)</f>
        <v/>
      </c>
      <c r="C161">
        <f>IF(AND('LID_LIQUIDACIONES'!C161&lt;&gt;"",COUNTIF(CL_TIPO_VALOR,'LID_LIQUIDACIONES'!C161)=0),1,0)</f>
        <v/>
      </c>
      <c r="D161">
        <f>IF(AND('LID_LIQUIDACIONES'!D161&lt;&gt;"",COUNTIF(CL_TIPO_OBLIGACI_N,'LID_LIQUIDACIONES'!D161)=0),1,0)</f>
        <v/>
      </c>
      <c r="E161">
        <f>IF(AND('LID_LIQUIDACIONES'!E161&lt;&gt;"",IF(ISNUMBER('LID_LIQUIDACIONES'!E161),OR('LID_LIQUIDACIONES'!E161&lt;&gt;ROUND('LID_LIQUIDACIONES'!E161,0),LEN(TEXT(INT(ABS('LID_LIQUIDACIONES'!E161)),"0"))&gt;12),TRUE)),1,0)</f>
        <v/>
      </c>
      <c r="F161">
        <f>IF(AND('LID_LIQUIDACIONES'!F161&lt;&gt;"",OR(LEN('LID_LIQUIDACIONES'!F161)&gt;3,COUNTIF(CL_MONEDA,'LID_LIQUIDACIONES'!F161)=0)),1,0)</f>
        <v/>
      </c>
      <c r="G161">
        <f>IF(AND('LID_LIQUIDACIONES'!G161&lt;&gt;"",COUNTIF(CL_ID_PAGOS,'LID_LIQUIDACIONES'!G161)=0),1,0)</f>
        <v/>
      </c>
      <c r="H161">
        <f>IF(AND('LID_LIQUIDACIONES'!H161&lt;&gt;"",COUNTIF(CL_FLAG_HORARIO,'LID_LIQUIDACIONES'!H161)=0),1,0)</f>
        <v/>
      </c>
      <c r="I161">
        <f>IF(AND('LID_LIQUIDACIONES'!I161&lt;&gt;"",COUNTIF(CL_CAT_ID_PAGOS_RET,'LID_LIQUIDACIONES'!I161)=0),1,0)</f>
        <v/>
      </c>
      <c r="J161">
        <f>IF(AND('LID_LIQUIDACIONES'!J161&lt;&gt;"",NOT(ISNUMBER('LID_LIQUIDACIONES'!J161))),1,0)</f>
        <v/>
      </c>
      <c r="K161">
        <f>IF(AND('LID_LIQUIDACIONES'!K161&lt;&gt;"",LEN('LID_LIQUIDACIONES'!K161)&gt;5),1,0)</f>
        <v/>
      </c>
      <c r="L161">
        <f>IF(AND('LID_LIQUIDACIONES'!L161&lt;&gt;"",IF(ISNUMBER('LID_LIQUIDACIONES'!L161),OR('LID_LIQUIDACIONES'!L161&lt;&gt;ROUND('LID_LIQUIDACIONES'!L161,0),LEN(TEXT(INT(ABS('LID_LIQUIDACIONES'!L161)),"0"))&gt;12),TRUE)),1,0)</f>
        <v/>
      </c>
      <c r="M161">
        <f>IF(AND('LID_LIQUIDACIONES'!M161&lt;&gt;"",COUNTIF(CL_CAT_MOTIVO_RET,'LID_LIQUIDACIONES'!M161)=0),1,0)</f>
        <v/>
      </c>
      <c r="N161">
        <f>IF(AND('LID_LIQUIDACIONES'!N161&lt;&gt;"",LEN('LID_LIQUIDACIONES'!N161)&gt;50),1,0)</f>
        <v/>
      </c>
      <c r="O161">
        <f>IF(AND('LID_LIQUIDACIONES'!O161&lt;&gt;"",COUNTIF(CL_CARACT_LIQ,'LID_LIQUIDACIONES'!O161)=0),1,0)</f>
        <v/>
      </c>
      <c r="P161">
        <f>IF(AND('LID_LIQUIDACIONES'!P161&lt;&gt;"",NOT(ISNUMBER('LID_LIQUIDACIONES'!P161))),1,0)</f>
        <v/>
      </c>
    </row>
    <row r="162">
      <c r="A162">
        <f>IF(AND('LID_LIQUIDACIONES'!A162&lt;&gt;"",NOT(ISNUMBER('LID_LIQUIDACIONES'!A162))),1,0)</f>
        <v/>
      </c>
      <c r="B162">
        <f>IF(AND('LID_LIQUIDACIONES'!B162&lt;&gt;"",LEN('LID_LIQUIDACIONES'!B162)&gt;5),1,0)</f>
        <v/>
      </c>
      <c r="C162">
        <f>IF(AND('LID_LIQUIDACIONES'!C162&lt;&gt;"",COUNTIF(CL_TIPO_VALOR,'LID_LIQUIDACIONES'!C162)=0),1,0)</f>
        <v/>
      </c>
      <c r="D162">
        <f>IF(AND('LID_LIQUIDACIONES'!D162&lt;&gt;"",COUNTIF(CL_TIPO_OBLIGACI_N,'LID_LIQUIDACIONES'!D162)=0),1,0)</f>
        <v/>
      </c>
      <c r="E162">
        <f>IF(AND('LID_LIQUIDACIONES'!E162&lt;&gt;"",IF(ISNUMBER('LID_LIQUIDACIONES'!E162),OR('LID_LIQUIDACIONES'!E162&lt;&gt;ROUND('LID_LIQUIDACIONES'!E162,0),LEN(TEXT(INT(ABS('LID_LIQUIDACIONES'!E162)),"0"))&gt;12),TRUE)),1,0)</f>
        <v/>
      </c>
      <c r="F162">
        <f>IF(AND('LID_LIQUIDACIONES'!F162&lt;&gt;"",OR(LEN('LID_LIQUIDACIONES'!F162)&gt;3,COUNTIF(CL_MONEDA,'LID_LIQUIDACIONES'!F162)=0)),1,0)</f>
        <v/>
      </c>
      <c r="G162">
        <f>IF(AND('LID_LIQUIDACIONES'!G162&lt;&gt;"",COUNTIF(CL_ID_PAGOS,'LID_LIQUIDACIONES'!G162)=0),1,0)</f>
        <v/>
      </c>
      <c r="H162">
        <f>IF(AND('LID_LIQUIDACIONES'!H162&lt;&gt;"",COUNTIF(CL_FLAG_HORARIO,'LID_LIQUIDACIONES'!H162)=0),1,0)</f>
        <v/>
      </c>
      <c r="I162">
        <f>IF(AND('LID_LIQUIDACIONES'!I162&lt;&gt;"",COUNTIF(CL_CAT_ID_PAGOS_RET,'LID_LIQUIDACIONES'!I162)=0),1,0)</f>
        <v/>
      </c>
      <c r="J162">
        <f>IF(AND('LID_LIQUIDACIONES'!J162&lt;&gt;"",NOT(ISNUMBER('LID_LIQUIDACIONES'!J162))),1,0)</f>
        <v/>
      </c>
      <c r="K162">
        <f>IF(AND('LID_LIQUIDACIONES'!K162&lt;&gt;"",LEN('LID_LIQUIDACIONES'!K162)&gt;5),1,0)</f>
        <v/>
      </c>
      <c r="L162">
        <f>IF(AND('LID_LIQUIDACIONES'!L162&lt;&gt;"",IF(ISNUMBER('LID_LIQUIDACIONES'!L162),OR('LID_LIQUIDACIONES'!L162&lt;&gt;ROUND('LID_LIQUIDACIONES'!L162,0),LEN(TEXT(INT(ABS('LID_LIQUIDACIONES'!L162)),"0"))&gt;12),TRUE)),1,0)</f>
        <v/>
      </c>
      <c r="M162">
        <f>IF(AND('LID_LIQUIDACIONES'!M162&lt;&gt;"",COUNTIF(CL_CAT_MOTIVO_RET,'LID_LIQUIDACIONES'!M162)=0),1,0)</f>
        <v/>
      </c>
      <c r="N162">
        <f>IF(AND('LID_LIQUIDACIONES'!N162&lt;&gt;"",LEN('LID_LIQUIDACIONES'!N162)&gt;50),1,0)</f>
        <v/>
      </c>
      <c r="O162">
        <f>IF(AND('LID_LIQUIDACIONES'!O162&lt;&gt;"",COUNTIF(CL_CARACT_LIQ,'LID_LIQUIDACIONES'!O162)=0),1,0)</f>
        <v/>
      </c>
      <c r="P162">
        <f>IF(AND('LID_LIQUIDACIONES'!P162&lt;&gt;"",NOT(ISNUMBER('LID_LIQUIDACIONES'!P162))),1,0)</f>
        <v/>
      </c>
    </row>
    <row r="163">
      <c r="A163">
        <f>IF(AND('LID_LIQUIDACIONES'!A163&lt;&gt;"",NOT(ISNUMBER('LID_LIQUIDACIONES'!A163))),1,0)</f>
        <v/>
      </c>
      <c r="B163">
        <f>IF(AND('LID_LIQUIDACIONES'!B163&lt;&gt;"",LEN('LID_LIQUIDACIONES'!B163)&gt;5),1,0)</f>
        <v/>
      </c>
      <c r="C163">
        <f>IF(AND('LID_LIQUIDACIONES'!C163&lt;&gt;"",COUNTIF(CL_TIPO_VALOR,'LID_LIQUIDACIONES'!C163)=0),1,0)</f>
        <v/>
      </c>
      <c r="D163">
        <f>IF(AND('LID_LIQUIDACIONES'!D163&lt;&gt;"",COUNTIF(CL_TIPO_OBLIGACI_N,'LID_LIQUIDACIONES'!D163)=0),1,0)</f>
        <v/>
      </c>
      <c r="E163">
        <f>IF(AND('LID_LIQUIDACIONES'!E163&lt;&gt;"",IF(ISNUMBER('LID_LIQUIDACIONES'!E163),OR('LID_LIQUIDACIONES'!E163&lt;&gt;ROUND('LID_LIQUIDACIONES'!E163,0),LEN(TEXT(INT(ABS('LID_LIQUIDACIONES'!E163)),"0"))&gt;12),TRUE)),1,0)</f>
        <v/>
      </c>
      <c r="F163">
        <f>IF(AND('LID_LIQUIDACIONES'!F163&lt;&gt;"",OR(LEN('LID_LIQUIDACIONES'!F163)&gt;3,COUNTIF(CL_MONEDA,'LID_LIQUIDACIONES'!F163)=0)),1,0)</f>
        <v/>
      </c>
      <c r="G163">
        <f>IF(AND('LID_LIQUIDACIONES'!G163&lt;&gt;"",COUNTIF(CL_ID_PAGOS,'LID_LIQUIDACIONES'!G163)=0),1,0)</f>
        <v/>
      </c>
      <c r="H163">
        <f>IF(AND('LID_LIQUIDACIONES'!H163&lt;&gt;"",COUNTIF(CL_FLAG_HORARIO,'LID_LIQUIDACIONES'!H163)=0),1,0)</f>
        <v/>
      </c>
      <c r="I163">
        <f>IF(AND('LID_LIQUIDACIONES'!I163&lt;&gt;"",COUNTIF(CL_CAT_ID_PAGOS_RET,'LID_LIQUIDACIONES'!I163)=0),1,0)</f>
        <v/>
      </c>
      <c r="J163">
        <f>IF(AND('LID_LIQUIDACIONES'!J163&lt;&gt;"",NOT(ISNUMBER('LID_LIQUIDACIONES'!J163))),1,0)</f>
        <v/>
      </c>
      <c r="K163">
        <f>IF(AND('LID_LIQUIDACIONES'!K163&lt;&gt;"",LEN('LID_LIQUIDACIONES'!K163)&gt;5),1,0)</f>
        <v/>
      </c>
      <c r="L163">
        <f>IF(AND('LID_LIQUIDACIONES'!L163&lt;&gt;"",IF(ISNUMBER('LID_LIQUIDACIONES'!L163),OR('LID_LIQUIDACIONES'!L163&lt;&gt;ROUND('LID_LIQUIDACIONES'!L163,0),LEN(TEXT(INT(ABS('LID_LIQUIDACIONES'!L163)),"0"))&gt;12),TRUE)),1,0)</f>
        <v/>
      </c>
      <c r="M163">
        <f>IF(AND('LID_LIQUIDACIONES'!M163&lt;&gt;"",COUNTIF(CL_CAT_MOTIVO_RET,'LID_LIQUIDACIONES'!M163)=0),1,0)</f>
        <v/>
      </c>
      <c r="N163">
        <f>IF(AND('LID_LIQUIDACIONES'!N163&lt;&gt;"",LEN('LID_LIQUIDACIONES'!N163)&gt;50),1,0)</f>
        <v/>
      </c>
      <c r="O163">
        <f>IF(AND('LID_LIQUIDACIONES'!O163&lt;&gt;"",COUNTIF(CL_CARACT_LIQ,'LID_LIQUIDACIONES'!O163)=0),1,0)</f>
        <v/>
      </c>
      <c r="P163">
        <f>IF(AND('LID_LIQUIDACIONES'!P163&lt;&gt;"",NOT(ISNUMBER('LID_LIQUIDACIONES'!P163))),1,0)</f>
        <v/>
      </c>
    </row>
    <row r="164">
      <c r="A164">
        <f>IF(AND('LID_LIQUIDACIONES'!A164&lt;&gt;"",NOT(ISNUMBER('LID_LIQUIDACIONES'!A164))),1,0)</f>
        <v/>
      </c>
      <c r="B164">
        <f>IF(AND('LID_LIQUIDACIONES'!B164&lt;&gt;"",LEN('LID_LIQUIDACIONES'!B164)&gt;5),1,0)</f>
        <v/>
      </c>
      <c r="C164">
        <f>IF(AND('LID_LIQUIDACIONES'!C164&lt;&gt;"",COUNTIF(CL_TIPO_VALOR,'LID_LIQUIDACIONES'!C164)=0),1,0)</f>
        <v/>
      </c>
      <c r="D164">
        <f>IF(AND('LID_LIQUIDACIONES'!D164&lt;&gt;"",COUNTIF(CL_TIPO_OBLIGACI_N,'LID_LIQUIDACIONES'!D164)=0),1,0)</f>
        <v/>
      </c>
      <c r="E164">
        <f>IF(AND('LID_LIQUIDACIONES'!E164&lt;&gt;"",IF(ISNUMBER('LID_LIQUIDACIONES'!E164),OR('LID_LIQUIDACIONES'!E164&lt;&gt;ROUND('LID_LIQUIDACIONES'!E164,0),LEN(TEXT(INT(ABS('LID_LIQUIDACIONES'!E164)),"0"))&gt;12),TRUE)),1,0)</f>
        <v/>
      </c>
      <c r="F164">
        <f>IF(AND('LID_LIQUIDACIONES'!F164&lt;&gt;"",OR(LEN('LID_LIQUIDACIONES'!F164)&gt;3,COUNTIF(CL_MONEDA,'LID_LIQUIDACIONES'!F164)=0)),1,0)</f>
        <v/>
      </c>
      <c r="G164">
        <f>IF(AND('LID_LIQUIDACIONES'!G164&lt;&gt;"",COUNTIF(CL_ID_PAGOS,'LID_LIQUIDACIONES'!G164)=0),1,0)</f>
        <v/>
      </c>
      <c r="H164">
        <f>IF(AND('LID_LIQUIDACIONES'!H164&lt;&gt;"",COUNTIF(CL_FLAG_HORARIO,'LID_LIQUIDACIONES'!H164)=0),1,0)</f>
        <v/>
      </c>
      <c r="I164">
        <f>IF(AND('LID_LIQUIDACIONES'!I164&lt;&gt;"",COUNTIF(CL_CAT_ID_PAGOS_RET,'LID_LIQUIDACIONES'!I164)=0),1,0)</f>
        <v/>
      </c>
      <c r="J164">
        <f>IF(AND('LID_LIQUIDACIONES'!J164&lt;&gt;"",NOT(ISNUMBER('LID_LIQUIDACIONES'!J164))),1,0)</f>
        <v/>
      </c>
      <c r="K164">
        <f>IF(AND('LID_LIQUIDACIONES'!K164&lt;&gt;"",LEN('LID_LIQUIDACIONES'!K164)&gt;5),1,0)</f>
        <v/>
      </c>
      <c r="L164">
        <f>IF(AND('LID_LIQUIDACIONES'!L164&lt;&gt;"",IF(ISNUMBER('LID_LIQUIDACIONES'!L164),OR('LID_LIQUIDACIONES'!L164&lt;&gt;ROUND('LID_LIQUIDACIONES'!L164,0),LEN(TEXT(INT(ABS('LID_LIQUIDACIONES'!L164)),"0"))&gt;12),TRUE)),1,0)</f>
        <v/>
      </c>
      <c r="M164">
        <f>IF(AND('LID_LIQUIDACIONES'!M164&lt;&gt;"",COUNTIF(CL_CAT_MOTIVO_RET,'LID_LIQUIDACIONES'!M164)=0),1,0)</f>
        <v/>
      </c>
      <c r="N164">
        <f>IF(AND('LID_LIQUIDACIONES'!N164&lt;&gt;"",LEN('LID_LIQUIDACIONES'!N164)&gt;50),1,0)</f>
        <v/>
      </c>
      <c r="O164">
        <f>IF(AND('LID_LIQUIDACIONES'!O164&lt;&gt;"",COUNTIF(CL_CARACT_LIQ,'LID_LIQUIDACIONES'!O164)=0),1,0)</f>
        <v/>
      </c>
      <c r="P164">
        <f>IF(AND('LID_LIQUIDACIONES'!P164&lt;&gt;"",NOT(ISNUMBER('LID_LIQUIDACIONES'!P164))),1,0)</f>
        <v/>
      </c>
    </row>
    <row r="165">
      <c r="A165">
        <f>IF(AND('LID_LIQUIDACIONES'!A165&lt;&gt;"",NOT(ISNUMBER('LID_LIQUIDACIONES'!A165))),1,0)</f>
        <v/>
      </c>
      <c r="B165">
        <f>IF(AND('LID_LIQUIDACIONES'!B165&lt;&gt;"",LEN('LID_LIQUIDACIONES'!B165)&gt;5),1,0)</f>
        <v/>
      </c>
      <c r="C165">
        <f>IF(AND('LID_LIQUIDACIONES'!C165&lt;&gt;"",COUNTIF(CL_TIPO_VALOR,'LID_LIQUIDACIONES'!C165)=0),1,0)</f>
        <v/>
      </c>
      <c r="D165">
        <f>IF(AND('LID_LIQUIDACIONES'!D165&lt;&gt;"",COUNTIF(CL_TIPO_OBLIGACI_N,'LID_LIQUIDACIONES'!D165)=0),1,0)</f>
        <v/>
      </c>
      <c r="E165">
        <f>IF(AND('LID_LIQUIDACIONES'!E165&lt;&gt;"",IF(ISNUMBER('LID_LIQUIDACIONES'!E165),OR('LID_LIQUIDACIONES'!E165&lt;&gt;ROUND('LID_LIQUIDACIONES'!E165,0),LEN(TEXT(INT(ABS('LID_LIQUIDACIONES'!E165)),"0"))&gt;12),TRUE)),1,0)</f>
        <v/>
      </c>
      <c r="F165">
        <f>IF(AND('LID_LIQUIDACIONES'!F165&lt;&gt;"",OR(LEN('LID_LIQUIDACIONES'!F165)&gt;3,COUNTIF(CL_MONEDA,'LID_LIQUIDACIONES'!F165)=0)),1,0)</f>
        <v/>
      </c>
      <c r="G165">
        <f>IF(AND('LID_LIQUIDACIONES'!G165&lt;&gt;"",COUNTIF(CL_ID_PAGOS,'LID_LIQUIDACIONES'!G165)=0),1,0)</f>
        <v/>
      </c>
      <c r="H165">
        <f>IF(AND('LID_LIQUIDACIONES'!H165&lt;&gt;"",COUNTIF(CL_FLAG_HORARIO,'LID_LIQUIDACIONES'!H165)=0),1,0)</f>
        <v/>
      </c>
      <c r="I165">
        <f>IF(AND('LID_LIQUIDACIONES'!I165&lt;&gt;"",COUNTIF(CL_CAT_ID_PAGOS_RET,'LID_LIQUIDACIONES'!I165)=0),1,0)</f>
        <v/>
      </c>
      <c r="J165">
        <f>IF(AND('LID_LIQUIDACIONES'!J165&lt;&gt;"",NOT(ISNUMBER('LID_LIQUIDACIONES'!J165))),1,0)</f>
        <v/>
      </c>
      <c r="K165">
        <f>IF(AND('LID_LIQUIDACIONES'!K165&lt;&gt;"",LEN('LID_LIQUIDACIONES'!K165)&gt;5),1,0)</f>
        <v/>
      </c>
      <c r="L165">
        <f>IF(AND('LID_LIQUIDACIONES'!L165&lt;&gt;"",IF(ISNUMBER('LID_LIQUIDACIONES'!L165),OR('LID_LIQUIDACIONES'!L165&lt;&gt;ROUND('LID_LIQUIDACIONES'!L165,0),LEN(TEXT(INT(ABS('LID_LIQUIDACIONES'!L165)),"0"))&gt;12),TRUE)),1,0)</f>
        <v/>
      </c>
      <c r="M165">
        <f>IF(AND('LID_LIQUIDACIONES'!M165&lt;&gt;"",COUNTIF(CL_CAT_MOTIVO_RET,'LID_LIQUIDACIONES'!M165)=0),1,0)</f>
        <v/>
      </c>
      <c r="N165">
        <f>IF(AND('LID_LIQUIDACIONES'!N165&lt;&gt;"",LEN('LID_LIQUIDACIONES'!N165)&gt;50),1,0)</f>
        <v/>
      </c>
      <c r="O165">
        <f>IF(AND('LID_LIQUIDACIONES'!O165&lt;&gt;"",COUNTIF(CL_CARACT_LIQ,'LID_LIQUIDACIONES'!O165)=0),1,0)</f>
        <v/>
      </c>
      <c r="P165">
        <f>IF(AND('LID_LIQUIDACIONES'!P165&lt;&gt;"",NOT(ISNUMBER('LID_LIQUIDACIONES'!P165))),1,0)</f>
        <v/>
      </c>
    </row>
    <row r="166">
      <c r="A166">
        <f>IF(AND('LID_LIQUIDACIONES'!A166&lt;&gt;"",NOT(ISNUMBER('LID_LIQUIDACIONES'!A166))),1,0)</f>
        <v/>
      </c>
      <c r="B166">
        <f>IF(AND('LID_LIQUIDACIONES'!B166&lt;&gt;"",LEN('LID_LIQUIDACIONES'!B166)&gt;5),1,0)</f>
        <v/>
      </c>
      <c r="C166">
        <f>IF(AND('LID_LIQUIDACIONES'!C166&lt;&gt;"",COUNTIF(CL_TIPO_VALOR,'LID_LIQUIDACIONES'!C166)=0),1,0)</f>
        <v/>
      </c>
      <c r="D166">
        <f>IF(AND('LID_LIQUIDACIONES'!D166&lt;&gt;"",COUNTIF(CL_TIPO_OBLIGACI_N,'LID_LIQUIDACIONES'!D166)=0),1,0)</f>
        <v/>
      </c>
      <c r="E166">
        <f>IF(AND('LID_LIQUIDACIONES'!E166&lt;&gt;"",IF(ISNUMBER('LID_LIQUIDACIONES'!E166),OR('LID_LIQUIDACIONES'!E166&lt;&gt;ROUND('LID_LIQUIDACIONES'!E166,0),LEN(TEXT(INT(ABS('LID_LIQUIDACIONES'!E166)),"0"))&gt;12),TRUE)),1,0)</f>
        <v/>
      </c>
      <c r="F166">
        <f>IF(AND('LID_LIQUIDACIONES'!F166&lt;&gt;"",OR(LEN('LID_LIQUIDACIONES'!F166)&gt;3,COUNTIF(CL_MONEDA,'LID_LIQUIDACIONES'!F166)=0)),1,0)</f>
        <v/>
      </c>
      <c r="G166">
        <f>IF(AND('LID_LIQUIDACIONES'!G166&lt;&gt;"",COUNTIF(CL_ID_PAGOS,'LID_LIQUIDACIONES'!G166)=0),1,0)</f>
        <v/>
      </c>
      <c r="H166">
        <f>IF(AND('LID_LIQUIDACIONES'!H166&lt;&gt;"",COUNTIF(CL_FLAG_HORARIO,'LID_LIQUIDACIONES'!H166)=0),1,0)</f>
        <v/>
      </c>
      <c r="I166">
        <f>IF(AND('LID_LIQUIDACIONES'!I166&lt;&gt;"",COUNTIF(CL_CAT_ID_PAGOS_RET,'LID_LIQUIDACIONES'!I166)=0),1,0)</f>
        <v/>
      </c>
      <c r="J166">
        <f>IF(AND('LID_LIQUIDACIONES'!J166&lt;&gt;"",NOT(ISNUMBER('LID_LIQUIDACIONES'!J166))),1,0)</f>
        <v/>
      </c>
      <c r="K166">
        <f>IF(AND('LID_LIQUIDACIONES'!K166&lt;&gt;"",LEN('LID_LIQUIDACIONES'!K166)&gt;5),1,0)</f>
        <v/>
      </c>
      <c r="L166">
        <f>IF(AND('LID_LIQUIDACIONES'!L166&lt;&gt;"",IF(ISNUMBER('LID_LIQUIDACIONES'!L166),OR('LID_LIQUIDACIONES'!L166&lt;&gt;ROUND('LID_LIQUIDACIONES'!L166,0),LEN(TEXT(INT(ABS('LID_LIQUIDACIONES'!L166)),"0"))&gt;12),TRUE)),1,0)</f>
        <v/>
      </c>
      <c r="M166">
        <f>IF(AND('LID_LIQUIDACIONES'!M166&lt;&gt;"",COUNTIF(CL_CAT_MOTIVO_RET,'LID_LIQUIDACIONES'!M166)=0),1,0)</f>
        <v/>
      </c>
      <c r="N166">
        <f>IF(AND('LID_LIQUIDACIONES'!N166&lt;&gt;"",LEN('LID_LIQUIDACIONES'!N166)&gt;50),1,0)</f>
        <v/>
      </c>
      <c r="O166">
        <f>IF(AND('LID_LIQUIDACIONES'!O166&lt;&gt;"",COUNTIF(CL_CARACT_LIQ,'LID_LIQUIDACIONES'!O166)=0),1,0)</f>
        <v/>
      </c>
      <c r="P166">
        <f>IF(AND('LID_LIQUIDACIONES'!P166&lt;&gt;"",NOT(ISNUMBER('LID_LIQUIDACIONES'!P166))),1,0)</f>
        <v/>
      </c>
    </row>
    <row r="167">
      <c r="A167">
        <f>IF(AND('LID_LIQUIDACIONES'!A167&lt;&gt;"",NOT(ISNUMBER('LID_LIQUIDACIONES'!A167))),1,0)</f>
        <v/>
      </c>
      <c r="B167">
        <f>IF(AND('LID_LIQUIDACIONES'!B167&lt;&gt;"",LEN('LID_LIQUIDACIONES'!B167)&gt;5),1,0)</f>
        <v/>
      </c>
      <c r="C167">
        <f>IF(AND('LID_LIQUIDACIONES'!C167&lt;&gt;"",COUNTIF(CL_TIPO_VALOR,'LID_LIQUIDACIONES'!C167)=0),1,0)</f>
        <v/>
      </c>
      <c r="D167">
        <f>IF(AND('LID_LIQUIDACIONES'!D167&lt;&gt;"",COUNTIF(CL_TIPO_OBLIGACI_N,'LID_LIQUIDACIONES'!D167)=0),1,0)</f>
        <v/>
      </c>
      <c r="E167">
        <f>IF(AND('LID_LIQUIDACIONES'!E167&lt;&gt;"",IF(ISNUMBER('LID_LIQUIDACIONES'!E167),OR('LID_LIQUIDACIONES'!E167&lt;&gt;ROUND('LID_LIQUIDACIONES'!E167,0),LEN(TEXT(INT(ABS('LID_LIQUIDACIONES'!E167)),"0"))&gt;12),TRUE)),1,0)</f>
        <v/>
      </c>
      <c r="F167">
        <f>IF(AND('LID_LIQUIDACIONES'!F167&lt;&gt;"",OR(LEN('LID_LIQUIDACIONES'!F167)&gt;3,COUNTIF(CL_MONEDA,'LID_LIQUIDACIONES'!F167)=0)),1,0)</f>
        <v/>
      </c>
      <c r="G167">
        <f>IF(AND('LID_LIQUIDACIONES'!G167&lt;&gt;"",COUNTIF(CL_ID_PAGOS,'LID_LIQUIDACIONES'!G167)=0),1,0)</f>
        <v/>
      </c>
      <c r="H167">
        <f>IF(AND('LID_LIQUIDACIONES'!H167&lt;&gt;"",COUNTIF(CL_FLAG_HORARIO,'LID_LIQUIDACIONES'!H167)=0),1,0)</f>
        <v/>
      </c>
      <c r="I167">
        <f>IF(AND('LID_LIQUIDACIONES'!I167&lt;&gt;"",COUNTIF(CL_CAT_ID_PAGOS_RET,'LID_LIQUIDACIONES'!I167)=0),1,0)</f>
        <v/>
      </c>
      <c r="J167">
        <f>IF(AND('LID_LIQUIDACIONES'!J167&lt;&gt;"",NOT(ISNUMBER('LID_LIQUIDACIONES'!J167))),1,0)</f>
        <v/>
      </c>
      <c r="K167">
        <f>IF(AND('LID_LIQUIDACIONES'!K167&lt;&gt;"",LEN('LID_LIQUIDACIONES'!K167)&gt;5),1,0)</f>
        <v/>
      </c>
      <c r="L167">
        <f>IF(AND('LID_LIQUIDACIONES'!L167&lt;&gt;"",IF(ISNUMBER('LID_LIQUIDACIONES'!L167),OR('LID_LIQUIDACIONES'!L167&lt;&gt;ROUND('LID_LIQUIDACIONES'!L167,0),LEN(TEXT(INT(ABS('LID_LIQUIDACIONES'!L167)),"0"))&gt;12),TRUE)),1,0)</f>
        <v/>
      </c>
      <c r="M167">
        <f>IF(AND('LID_LIQUIDACIONES'!M167&lt;&gt;"",COUNTIF(CL_CAT_MOTIVO_RET,'LID_LIQUIDACIONES'!M167)=0),1,0)</f>
        <v/>
      </c>
      <c r="N167">
        <f>IF(AND('LID_LIQUIDACIONES'!N167&lt;&gt;"",LEN('LID_LIQUIDACIONES'!N167)&gt;50),1,0)</f>
        <v/>
      </c>
      <c r="O167">
        <f>IF(AND('LID_LIQUIDACIONES'!O167&lt;&gt;"",COUNTIF(CL_CARACT_LIQ,'LID_LIQUIDACIONES'!O167)=0),1,0)</f>
        <v/>
      </c>
      <c r="P167">
        <f>IF(AND('LID_LIQUIDACIONES'!P167&lt;&gt;"",NOT(ISNUMBER('LID_LIQUIDACIONES'!P167))),1,0)</f>
        <v/>
      </c>
    </row>
    <row r="168">
      <c r="A168">
        <f>IF(AND('LID_LIQUIDACIONES'!A168&lt;&gt;"",NOT(ISNUMBER('LID_LIQUIDACIONES'!A168))),1,0)</f>
        <v/>
      </c>
      <c r="B168">
        <f>IF(AND('LID_LIQUIDACIONES'!B168&lt;&gt;"",LEN('LID_LIQUIDACIONES'!B168)&gt;5),1,0)</f>
        <v/>
      </c>
      <c r="C168">
        <f>IF(AND('LID_LIQUIDACIONES'!C168&lt;&gt;"",COUNTIF(CL_TIPO_VALOR,'LID_LIQUIDACIONES'!C168)=0),1,0)</f>
        <v/>
      </c>
      <c r="D168">
        <f>IF(AND('LID_LIQUIDACIONES'!D168&lt;&gt;"",COUNTIF(CL_TIPO_OBLIGACI_N,'LID_LIQUIDACIONES'!D168)=0),1,0)</f>
        <v/>
      </c>
      <c r="E168">
        <f>IF(AND('LID_LIQUIDACIONES'!E168&lt;&gt;"",IF(ISNUMBER('LID_LIQUIDACIONES'!E168),OR('LID_LIQUIDACIONES'!E168&lt;&gt;ROUND('LID_LIQUIDACIONES'!E168,0),LEN(TEXT(INT(ABS('LID_LIQUIDACIONES'!E168)),"0"))&gt;12),TRUE)),1,0)</f>
        <v/>
      </c>
      <c r="F168">
        <f>IF(AND('LID_LIQUIDACIONES'!F168&lt;&gt;"",OR(LEN('LID_LIQUIDACIONES'!F168)&gt;3,COUNTIF(CL_MONEDA,'LID_LIQUIDACIONES'!F168)=0)),1,0)</f>
        <v/>
      </c>
      <c r="G168">
        <f>IF(AND('LID_LIQUIDACIONES'!G168&lt;&gt;"",COUNTIF(CL_ID_PAGOS,'LID_LIQUIDACIONES'!G168)=0),1,0)</f>
        <v/>
      </c>
      <c r="H168">
        <f>IF(AND('LID_LIQUIDACIONES'!H168&lt;&gt;"",COUNTIF(CL_FLAG_HORARIO,'LID_LIQUIDACIONES'!H168)=0),1,0)</f>
        <v/>
      </c>
      <c r="I168">
        <f>IF(AND('LID_LIQUIDACIONES'!I168&lt;&gt;"",COUNTIF(CL_CAT_ID_PAGOS_RET,'LID_LIQUIDACIONES'!I168)=0),1,0)</f>
        <v/>
      </c>
      <c r="J168">
        <f>IF(AND('LID_LIQUIDACIONES'!J168&lt;&gt;"",NOT(ISNUMBER('LID_LIQUIDACIONES'!J168))),1,0)</f>
        <v/>
      </c>
      <c r="K168">
        <f>IF(AND('LID_LIQUIDACIONES'!K168&lt;&gt;"",LEN('LID_LIQUIDACIONES'!K168)&gt;5),1,0)</f>
        <v/>
      </c>
      <c r="L168">
        <f>IF(AND('LID_LIQUIDACIONES'!L168&lt;&gt;"",IF(ISNUMBER('LID_LIQUIDACIONES'!L168),OR('LID_LIQUIDACIONES'!L168&lt;&gt;ROUND('LID_LIQUIDACIONES'!L168,0),LEN(TEXT(INT(ABS('LID_LIQUIDACIONES'!L168)),"0"))&gt;12),TRUE)),1,0)</f>
        <v/>
      </c>
      <c r="M168">
        <f>IF(AND('LID_LIQUIDACIONES'!M168&lt;&gt;"",COUNTIF(CL_CAT_MOTIVO_RET,'LID_LIQUIDACIONES'!M168)=0),1,0)</f>
        <v/>
      </c>
      <c r="N168">
        <f>IF(AND('LID_LIQUIDACIONES'!N168&lt;&gt;"",LEN('LID_LIQUIDACIONES'!N168)&gt;50),1,0)</f>
        <v/>
      </c>
      <c r="O168">
        <f>IF(AND('LID_LIQUIDACIONES'!O168&lt;&gt;"",COUNTIF(CL_CARACT_LIQ,'LID_LIQUIDACIONES'!O168)=0),1,0)</f>
        <v/>
      </c>
      <c r="P168">
        <f>IF(AND('LID_LIQUIDACIONES'!P168&lt;&gt;"",NOT(ISNUMBER('LID_LIQUIDACIONES'!P168))),1,0)</f>
        <v/>
      </c>
    </row>
    <row r="169">
      <c r="A169">
        <f>IF(AND('LID_LIQUIDACIONES'!A169&lt;&gt;"",NOT(ISNUMBER('LID_LIQUIDACIONES'!A169))),1,0)</f>
        <v/>
      </c>
      <c r="B169">
        <f>IF(AND('LID_LIQUIDACIONES'!B169&lt;&gt;"",LEN('LID_LIQUIDACIONES'!B169)&gt;5),1,0)</f>
        <v/>
      </c>
      <c r="C169">
        <f>IF(AND('LID_LIQUIDACIONES'!C169&lt;&gt;"",COUNTIF(CL_TIPO_VALOR,'LID_LIQUIDACIONES'!C169)=0),1,0)</f>
        <v/>
      </c>
      <c r="D169">
        <f>IF(AND('LID_LIQUIDACIONES'!D169&lt;&gt;"",COUNTIF(CL_TIPO_OBLIGACI_N,'LID_LIQUIDACIONES'!D169)=0),1,0)</f>
        <v/>
      </c>
      <c r="E169">
        <f>IF(AND('LID_LIQUIDACIONES'!E169&lt;&gt;"",IF(ISNUMBER('LID_LIQUIDACIONES'!E169),OR('LID_LIQUIDACIONES'!E169&lt;&gt;ROUND('LID_LIQUIDACIONES'!E169,0),LEN(TEXT(INT(ABS('LID_LIQUIDACIONES'!E169)),"0"))&gt;12),TRUE)),1,0)</f>
        <v/>
      </c>
      <c r="F169">
        <f>IF(AND('LID_LIQUIDACIONES'!F169&lt;&gt;"",OR(LEN('LID_LIQUIDACIONES'!F169)&gt;3,COUNTIF(CL_MONEDA,'LID_LIQUIDACIONES'!F169)=0)),1,0)</f>
        <v/>
      </c>
      <c r="G169">
        <f>IF(AND('LID_LIQUIDACIONES'!G169&lt;&gt;"",COUNTIF(CL_ID_PAGOS,'LID_LIQUIDACIONES'!G169)=0),1,0)</f>
        <v/>
      </c>
      <c r="H169">
        <f>IF(AND('LID_LIQUIDACIONES'!H169&lt;&gt;"",COUNTIF(CL_FLAG_HORARIO,'LID_LIQUIDACIONES'!H169)=0),1,0)</f>
        <v/>
      </c>
      <c r="I169">
        <f>IF(AND('LID_LIQUIDACIONES'!I169&lt;&gt;"",COUNTIF(CL_CAT_ID_PAGOS_RET,'LID_LIQUIDACIONES'!I169)=0),1,0)</f>
        <v/>
      </c>
      <c r="J169">
        <f>IF(AND('LID_LIQUIDACIONES'!J169&lt;&gt;"",NOT(ISNUMBER('LID_LIQUIDACIONES'!J169))),1,0)</f>
        <v/>
      </c>
      <c r="K169">
        <f>IF(AND('LID_LIQUIDACIONES'!K169&lt;&gt;"",LEN('LID_LIQUIDACIONES'!K169)&gt;5),1,0)</f>
        <v/>
      </c>
      <c r="L169">
        <f>IF(AND('LID_LIQUIDACIONES'!L169&lt;&gt;"",IF(ISNUMBER('LID_LIQUIDACIONES'!L169),OR('LID_LIQUIDACIONES'!L169&lt;&gt;ROUND('LID_LIQUIDACIONES'!L169,0),LEN(TEXT(INT(ABS('LID_LIQUIDACIONES'!L169)),"0"))&gt;12),TRUE)),1,0)</f>
        <v/>
      </c>
      <c r="M169">
        <f>IF(AND('LID_LIQUIDACIONES'!M169&lt;&gt;"",COUNTIF(CL_CAT_MOTIVO_RET,'LID_LIQUIDACIONES'!M169)=0),1,0)</f>
        <v/>
      </c>
      <c r="N169">
        <f>IF(AND('LID_LIQUIDACIONES'!N169&lt;&gt;"",LEN('LID_LIQUIDACIONES'!N169)&gt;50),1,0)</f>
        <v/>
      </c>
      <c r="O169">
        <f>IF(AND('LID_LIQUIDACIONES'!O169&lt;&gt;"",COUNTIF(CL_CARACT_LIQ,'LID_LIQUIDACIONES'!O169)=0),1,0)</f>
        <v/>
      </c>
      <c r="P169">
        <f>IF(AND('LID_LIQUIDACIONES'!P169&lt;&gt;"",NOT(ISNUMBER('LID_LIQUIDACIONES'!P169))),1,0)</f>
        <v/>
      </c>
    </row>
    <row r="170">
      <c r="A170">
        <f>IF(AND('LID_LIQUIDACIONES'!A170&lt;&gt;"",NOT(ISNUMBER('LID_LIQUIDACIONES'!A170))),1,0)</f>
        <v/>
      </c>
      <c r="B170">
        <f>IF(AND('LID_LIQUIDACIONES'!B170&lt;&gt;"",LEN('LID_LIQUIDACIONES'!B170)&gt;5),1,0)</f>
        <v/>
      </c>
      <c r="C170">
        <f>IF(AND('LID_LIQUIDACIONES'!C170&lt;&gt;"",COUNTIF(CL_TIPO_VALOR,'LID_LIQUIDACIONES'!C170)=0),1,0)</f>
        <v/>
      </c>
      <c r="D170">
        <f>IF(AND('LID_LIQUIDACIONES'!D170&lt;&gt;"",COUNTIF(CL_TIPO_OBLIGACI_N,'LID_LIQUIDACIONES'!D170)=0),1,0)</f>
        <v/>
      </c>
      <c r="E170">
        <f>IF(AND('LID_LIQUIDACIONES'!E170&lt;&gt;"",IF(ISNUMBER('LID_LIQUIDACIONES'!E170),OR('LID_LIQUIDACIONES'!E170&lt;&gt;ROUND('LID_LIQUIDACIONES'!E170,0),LEN(TEXT(INT(ABS('LID_LIQUIDACIONES'!E170)),"0"))&gt;12),TRUE)),1,0)</f>
        <v/>
      </c>
      <c r="F170">
        <f>IF(AND('LID_LIQUIDACIONES'!F170&lt;&gt;"",OR(LEN('LID_LIQUIDACIONES'!F170)&gt;3,COUNTIF(CL_MONEDA,'LID_LIQUIDACIONES'!F170)=0)),1,0)</f>
        <v/>
      </c>
      <c r="G170">
        <f>IF(AND('LID_LIQUIDACIONES'!G170&lt;&gt;"",COUNTIF(CL_ID_PAGOS,'LID_LIQUIDACIONES'!G170)=0),1,0)</f>
        <v/>
      </c>
      <c r="H170">
        <f>IF(AND('LID_LIQUIDACIONES'!H170&lt;&gt;"",COUNTIF(CL_FLAG_HORARIO,'LID_LIQUIDACIONES'!H170)=0),1,0)</f>
        <v/>
      </c>
      <c r="I170">
        <f>IF(AND('LID_LIQUIDACIONES'!I170&lt;&gt;"",COUNTIF(CL_CAT_ID_PAGOS_RET,'LID_LIQUIDACIONES'!I170)=0),1,0)</f>
        <v/>
      </c>
      <c r="J170">
        <f>IF(AND('LID_LIQUIDACIONES'!J170&lt;&gt;"",NOT(ISNUMBER('LID_LIQUIDACIONES'!J170))),1,0)</f>
        <v/>
      </c>
      <c r="K170">
        <f>IF(AND('LID_LIQUIDACIONES'!K170&lt;&gt;"",LEN('LID_LIQUIDACIONES'!K170)&gt;5),1,0)</f>
        <v/>
      </c>
      <c r="L170">
        <f>IF(AND('LID_LIQUIDACIONES'!L170&lt;&gt;"",IF(ISNUMBER('LID_LIQUIDACIONES'!L170),OR('LID_LIQUIDACIONES'!L170&lt;&gt;ROUND('LID_LIQUIDACIONES'!L170,0),LEN(TEXT(INT(ABS('LID_LIQUIDACIONES'!L170)),"0"))&gt;12),TRUE)),1,0)</f>
        <v/>
      </c>
      <c r="M170">
        <f>IF(AND('LID_LIQUIDACIONES'!M170&lt;&gt;"",COUNTIF(CL_CAT_MOTIVO_RET,'LID_LIQUIDACIONES'!M170)=0),1,0)</f>
        <v/>
      </c>
      <c r="N170">
        <f>IF(AND('LID_LIQUIDACIONES'!N170&lt;&gt;"",LEN('LID_LIQUIDACIONES'!N170)&gt;50),1,0)</f>
        <v/>
      </c>
      <c r="O170">
        <f>IF(AND('LID_LIQUIDACIONES'!O170&lt;&gt;"",COUNTIF(CL_CARACT_LIQ,'LID_LIQUIDACIONES'!O170)=0),1,0)</f>
        <v/>
      </c>
      <c r="P170">
        <f>IF(AND('LID_LIQUIDACIONES'!P170&lt;&gt;"",NOT(ISNUMBER('LID_LIQUIDACIONES'!P170))),1,0)</f>
        <v/>
      </c>
    </row>
    <row r="171">
      <c r="A171">
        <f>IF(AND('LID_LIQUIDACIONES'!A171&lt;&gt;"",NOT(ISNUMBER('LID_LIQUIDACIONES'!A171))),1,0)</f>
        <v/>
      </c>
      <c r="B171">
        <f>IF(AND('LID_LIQUIDACIONES'!B171&lt;&gt;"",LEN('LID_LIQUIDACIONES'!B171)&gt;5),1,0)</f>
        <v/>
      </c>
      <c r="C171">
        <f>IF(AND('LID_LIQUIDACIONES'!C171&lt;&gt;"",COUNTIF(CL_TIPO_VALOR,'LID_LIQUIDACIONES'!C171)=0),1,0)</f>
        <v/>
      </c>
      <c r="D171">
        <f>IF(AND('LID_LIQUIDACIONES'!D171&lt;&gt;"",COUNTIF(CL_TIPO_OBLIGACI_N,'LID_LIQUIDACIONES'!D171)=0),1,0)</f>
        <v/>
      </c>
      <c r="E171">
        <f>IF(AND('LID_LIQUIDACIONES'!E171&lt;&gt;"",IF(ISNUMBER('LID_LIQUIDACIONES'!E171),OR('LID_LIQUIDACIONES'!E171&lt;&gt;ROUND('LID_LIQUIDACIONES'!E171,0),LEN(TEXT(INT(ABS('LID_LIQUIDACIONES'!E171)),"0"))&gt;12),TRUE)),1,0)</f>
        <v/>
      </c>
      <c r="F171">
        <f>IF(AND('LID_LIQUIDACIONES'!F171&lt;&gt;"",OR(LEN('LID_LIQUIDACIONES'!F171)&gt;3,COUNTIF(CL_MONEDA,'LID_LIQUIDACIONES'!F171)=0)),1,0)</f>
        <v/>
      </c>
      <c r="G171">
        <f>IF(AND('LID_LIQUIDACIONES'!G171&lt;&gt;"",COUNTIF(CL_ID_PAGOS,'LID_LIQUIDACIONES'!G171)=0),1,0)</f>
        <v/>
      </c>
      <c r="H171">
        <f>IF(AND('LID_LIQUIDACIONES'!H171&lt;&gt;"",COUNTIF(CL_FLAG_HORARIO,'LID_LIQUIDACIONES'!H171)=0),1,0)</f>
        <v/>
      </c>
      <c r="I171">
        <f>IF(AND('LID_LIQUIDACIONES'!I171&lt;&gt;"",COUNTIF(CL_CAT_ID_PAGOS_RET,'LID_LIQUIDACIONES'!I171)=0),1,0)</f>
        <v/>
      </c>
      <c r="J171">
        <f>IF(AND('LID_LIQUIDACIONES'!J171&lt;&gt;"",NOT(ISNUMBER('LID_LIQUIDACIONES'!J171))),1,0)</f>
        <v/>
      </c>
      <c r="K171">
        <f>IF(AND('LID_LIQUIDACIONES'!K171&lt;&gt;"",LEN('LID_LIQUIDACIONES'!K171)&gt;5),1,0)</f>
        <v/>
      </c>
      <c r="L171">
        <f>IF(AND('LID_LIQUIDACIONES'!L171&lt;&gt;"",IF(ISNUMBER('LID_LIQUIDACIONES'!L171),OR('LID_LIQUIDACIONES'!L171&lt;&gt;ROUND('LID_LIQUIDACIONES'!L171,0),LEN(TEXT(INT(ABS('LID_LIQUIDACIONES'!L171)),"0"))&gt;12),TRUE)),1,0)</f>
        <v/>
      </c>
      <c r="M171">
        <f>IF(AND('LID_LIQUIDACIONES'!M171&lt;&gt;"",COUNTIF(CL_CAT_MOTIVO_RET,'LID_LIQUIDACIONES'!M171)=0),1,0)</f>
        <v/>
      </c>
      <c r="N171">
        <f>IF(AND('LID_LIQUIDACIONES'!N171&lt;&gt;"",LEN('LID_LIQUIDACIONES'!N171)&gt;50),1,0)</f>
        <v/>
      </c>
      <c r="O171">
        <f>IF(AND('LID_LIQUIDACIONES'!O171&lt;&gt;"",COUNTIF(CL_CARACT_LIQ,'LID_LIQUIDACIONES'!O171)=0),1,0)</f>
        <v/>
      </c>
      <c r="P171">
        <f>IF(AND('LID_LIQUIDACIONES'!P171&lt;&gt;"",NOT(ISNUMBER('LID_LIQUIDACIONES'!P171))),1,0)</f>
        <v/>
      </c>
    </row>
    <row r="172">
      <c r="A172">
        <f>IF(AND('LID_LIQUIDACIONES'!A172&lt;&gt;"",NOT(ISNUMBER('LID_LIQUIDACIONES'!A172))),1,0)</f>
        <v/>
      </c>
      <c r="B172">
        <f>IF(AND('LID_LIQUIDACIONES'!B172&lt;&gt;"",LEN('LID_LIQUIDACIONES'!B172)&gt;5),1,0)</f>
        <v/>
      </c>
      <c r="C172">
        <f>IF(AND('LID_LIQUIDACIONES'!C172&lt;&gt;"",COUNTIF(CL_TIPO_VALOR,'LID_LIQUIDACIONES'!C172)=0),1,0)</f>
        <v/>
      </c>
      <c r="D172">
        <f>IF(AND('LID_LIQUIDACIONES'!D172&lt;&gt;"",COUNTIF(CL_TIPO_OBLIGACI_N,'LID_LIQUIDACIONES'!D172)=0),1,0)</f>
        <v/>
      </c>
      <c r="E172">
        <f>IF(AND('LID_LIQUIDACIONES'!E172&lt;&gt;"",IF(ISNUMBER('LID_LIQUIDACIONES'!E172),OR('LID_LIQUIDACIONES'!E172&lt;&gt;ROUND('LID_LIQUIDACIONES'!E172,0),LEN(TEXT(INT(ABS('LID_LIQUIDACIONES'!E172)),"0"))&gt;12),TRUE)),1,0)</f>
        <v/>
      </c>
      <c r="F172">
        <f>IF(AND('LID_LIQUIDACIONES'!F172&lt;&gt;"",OR(LEN('LID_LIQUIDACIONES'!F172)&gt;3,COUNTIF(CL_MONEDA,'LID_LIQUIDACIONES'!F172)=0)),1,0)</f>
        <v/>
      </c>
      <c r="G172">
        <f>IF(AND('LID_LIQUIDACIONES'!G172&lt;&gt;"",COUNTIF(CL_ID_PAGOS,'LID_LIQUIDACIONES'!G172)=0),1,0)</f>
        <v/>
      </c>
      <c r="H172">
        <f>IF(AND('LID_LIQUIDACIONES'!H172&lt;&gt;"",COUNTIF(CL_FLAG_HORARIO,'LID_LIQUIDACIONES'!H172)=0),1,0)</f>
        <v/>
      </c>
      <c r="I172">
        <f>IF(AND('LID_LIQUIDACIONES'!I172&lt;&gt;"",COUNTIF(CL_CAT_ID_PAGOS_RET,'LID_LIQUIDACIONES'!I172)=0),1,0)</f>
        <v/>
      </c>
      <c r="J172">
        <f>IF(AND('LID_LIQUIDACIONES'!J172&lt;&gt;"",NOT(ISNUMBER('LID_LIQUIDACIONES'!J172))),1,0)</f>
        <v/>
      </c>
      <c r="K172">
        <f>IF(AND('LID_LIQUIDACIONES'!K172&lt;&gt;"",LEN('LID_LIQUIDACIONES'!K172)&gt;5),1,0)</f>
        <v/>
      </c>
      <c r="L172">
        <f>IF(AND('LID_LIQUIDACIONES'!L172&lt;&gt;"",IF(ISNUMBER('LID_LIQUIDACIONES'!L172),OR('LID_LIQUIDACIONES'!L172&lt;&gt;ROUND('LID_LIQUIDACIONES'!L172,0),LEN(TEXT(INT(ABS('LID_LIQUIDACIONES'!L172)),"0"))&gt;12),TRUE)),1,0)</f>
        <v/>
      </c>
      <c r="M172">
        <f>IF(AND('LID_LIQUIDACIONES'!M172&lt;&gt;"",COUNTIF(CL_CAT_MOTIVO_RET,'LID_LIQUIDACIONES'!M172)=0),1,0)</f>
        <v/>
      </c>
      <c r="N172">
        <f>IF(AND('LID_LIQUIDACIONES'!N172&lt;&gt;"",LEN('LID_LIQUIDACIONES'!N172)&gt;50),1,0)</f>
        <v/>
      </c>
      <c r="O172">
        <f>IF(AND('LID_LIQUIDACIONES'!O172&lt;&gt;"",COUNTIF(CL_CARACT_LIQ,'LID_LIQUIDACIONES'!O172)=0),1,0)</f>
        <v/>
      </c>
      <c r="P172">
        <f>IF(AND('LID_LIQUIDACIONES'!P172&lt;&gt;"",NOT(ISNUMBER('LID_LIQUIDACIONES'!P172))),1,0)</f>
        <v/>
      </c>
    </row>
    <row r="173">
      <c r="A173">
        <f>IF(AND('LID_LIQUIDACIONES'!A173&lt;&gt;"",NOT(ISNUMBER('LID_LIQUIDACIONES'!A173))),1,0)</f>
        <v/>
      </c>
      <c r="B173">
        <f>IF(AND('LID_LIQUIDACIONES'!B173&lt;&gt;"",LEN('LID_LIQUIDACIONES'!B173)&gt;5),1,0)</f>
        <v/>
      </c>
      <c r="C173">
        <f>IF(AND('LID_LIQUIDACIONES'!C173&lt;&gt;"",COUNTIF(CL_TIPO_VALOR,'LID_LIQUIDACIONES'!C173)=0),1,0)</f>
        <v/>
      </c>
      <c r="D173">
        <f>IF(AND('LID_LIQUIDACIONES'!D173&lt;&gt;"",COUNTIF(CL_TIPO_OBLIGACI_N,'LID_LIQUIDACIONES'!D173)=0),1,0)</f>
        <v/>
      </c>
      <c r="E173">
        <f>IF(AND('LID_LIQUIDACIONES'!E173&lt;&gt;"",IF(ISNUMBER('LID_LIQUIDACIONES'!E173),OR('LID_LIQUIDACIONES'!E173&lt;&gt;ROUND('LID_LIQUIDACIONES'!E173,0),LEN(TEXT(INT(ABS('LID_LIQUIDACIONES'!E173)),"0"))&gt;12),TRUE)),1,0)</f>
        <v/>
      </c>
      <c r="F173">
        <f>IF(AND('LID_LIQUIDACIONES'!F173&lt;&gt;"",OR(LEN('LID_LIQUIDACIONES'!F173)&gt;3,COUNTIF(CL_MONEDA,'LID_LIQUIDACIONES'!F173)=0)),1,0)</f>
        <v/>
      </c>
      <c r="G173">
        <f>IF(AND('LID_LIQUIDACIONES'!G173&lt;&gt;"",COUNTIF(CL_ID_PAGOS,'LID_LIQUIDACIONES'!G173)=0),1,0)</f>
        <v/>
      </c>
      <c r="H173">
        <f>IF(AND('LID_LIQUIDACIONES'!H173&lt;&gt;"",COUNTIF(CL_FLAG_HORARIO,'LID_LIQUIDACIONES'!H173)=0),1,0)</f>
        <v/>
      </c>
      <c r="I173">
        <f>IF(AND('LID_LIQUIDACIONES'!I173&lt;&gt;"",COUNTIF(CL_CAT_ID_PAGOS_RET,'LID_LIQUIDACIONES'!I173)=0),1,0)</f>
        <v/>
      </c>
      <c r="J173">
        <f>IF(AND('LID_LIQUIDACIONES'!J173&lt;&gt;"",NOT(ISNUMBER('LID_LIQUIDACIONES'!J173))),1,0)</f>
        <v/>
      </c>
      <c r="K173">
        <f>IF(AND('LID_LIQUIDACIONES'!K173&lt;&gt;"",LEN('LID_LIQUIDACIONES'!K173)&gt;5),1,0)</f>
        <v/>
      </c>
      <c r="L173">
        <f>IF(AND('LID_LIQUIDACIONES'!L173&lt;&gt;"",IF(ISNUMBER('LID_LIQUIDACIONES'!L173),OR('LID_LIQUIDACIONES'!L173&lt;&gt;ROUND('LID_LIQUIDACIONES'!L173,0),LEN(TEXT(INT(ABS('LID_LIQUIDACIONES'!L173)),"0"))&gt;12),TRUE)),1,0)</f>
        <v/>
      </c>
      <c r="M173">
        <f>IF(AND('LID_LIQUIDACIONES'!M173&lt;&gt;"",COUNTIF(CL_CAT_MOTIVO_RET,'LID_LIQUIDACIONES'!M173)=0),1,0)</f>
        <v/>
      </c>
      <c r="N173">
        <f>IF(AND('LID_LIQUIDACIONES'!N173&lt;&gt;"",LEN('LID_LIQUIDACIONES'!N173)&gt;50),1,0)</f>
        <v/>
      </c>
      <c r="O173">
        <f>IF(AND('LID_LIQUIDACIONES'!O173&lt;&gt;"",COUNTIF(CL_CARACT_LIQ,'LID_LIQUIDACIONES'!O173)=0),1,0)</f>
        <v/>
      </c>
      <c r="P173">
        <f>IF(AND('LID_LIQUIDACIONES'!P173&lt;&gt;"",NOT(ISNUMBER('LID_LIQUIDACIONES'!P173))),1,0)</f>
        <v/>
      </c>
    </row>
    <row r="174">
      <c r="A174">
        <f>IF(AND('LID_LIQUIDACIONES'!A174&lt;&gt;"",NOT(ISNUMBER('LID_LIQUIDACIONES'!A174))),1,0)</f>
        <v/>
      </c>
      <c r="B174">
        <f>IF(AND('LID_LIQUIDACIONES'!B174&lt;&gt;"",LEN('LID_LIQUIDACIONES'!B174)&gt;5),1,0)</f>
        <v/>
      </c>
      <c r="C174">
        <f>IF(AND('LID_LIQUIDACIONES'!C174&lt;&gt;"",COUNTIF(CL_TIPO_VALOR,'LID_LIQUIDACIONES'!C174)=0),1,0)</f>
        <v/>
      </c>
      <c r="D174">
        <f>IF(AND('LID_LIQUIDACIONES'!D174&lt;&gt;"",COUNTIF(CL_TIPO_OBLIGACI_N,'LID_LIQUIDACIONES'!D174)=0),1,0)</f>
        <v/>
      </c>
      <c r="E174">
        <f>IF(AND('LID_LIQUIDACIONES'!E174&lt;&gt;"",IF(ISNUMBER('LID_LIQUIDACIONES'!E174),OR('LID_LIQUIDACIONES'!E174&lt;&gt;ROUND('LID_LIQUIDACIONES'!E174,0),LEN(TEXT(INT(ABS('LID_LIQUIDACIONES'!E174)),"0"))&gt;12),TRUE)),1,0)</f>
        <v/>
      </c>
      <c r="F174">
        <f>IF(AND('LID_LIQUIDACIONES'!F174&lt;&gt;"",OR(LEN('LID_LIQUIDACIONES'!F174)&gt;3,COUNTIF(CL_MONEDA,'LID_LIQUIDACIONES'!F174)=0)),1,0)</f>
        <v/>
      </c>
      <c r="G174">
        <f>IF(AND('LID_LIQUIDACIONES'!G174&lt;&gt;"",COUNTIF(CL_ID_PAGOS,'LID_LIQUIDACIONES'!G174)=0),1,0)</f>
        <v/>
      </c>
      <c r="H174">
        <f>IF(AND('LID_LIQUIDACIONES'!H174&lt;&gt;"",COUNTIF(CL_FLAG_HORARIO,'LID_LIQUIDACIONES'!H174)=0),1,0)</f>
        <v/>
      </c>
      <c r="I174">
        <f>IF(AND('LID_LIQUIDACIONES'!I174&lt;&gt;"",COUNTIF(CL_CAT_ID_PAGOS_RET,'LID_LIQUIDACIONES'!I174)=0),1,0)</f>
        <v/>
      </c>
      <c r="J174">
        <f>IF(AND('LID_LIQUIDACIONES'!J174&lt;&gt;"",NOT(ISNUMBER('LID_LIQUIDACIONES'!J174))),1,0)</f>
        <v/>
      </c>
      <c r="K174">
        <f>IF(AND('LID_LIQUIDACIONES'!K174&lt;&gt;"",LEN('LID_LIQUIDACIONES'!K174)&gt;5),1,0)</f>
        <v/>
      </c>
      <c r="L174">
        <f>IF(AND('LID_LIQUIDACIONES'!L174&lt;&gt;"",IF(ISNUMBER('LID_LIQUIDACIONES'!L174),OR('LID_LIQUIDACIONES'!L174&lt;&gt;ROUND('LID_LIQUIDACIONES'!L174,0),LEN(TEXT(INT(ABS('LID_LIQUIDACIONES'!L174)),"0"))&gt;12),TRUE)),1,0)</f>
        <v/>
      </c>
      <c r="M174">
        <f>IF(AND('LID_LIQUIDACIONES'!M174&lt;&gt;"",COUNTIF(CL_CAT_MOTIVO_RET,'LID_LIQUIDACIONES'!M174)=0),1,0)</f>
        <v/>
      </c>
      <c r="N174">
        <f>IF(AND('LID_LIQUIDACIONES'!N174&lt;&gt;"",LEN('LID_LIQUIDACIONES'!N174)&gt;50),1,0)</f>
        <v/>
      </c>
      <c r="O174">
        <f>IF(AND('LID_LIQUIDACIONES'!O174&lt;&gt;"",COUNTIF(CL_CARACT_LIQ,'LID_LIQUIDACIONES'!O174)=0),1,0)</f>
        <v/>
      </c>
      <c r="P174">
        <f>IF(AND('LID_LIQUIDACIONES'!P174&lt;&gt;"",NOT(ISNUMBER('LID_LIQUIDACIONES'!P174))),1,0)</f>
        <v/>
      </c>
    </row>
    <row r="175">
      <c r="A175">
        <f>IF(AND('LID_LIQUIDACIONES'!A175&lt;&gt;"",NOT(ISNUMBER('LID_LIQUIDACIONES'!A175))),1,0)</f>
        <v/>
      </c>
      <c r="B175">
        <f>IF(AND('LID_LIQUIDACIONES'!B175&lt;&gt;"",LEN('LID_LIQUIDACIONES'!B175)&gt;5),1,0)</f>
        <v/>
      </c>
      <c r="C175">
        <f>IF(AND('LID_LIQUIDACIONES'!C175&lt;&gt;"",COUNTIF(CL_TIPO_VALOR,'LID_LIQUIDACIONES'!C175)=0),1,0)</f>
        <v/>
      </c>
      <c r="D175">
        <f>IF(AND('LID_LIQUIDACIONES'!D175&lt;&gt;"",COUNTIF(CL_TIPO_OBLIGACI_N,'LID_LIQUIDACIONES'!D175)=0),1,0)</f>
        <v/>
      </c>
      <c r="E175">
        <f>IF(AND('LID_LIQUIDACIONES'!E175&lt;&gt;"",IF(ISNUMBER('LID_LIQUIDACIONES'!E175),OR('LID_LIQUIDACIONES'!E175&lt;&gt;ROUND('LID_LIQUIDACIONES'!E175,0),LEN(TEXT(INT(ABS('LID_LIQUIDACIONES'!E175)),"0"))&gt;12),TRUE)),1,0)</f>
        <v/>
      </c>
      <c r="F175">
        <f>IF(AND('LID_LIQUIDACIONES'!F175&lt;&gt;"",OR(LEN('LID_LIQUIDACIONES'!F175)&gt;3,COUNTIF(CL_MONEDA,'LID_LIQUIDACIONES'!F175)=0)),1,0)</f>
        <v/>
      </c>
      <c r="G175">
        <f>IF(AND('LID_LIQUIDACIONES'!G175&lt;&gt;"",COUNTIF(CL_ID_PAGOS,'LID_LIQUIDACIONES'!G175)=0),1,0)</f>
        <v/>
      </c>
      <c r="H175">
        <f>IF(AND('LID_LIQUIDACIONES'!H175&lt;&gt;"",COUNTIF(CL_FLAG_HORARIO,'LID_LIQUIDACIONES'!H175)=0),1,0)</f>
        <v/>
      </c>
      <c r="I175">
        <f>IF(AND('LID_LIQUIDACIONES'!I175&lt;&gt;"",COUNTIF(CL_CAT_ID_PAGOS_RET,'LID_LIQUIDACIONES'!I175)=0),1,0)</f>
        <v/>
      </c>
      <c r="J175">
        <f>IF(AND('LID_LIQUIDACIONES'!J175&lt;&gt;"",NOT(ISNUMBER('LID_LIQUIDACIONES'!J175))),1,0)</f>
        <v/>
      </c>
      <c r="K175">
        <f>IF(AND('LID_LIQUIDACIONES'!K175&lt;&gt;"",LEN('LID_LIQUIDACIONES'!K175)&gt;5),1,0)</f>
        <v/>
      </c>
      <c r="L175">
        <f>IF(AND('LID_LIQUIDACIONES'!L175&lt;&gt;"",IF(ISNUMBER('LID_LIQUIDACIONES'!L175),OR('LID_LIQUIDACIONES'!L175&lt;&gt;ROUND('LID_LIQUIDACIONES'!L175,0),LEN(TEXT(INT(ABS('LID_LIQUIDACIONES'!L175)),"0"))&gt;12),TRUE)),1,0)</f>
        <v/>
      </c>
      <c r="M175">
        <f>IF(AND('LID_LIQUIDACIONES'!M175&lt;&gt;"",COUNTIF(CL_CAT_MOTIVO_RET,'LID_LIQUIDACIONES'!M175)=0),1,0)</f>
        <v/>
      </c>
      <c r="N175">
        <f>IF(AND('LID_LIQUIDACIONES'!N175&lt;&gt;"",LEN('LID_LIQUIDACIONES'!N175)&gt;50),1,0)</f>
        <v/>
      </c>
      <c r="O175">
        <f>IF(AND('LID_LIQUIDACIONES'!O175&lt;&gt;"",COUNTIF(CL_CARACT_LIQ,'LID_LIQUIDACIONES'!O175)=0),1,0)</f>
        <v/>
      </c>
      <c r="P175">
        <f>IF(AND('LID_LIQUIDACIONES'!P175&lt;&gt;"",NOT(ISNUMBER('LID_LIQUIDACIONES'!P175))),1,0)</f>
        <v/>
      </c>
    </row>
    <row r="176">
      <c r="A176">
        <f>IF(AND('LID_LIQUIDACIONES'!A176&lt;&gt;"",NOT(ISNUMBER('LID_LIQUIDACIONES'!A176))),1,0)</f>
        <v/>
      </c>
      <c r="B176">
        <f>IF(AND('LID_LIQUIDACIONES'!B176&lt;&gt;"",LEN('LID_LIQUIDACIONES'!B176)&gt;5),1,0)</f>
        <v/>
      </c>
      <c r="C176">
        <f>IF(AND('LID_LIQUIDACIONES'!C176&lt;&gt;"",COUNTIF(CL_TIPO_VALOR,'LID_LIQUIDACIONES'!C176)=0),1,0)</f>
        <v/>
      </c>
      <c r="D176">
        <f>IF(AND('LID_LIQUIDACIONES'!D176&lt;&gt;"",COUNTIF(CL_TIPO_OBLIGACI_N,'LID_LIQUIDACIONES'!D176)=0),1,0)</f>
        <v/>
      </c>
      <c r="E176">
        <f>IF(AND('LID_LIQUIDACIONES'!E176&lt;&gt;"",IF(ISNUMBER('LID_LIQUIDACIONES'!E176),OR('LID_LIQUIDACIONES'!E176&lt;&gt;ROUND('LID_LIQUIDACIONES'!E176,0),LEN(TEXT(INT(ABS('LID_LIQUIDACIONES'!E176)),"0"))&gt;12),TRUE)),1,0)</f>
        <v/>
      </c>
      <c r="F176">
        <f>IF(AND('LID_LIQUIDACIONES'!F176&lt;&gt;"",OR(LEN('LID_LIQUIDACIONES'!F176)&gt;3,COUNTIF(CL_MONEDA,'LID_LIQUIDACIONES'!F176)=0)),1,0)</f>
        <v/>
      </c>
      <c r="G176">
        <f>IF(AND('LID_LIQUIDACIONES'!G176&lt;&gt;"",COUNTIF(CL_ID_PAGOS,'LID_LIQUIDACIONES'!G176)=0),1,0)</f>
        <v/>
      </c>
      <c r="H176">
        <f>IF(AND('LID_LIQUIDACIONES'!H176&lt;&gt;"",COUNTIF(CL_FLAG_HORARIO,'LID_LIQUIDACIONES'!H176)=0),1,0)</f>
        <v/>
      </c>
      <c r="I176">
        <f>IF(AND('LID_LIQUIDACIONES'!I176&lt;&gt;"",COUNTIF(CL_CAT_ID_PAGOS_RET,'LID_LIQUIDACIONES'!I176)=0),1,0)</f>
        <v/>
      </c>
      <c r="J176">
        <f>IF(AND('LID_LIQUIDACIONES'!J176&lt;&gt;"",NOT(ISNUMBER('LID_LIQUIDACIONES'!J176))),1,0)</f>
        <v/>
      </c>
      <c r="K176">
        <f>IF(AND('LID_LIQUIDACIONES'!K176&lt;&gt;"",LEN('LID_LIQUIDACIONES'!K176)&gt;5),1,0)</f>
        <v/>
      </c>
      <c r="L176">
        <f>IF(AND('LID_LIQUIDACIONES'!L176&lt;&gt;"",IF(ISNUMBER('LID_LIQUIDACIONES'!L176),OR('LID_LIQUIDACIONES'!L176&lt;&gt;ROUND('LID_LIQUIDACIONES'!L176,0),LEN(TEXT(INT(ABS('LID_LIQUIDACIONES'!L176)),"0"))&gt;12),TRUE)),1,0)</f>
        <v/>
      </c>
      <c r="M176">
        <f>IF(AND('LID_LIQUIDACIONES'!M176&lt;&gt;"",COUNTIF(CL_CAT_MOTIVO_RET,'LID_LIQUIDACIONES'!M176)=0),1,0)</f>
        <v/>
      </c>
      <c r="N176">
        <f>IF(AND('LID_LIQUIDACIONES'!N176&lt;&gt;"",LEN('LID_LIQUIDACIONES'!N176)&gt;50),1,0)</f>
        <v/>
      </c>
      <c r="O176">
        <f>IF(AND('LID_LIQUIDACIONES'!O176&lt;&gt;"",COUNTIF(CL_CARACT_LIQ,'LID_LIQUIDACIONES'!O176)=0),1,0)</f>
        <v/>
      </c>
      <c r="P176">
        <f>IF(AND('LID_LIQUIDACIONES'!P176&lt;&gt;"",NOT(ISNUMBER('LID_LIQUIDACIONES'!P176))),1,0)</f>
        <v/>
      </c>
    </row>
    <row r="177">
      <c r="A177">
        <f>IF(AND('LID_LIQUIDACIONES'!A177&lt;&gt;"",NOT(ISNUMBER('LID_LIQUIDACIONES'!A177))),1,0)</f>
        <v/>
      </c>
      <c r="B177">
        <f>IF(AND('LID_LIQUIDACIONES'!B177&lt;&gt;"",LEN('LID_LIQUIDACIONES'!B177)&gt;5),1,0)</f>
        <v/>
      </c>
      <c r="C177">
        <f>IF(AND('LID_LIQUIDACIONES'!C177&lt;&gt;"",COUNTIF(CL_TIPO_VALOR,'LID_LIQUIDACIONES'!C177)=0),1,0)</f>
        <v/>
      </c>
      <c r="D177">
        <f>IF(AND('LID_LIQUIDACIONES'!D177&lt;&gt;"",COUNTIF(CL_TIPO_OBLIGACI_N,'LID_LIQUIDACIONES'!D177)=0),1,0)</f>
        <v/>
      </c>
      <c r="E177">
        <f>IF(AND('LID_LIQUIDACIONES'!E177&lt;&gt;"",IF(ISNUMBER('LID_LIQUIDACIONES'!E177),OR('LID_LIQUIDACIONES'!E177&lt;&gt;ROUND('LID_LIQUIDACIONES'!E177,0),LEN(TEXT(INT(ABS('LID_LIQUIDACIONES'!E177)),"0"))&gt;12),TRUE)),1,0)</f>
        <v/>
      </c>
      <c r="F177">
        <f>IF(AND('LID_LIQUIDACIONES'!F177&lt;&gt;"",OR(LEN('LID_LIQUIDACIONES'!F177)&gt;3,COUNTIF(CL_MONEDA,'LID_LIQUIDACIONES'!F177)=0)),1,0)</f>
        <v/>
      </c>
      <c r="G177">
        <f>IF(AND('LID_LIQUIDACIONES'!G177&lt;&gt;"",COUNTIF(CL_ID_PAGOS,'LID_LIQUIDACIONES'!G177)=0),1,0)</f>
        <v/>
      </c>
      <c r="H177">
        <f>IF(AND('LID_LIQUIDACIONES'!H177&lt;&gt;"",COUNTIF(CL_FLAG_HORARIO,'LID_LIQUIDACIONES'!H177)=0),1,0)</f>
        <v/>
      </c>
      <c r="I177">
        <f>IF(AND('LID_LIQUIDACIONES'!I177&lt;&gt;"",COUNTIF(CL_CAT_ID_PAGOS_RET,'LID_LIQUIDACIONES'!I177)=0),1,0)</f>
        <v/>
      </c>
      <c r="J177">
        <f>IF(AND('LID_LIQUIDACIONES'!J177&lt;&gt;"",NOT(ISNUMBER('LID_LIQUIDACIONES'!J177))),1,0)</f>
        <v/>
      </c>
      <c r="K177">
        <f>IF(AND('LID_LIQUIDACIONES'!K177&lt;&gt;"",LEN('LID_LIQUIDACIONES'!K177)&gt;5),1,0)</f>
        <v/>
      </c>
      <c r="L177">
        <f>IF(AND('LID_LIQUIDACIONES'!L177&lt;&gt;"",IF(ISNUMBER('LID_LIQUIDACIONES'!L177),OR('LID_LIQUIDACIONES'!L177&lt;&gt;ROUND('LID_LIQUIDACIONES'!L177,0),LEN(TEXT(INT(ABS('LID_LIQUIDACIONES'!L177)),"0"))&gt;12),TRUE)),1,0)</f>
        <v/>
      </c>
      <c r="M177">
        <f>IF(AND('LID_LIQUIDACIONES'!M177&lt;&gt;"",COUNTIF(CL_CAT_MOTIVO_RET,'LID_LIQUIDACIONES'!M177)=0),1,0)</f>
        <v/>
      </c>
      <c r="N177">
        <f>IF(AND('LID_LIQUIDACIONES'!N177&lt;&gt;"",LEN('LID_LIQUIDACIONES'!N177)&gt;50),1,0)</f>
        <v/>
      </c>
      <c r="O177">
        <f>IF(AND('LID_LIQUIDACIONES'!O177&lt;&gt;"",COUNTIF(CL_CARACT_LIQ,'LID_LIQUIDACIONES'!O177)=0),1,0)</f>
        <v/>
      </c>
      <c r="P177">
        <f>IF(AND('LID_LIQUIDACIONES'!P177&lt;&gt;"",NOT(ISNUMBER('LID_LIQUIDACIONES'!P177))),1,0)</f>
        <v/>
      </c>
    </row>
    <row r="178">
      <c r="A178">
        <f>IF(AND('LID_LIQUIDACIONES'!A178&lt;&gt;"",NOT(ISNUMBER('LID_LIQUIDACIONES'!A178))),1,0)</f>
        <v/>
      </c>
      <c r="B178">
        <f>IF(AND('LID_LIQUIDACIONES'!B178&lt;&gt;"",LEN('LID_LIQUIDACIONES'!B178)&gt;5),1,0)</f>
        <v/>
      </c>
      <c r="C178">
        <f>IF(AND('LID_LIQUIDACIONES'!C178&lt;&gt;"",COUNTIF(CL_TIPO_VALOR,'LID_LIQUIDACIONES'!C178)=0),1,0)</f>
        <v/>
      </c>
      <c r="D178">
        <f>IF(AND('LID_LIQUIDACIONES'!D178&lt;&gt;"",COUNTIF(CL_TIPO_OBLIGACI_N,'LID_LIQUIDACIONES'!D178)=0),1,0)</f>
        <v/>
      </c>
      <c r="E178">
        <f>IF(AND('LID_LIQUIDACIONES'!E178&lt;&gt;"",IF(ISNUMBER('LID_LIQUIDACIONES'!E178),OR('LID_LIQUIDACIONES'!E178&lt;&gt;ROUND('LID_LIQUIDACIONES'!E178,0),LEN(TEXT(INT(ABS('LID_LIQUIDACIONES'!E178)),"0"))&gt;12),TRUE)),1,0)</f>
        <v/>
      </c>
      <c r="F178">
        <f>IF(AND('LID_LIQUIDACIONES'!F178&lt;&gt;"",OR(LEN('LID_LIQUIDACIONES'!F178)&gt;3,COUNTIF(CL_MONEDA,'LID_LIQUIDACIONES'!F178)=0)),1,0)</f>
        <v/>
      </c>
      <c r="G178">
        <f>IF(AND('LID_LIQUIDACIONES'!G178&lt;&gt;"",COUNTIF(CL_ID_PAGOS,'LID_LIQUIDACIONES'!G178)=0),1,0)</f>
        <v/>
      </c>
      <c r="H178">
        <f>IF(AND('LID_LIQUIDACIONES'!H178&lt;&gt;"",COUNTIF(CL_FLAG_HORARIO,'LID_LIQUIDACIONES'!H178)=0),1,0)</f>
        <v/>
      </c>
      <c r="I178">
        <f>IF(AND('LID_LIQUIDACIONES'!I178&lt;&gt;"",COUNTIF(CL_CAT_ID_PAGOS_RET,'LID_LIQUIDACIONES'!I178)=0),1,0)</f>
        <v/>
      </c>
      <c r="J178">
        <f>IF(AND('LID_LIQUIDACIONES'!J178&lt;&gt;"",NOT(ISNUMBER('LID_LIQUIDACIONES'!J178))),1,0)</f>
        <v/>
      </c>
      <c r="K178">
        <f>IF(AND('LID_LIQUIDACIONES'!K178&lt;&gt;"",LEN('LID_LIQUIDACIONES'!K178)&gt;5),1,0)</f>
        <v/>
      </c>
      <c r="L178">
        <f>IF(AND('LID_LIQUIDACIONES'!L178&lt;&gt;"",IF(ISNUMBER('LID_LIQUIDACIONES'!L178),OR('LID_LIQUIDACIONES'!L178&lt;&gt;ROUND('LID_LIQUIDACIONES'!L178,0),LEN(TEXT(INT(ABS('LID_LIQUIDACIONES'!L178)),"0"))&gt;12),TRUE)),1,0)</f>
        <v/>
      </c>
      <c r="M178">
        <f>IF(AND('LID_LIQUIDACIONES'!M178&lt;&gt;"",COUNTIF(CL_CAT_MOTIVO_RET,'LID_LIQUIDACIONES'!M178)=0),1,0)</f>
        <v/>
      </c>
      <c r="N178">
        <f>IF(AND('LID_LIQUIDACIONES'!N178&lt;&gt;"",LEN('LID_LIQUIDACIONES'!N178)&gt;50),1,0)</f>
        <v/>
      </c>
      <c r="O178">
        <f>IF(AND('LID_LIQUIDACIONES'!O178&lt;&gt;"",COUNTIF(CL_CARACT_LIQ,'LID_LIQUIDACIONES'!O178)=0),1,0)</f>
        <v/>
      </c>
      <c r="P178">
        <f>IF(AND('LID_LIQUIDACIONES'!P178&lt;&gt;"",NOT(ISNUMBER('LID_LIQUIDACIONES'!P178))),1,0)</f>
        <v/>
      </c>
    </row>
    <row r="179">
      <c r="A179">
        <f>IF(AND('LID_LIQUIDACIONES'!A179&lt;&gt;"",NOT(ISNUMBER('LID_LIQUIDACIONES'!A179))),1,0)</f>
        <v/>
      </c>
      <c r="B179">
        <f>IF(AND('LID_LIQUIDACIONES'!B179&lt;&gt;"",LEN('LID_LIQUIDACIONES'!B179)&gt;5),1,0)</f>
        <v/>
      </c>
      <c r="C179">
        <f>IF(AND('LID_LIQUIDACIONES'!C179&lt;&gt;"",COUNTIF(CL_TIPO_VALOR,'LID_LIQUIDACIONES'!C179)=0),1,0)</f>
        <v/>
      </c>
      <c r="D179">
        <f>IF(AND('LID_LIQUIDACIONES'!D179&lt;&gt;"",COUNTIF(CL_TIPO_OBLIGACI_N,'LID_LIQUIDACIONES'!D179)=0),1,0)</f>
        <v/>
      </c>
      <c r="E179">
        <f>IF(AND('LID_LIQUIDACIONES'!E179&lt;&gt;"",IF(ISNUMBER('LID_LIQUIDACIONES'!E179),OR('LID_LIQUIDACIONES'!E179&lt;&gt;ROUND('LID_LIQUIDACIONES'!E179,0),LEN(TEXT(INT(ABS('LID_LIQUIDACIONES'!E179)),"0"))&gt;12),TRUE)),1,0)</f>
        <v/>
      </c>
      <c r="F179">
        <f>IF(AND('LID_LIQUIDACIONES'!F179&lt;&gt;"",OR(LEN('LID_LIQUIDACIONES'!F179)&gt;3,COUNTIF(CL_MONEDA,'LID_LIQUIDACIONES'!F179)=0)),1,0)</f>
        <v/>
      </c>
      <c r="G179">
        <f>IF(AND('LID_LIQUIDACIONES'!G179&lt;&gt;"",COUNTIF(CL_ID_PAGOS,'LID_LIQUIDACIONES'!G179)=0),1,0)</f>
        <v/>
      </c>
      <c r="H179">
        <f>IF(AND('LID_LIQUIDACIONES'!H179&lt;&gt;"",COUNTIF(CL_FLAG_HORARIO,'LID_LIQUIDACIONES'!H179)=0),1,0)</f>
        <v/>
      </c>
      <c r="I179">
        <f>IF(AND('LID_LIQUIDACIONES'!I179&lt;&gt;"",COUNTIF(CL_CAT_ID_PAGOS_RET,'LID_LIQUIDACIONES'!I179)=0),1,0)</f>
        <v/>
      </c>
      <c r="J179">
        <f>IF(AND('LID_LIQUIDACIONES'!J179&lt;&gt;"",NOT(ISNUMBER('LID_LIQUIDACIONES'!J179))),1,0)</f>
        <v/>
      </c>
      <c r="K179">
        <f>IF(AND('LID_LIQUIDACIONES'!K179&lt;&gt;"",LEN('LID_LIQUIDACIONES'!K179)&gt;5),1,0)</f>
        <v/>
      </c>
      <c r="L179">
        <f>IF(AND('LID_LIQUIDACIONES'!L179&lt;&gt;"",IF(ISNUMBER('LID_LIQUIDACIONES'!L179),OR('LID_LIQUIDACIONES'!L179&lt;&gt;ROUND('LID_LIQUIDACIONES'!L179,0),LEN(TEXT(INT(ABS('LID_LIQUIDACIONES'!L179)),"0"))&gt;12),TRUE)),1,0)</f>
        <v/>
      </c>
      <c r="M179">
        <f>IF(AND('LID_LIQUIDACIONES'!M179&lt;&gt;"",COUNTIF(CL_CAT_MOTIVO_RET,'LID_LIQUIDACIONES'!M179)=0),1,0)</f>
        <v/>
      </c>
      <c r="N179">
        <f>IF(AND('LID_LIQUIDACIONES'!N179&lt;&gt;"",LEN('LID_LIQUIDACIONES'!N179)&gt;50),1,0)</f>
        <v/>
      </c>
      <c r="O179">
        <f>IF(AND('LID_LIQUIDACIONES'!O179&lt;&gt;"",COUNTIF(CL_CARACT_LIQ,'LID_LIQUIDACIONES'!O179)=0),1,0)</f>
        <v/>
      </c>
      <c r="P179">
        <f>IF(AND('LID_LIQUIDACIONES'!P179&lt;&gt;"",NOT(ISNUMBER('LID_LIQUIDACIONES'!P179))),1,0)</f>
        <v/>
      </c>
    </row>
    <row r="180">
      <c r="A180">
        <f>IF(AND('LID_LIQUIDACIONES'!A180&lt;&gt;"",NOT(ISNUMBER('LID_LIQUIDACIONES'!A180))),1,0)</f>
        <v/>
      </c>
      <c r="B180">
        <f>IF(AND('LID_LIQUIDACIONES'!B180&lt;&gt;"",LEN('LID_LIQUIDACIONES'!B180)&gt;5),1,0)</f>
        <v/>
      </c>
      <c r="C180">
        <f>IF(AND('LID_LIQUIDACIONES'!C180&lt;&gt;"",COUNTIF(CL_TIPO_VALOR,'LID_LIQUIDACIONES'!C180)=0),1,0)</f>
        <v/>
      </c>
      <c r="D180">
        <f>IF(AND('LID_LIQUIDACIONES'!D180&lt;&gt;"",COUNTIF(CL_TIPO_OBLIGACI_N,'LID_LIQUIDACIONES'!D180)=0),1,0)</f>
        <v/>
      </c>
      <c r="E180">
        <f>IF(AND('LID_LIQUIDACIONES'!E180&lt;&gt;"",IF(ISNUMBER('LID_LIQUIDACIONES'!E180),OR('LID_LIQUIDACIONES'!E180&lt;&gt;ROUND('LID_LIQUIDACIONES'!E180,0),LEN(TEXT(INT(ABS('LID_LIQUIDACIONES'!E180)),"0"))&gt;12),TRUE)),1,0)</f>
        <v/>
      </c>
      <c r="F180">
        <f>IF(AND('LID_LIQUIDACIONES'!F180&lt;&gt;"",OR(LEN('LID_LIQUIDACIONES'!F180)&gt;3,COUNTIF(CL_MONEDA,'LID_LIQUIDACIONES'!F180)=0)),1,0)</f>
        <v/>
      </c>
      <c r="G180">
        <f>IF(AND('LID_LIQUIDACIONES'!G180&lt;&gt;"",COUNTIF(CL_ID_PAGOS,'LID_LIQUIDACIONES'!G180)=0),1,0)</f>
        <v/>
      </c>
      <c r="H180">
        <f>IF(AND('LID_LIQUIDACIONES'!H180&lt;&gt;"",COUNTIF(CL_FLAG_HORARIO,'LID_LIQUIDACIONES'!H180)=0),1,0)</f>
        <v/>
      </c>
      <c r="I180">
        <f>IF(AND('LID_LIQUIDACIONES'!I180&lt;&gt;"",COUNTIF(CL_CAT_ID_PAGOS_RET,'LID_LIQUIDACIONES'!I180)=0),1,0)</f>
        <v/>
      </c>
      <c r="J180">
        <f>IF(AND('LID_LIQUIDACIONES'!J180&lt;&gt;"",NOT(ISNUMBER('LID_LIQUIDACIONES'!J180))),1,0)</f>
        <v/>
      </c>
      <c r="K180">
        <f>IF(AND('LID_LIQUIDACIONES'!K180&lt;&gt;"",LEN('LID_LIQUIDACIONES'!K180)&gt;5),1,0)</f>
        <v/>
      </c>
      <c r="L180">
        <f>IF(AND('LID_LIQUIDACIONES'!L180&lt;&gt;"",IF(ISNUMBER('LID_LIQUIDACIONES'!L180),OR('LID_LIQUIDACIONES'!L180&lt;&gt;ROUND('LID_LIQUIDACIONES'!L180,0),LEN(TEXT(INT(ABS('LID_LIQUIDACIONES'!L180)),"0"))&gt;12),TRUE)),1,0)</f>
        <v/>
      </c>
      <c r="M180">
        <f>IF(AND('LID_LIQUIDACIONES'!M180&lt;&gt;"",COUNTIF(CL_CAT_MOTIVO_RET,'LID_LIQUIDACIONES'!M180)=0),1,0)</f>
        <v/>
      </c>
      <c r="N180">
        <f>IF(AND('LID_LIQUIDACIONES'!N180&lt;&gt;"",LEN('LID_LIQUIDACIONES'!N180)&gt;50),1,0)</f>
        <v/>
      </c>
      <c r="O180">
        <f>IF(AND('LID_LIQUIDACIONES'!O180&lt;&gt;"",COUNTIF(CL_CARACT_LIQ,'LID_LIQUIDACIONES'!O180)=0),1,0)</f>
        <v/>
      </c>
      <c r="P180">
        <f>IF(AND('LID_LIQUIDACIONES'!P180&lt;&gt;"",NOT(ISNUMBER('LID_LIQUIDACIONES'!P180))),1,0)</f>
        <v/>
      </c>
    </row>
    <row r="181">
      <c r="A181">
        <f>IF(AND('LID_LIQUIDACIONES'!A181&lt;&gt;"",NOT(ISNUMBER('LID_LIQUIDACIONES'!A181))),1,0)</f>
        <v/>
      </c>
      <c r="B181">
        <f>IF(AND('LID_LIQUIDACIONES'!B181&lt;&gt;"",LEN('LID_LIQUIDACIONES'!B181)&gt;5),1,0)</f>
        <v/>
      </c>
      <c r="C181">
        <f>IF(AND('LID_LIQUIDACIONES'!C181&lt;&gt;"",COUNTIF(CL_TIPO_VALOR,'LID_LIQUIDACIONES'!C181)=0),1,0)</f>
        <v/>
      </c>
      <c r="D181">
        <f>IF(AND('LID_LIQUIDACIONES'!D181&lt;&gt;"",COUNTIF(CL_TIPO_OBLIGACI_N,'LID_LIQUIDACIONES'!D181)=0),1,0)</f>
        <v/>
      </c>
      <c r="E181">
        <f>IF(AND('LID_LIQUIDACIONES'!E181&lt;&gt;"",IF(ISNUMBER('LID_LIQUIDACIONES'!E181),OR('LID_LIQUIDACIONES'!E181&lt;&gt;ROUND('LID_LIQUIDACIONES'!E181,0),LEN(TEXT(INT(ABS('LID_LIQUIDACIONES'!E181)),"0"))&gt;12),TRUE)),1,0)</f>
        <v/>
      </c>
      <c r="F181">
        <f>IF(AND('LID_LIQUIDACIONES'!F181&lt;&gt;"",OR(LEN('LID_LIQUIDACIONES'!F181)&gt;3,COUNTIF(CL_MONEDA,'LID_LIQUIDACIONES'!F181)=0)),1,0)</f>
        <v/>
      </c>
      <c r="G181">
        <f>IF(AND('LID_LIQUIDACIONES'!G181&lt;&gt;"",COUNTIF(CL_ID_PAGOS,'LID_LIQUIDACIONES'!G181)=0),1,0)</f>
        <v/>
      </c>
      <c r="H181">
        <f>IF(AND('LID_LIQUIDACIONES'!H181&lt;&gt;"",COUNTIF(CL_FLAG_HORARIO,'LID_LIQUIDACIONES'!H181)=0),1,0)</f>
        <v/>
      </c>
      <c r="I181">
        <f>IF(AND('LID_LIQUIDACIONES'!I181&lt;&gt;"",COUNTIF(CL_CAT_ID_PAGOS_RET,'LID_LIQUIDACIONES'!I181)=0),1,0)</f>
        <v/>
      </c>
      <c r="J181">
        <f>IF(AND('LID_LIQUIDACIONES'!J181&lt;&gt;"",NOT(ISNUMBER('LID_LIQUIDACIONES'!J181))),1,0)</f>
        <v/>
      </c>
      <c r="K181">
        <f>IF(AND('LID_LIQUIDACIONES'!K181&lt;&gt;"",LEN('LID_LIQUIDACIONES'!K181)&gt;5),1,0)</f>
        <v/>
      </c>
      <c r="L181">
        <f>IF(AND('LID_LIQUIDACIONES'!L181&lt;&gt;"",IF(ISNUMBER('LID_LIQUIDACIONES'!L181),OR('LID_LIQUIDACIONES'!L181&lt;&gt;ROUND('LID_LIQUIDACIONES'!L181,0),LEN(TEXT(INT(ABS('LID_LIQUIDACIONES'!L181)),"0"))&gt;12),TRUE)),1,0)</f>
        <v/>
      </c>
      <c r="M181">
        <f>IF(AND('LID_LIQUIDACIONES'!M181&lt;&gt;"",COUNTIF(CL_CAT_MOTIVO_RET,'LID_LIQUIDACIONES'!M181)=0),1,0)</f>
        <v/>
      </c>
      <c r="N181">
        <f>IF(AND('LID_LIQUIDACIONES'!N181&lt;&gt;"",LEN('LID_LIQUIDACIONES'!N181)&gt;50),1,0)</f>
        <v/>
      </c>
      <c r="O181">
        <f>IF(AND('LID_LIQUIDACIONES'!O181&lt;&gt;"",COUNTIF(CL_CARACT_LIQ,'LID_LIQUIDACIONES'!O181)=0),1,0)</f>
        <v/>
      </c>
      <c r="P181">
        <f>IF(AND('LID_LIQUIDACIONES'!P181&lt;&gt;"",NOT(ISNUMBER('LID_LIQUIDACIONES'!P181))),1,0)</f>
        <v/>
      </c>
    </row>
    <row r="182">
      <c r="A182">
        <f>IF(AND('LID_LIQUIDACIONES'!A182&lt;&gt;"",NOT(ISNUMBER('LID_LIQUIDACIONES'!A182))),1,0)</f>
        <v/>
      </c>
      <c r="B182">
        <f>IF(AND('LID_LIQUIDACIONES'!B182&lt;&gt;"",LEN('LID_LIQUIDACIONES'!B182)&gt;5),1,0)</f>
        <v/>
      </c>
      <c r="C182">
        <f>IF(AND('LID_LIQUIDACIONES'!C182&lt;&gt;"",COUNTIF(CL_TIPO_VALOR,'LID_LIQUIDACIONES'!C182)=0),1,0)</f>
        <v/>
      </c>
      <c r="D182">
        <f>IF(AND('LID_LIQUIDACIONES'!D182&lt;&gt;"",COUNTIF(CL_TIPO_OBLIGACI_N,'LID_LIQUIDACIONES'!D182)=0),1,0)</f>
        <v/>
      </c>
      <c r="E182">
        <f>IF(AND('LID_LIQUIDACIONES'!E182&lt;&gt;"",IF(ISNUMBER('LID_LIQUIDACIONES'!E182),OR('LID_LIQUIDACIONES'!E182&lt;&gt;ROUND('LID_LIQUIDACIONES'!E182,0),LEN(TEXT(INT(ABS('LID_LIQUIDACIONES'!E182)),"0"))&gt;12),TRUE)),1,0)</f>
        <v/>
      </c>
      <c r="F182">
        <f>IF(AND('LID_LIQUIDACIONES'!F182&lt;&gt;"",OR(LEN('LID_LIQUIDACIONES'!F182)&gt;3,COUNTIF(CL_MONEDA,'LID_LIQUIDACIONES'!F182)=0)),1,0)</f>
        <v/>
      </c>
      <c r="G182">
        <f>IF(AND('LID_LIQUIDACIONES'!G182&lt;&gt;"",COUNTIF(CL_ID_PAGOS,'LID_LIQUIDACIONES'!G182)=0),1,0)</f>
        <v/>
      </c>
      <c r="H182">
        <f>IF(AND('LID_LIQUIDACIONES'!H182&lt;&gt;"",COUNTIF(CL_FLAG_HORARIO,'LID_LIQUIDACIONES'!H182)=0),1,0)</f>
        <v/>
      </c>
      <c r="I182">
        <f>IF(AND('LID_LIQUIDACIONES'!I182&lt;&gt;"",COUNTIF(CL_CAT_ID_PAGOS_RET,'LID_LIQUIDACIONES'!I182)=0),1,0)</f>
        <v/>
      </c>
      <c r="J182">
        <f>IF(AND('LID_LIQUIDACIONES'!J182&lt;&gt;"",NOT(ISNUMBER('LID_LIQUIDACIONES'!J182))),1,0)</f>
        <v/>
      </c>
      <c r="K182">
        <f>IF(AND('LID_LIQUIDACIONES'!K182&lt;&gt;"",LEN('LID_LIQUIDACIONES'!K182)&gt;5),1,0)</f>
        <v/>
      </c>
      <c r="L182">
        <f>IF(AND('LID_LIQUIDACIONES'!L182&lt;&gt;"",IF(ISNUMBER('LID_LIQUIDACIONES'!L182),OR('LID_LIQUIDACIONES'!L182&lt;&gt;ROUND('LID_LIQUIDACIONES'!L182,0),LEN(TEXT(INT(ABS('LID_LIQUIDACIONES'!L182)),"0"))&gt;12),TRUE)),1,0)</f>
        <v/>
      </c>
      <c r="M182">
        <f>IF(AND('LID_LIQUIDACIONES'!M182&lt;&gt;"",COUNTIF(CL_CAT_MOTIVO_RET,'LID_LIQUIDACIONES'!M182)=0),1,0)</f>
        <v/>
      </c>
      <c r="N182">
        <f>IF(AND('LID_LIQUIDACIONES'!N182&lt;&gt;"",LEN('LID_LIQUIDACIONES'!N182)&gt;50),1,0)</f>
        <v/>
      </c>
      <c r="O182">
        <f>IF(AND('LID_LIQUIDACIONES'!O182&lt;&gt;"",COUNTIF(CL_CARACT_LIQ,'LID_LIQUIDACIONES'!O182)=0),1,0)</f>
        <v/>
      </c>
      <c r="P182">
        <f>IF(AND('LID_LIQUIDACIONES'!P182&lt;&gt;"",NOT(ISNUMBER('LID_LIQUIDACIONES'!P182))),1,0)</f>
        <v/>
      </c>
    </row>
    <row r="183">
      <c r="A183">
        <f>IF(AND('LID_LIQUIDACIONES'!A183&lt;&gt;"",NOT(ISNUMBER('LID_LIQUIDACIONES'!A183))),1,0)</f>
        <v/>
      </c>
      <c r="B183">
        <f>IF(AND('LID_LIQUIDACIONES'!B183&lt;&gt;"",LEN('LID_LIQUIDACIONES'!B183)&gt;5),1,0)</f>
        <v/>
      </c>
      <c r="C183">
        <f>IF(AND('LID_LIQUIDACIONES'!C183&lt;&gt;"",COUNTIF(CL_TIPO_VALOR,'LID_LIQUIDACIONES'!C183)=0),1,0)</f>
        <v/>
      </c>
      <c r="D183">
        <f>IF(AND('LID_LIQUIDACIONES'!D183&lt;&gt;"",COUNTIF(CL_TIPO_OBLIGACI_N,'LID_LIQUIDACIONES'!D183)=0),1,0)</f>
        <v/>
      </c>
      <c r="E183">
        <f>IF(AND('LID_LIQUIDACIONES'!E183&lt;&gt;"",IF(ISNUMBER('LID_LIQUIDACIONES'!E183),OR('LID_LIQUIDACIONES'!E183&lt;&gt;ROUND('LID_LIQUIDACIONES'!E183,0),LEN(TEXT(INT(ABS('LID_LIQUIDACIONES'!E183)),"0"))&gt;12),TRUE)),1,0)</f>
        <v/>
      </c>
      <c r="F183">
        <f>IF(AND('LID_LIQUIDACIONES'!F183&lt;&gt;"",OR(LEN('LID_LIQUIDACIONES'!F183)&gt;3,COUNTIF(CL_MONEDA,'LID_LIQUIDACIONES'!F183)=0)),1,0)</f>
        <v/>
      </c>
      <c r="G183">
        <f>IF(AND('LID_LIQUIDACIONES'!G183&lt;&gt;"",COUNTIF(CL_ID_PAGOS,'LID_LIQUIDACIONES'!G183)=0),1,0)</f>
        <v/>
      </c>
      <c r="H183">
        <f>IF(AND('LID_LIQUIDACIONES'!H183&lt;&gt;"",COUNTIF(CL_FLAG_HORARIO,'LID_LIQUIDACIONES'!H183)=0),1,0)</f>
        <v/>
      </c>
      <c r="I183">
        <f>IF(AND('LID_LIQUIDACIONES'!I183&lt;&gt;"",COUNTIF(CL_CAT_ID_PAGOS_RET,'LID_LIQUIDACIONES'!I183)=0),1,0)</f>
        <v/>
      </c>
      <c r="J183">
        <f>IF(AND('LID_LIQUIDACIONES'!J183&lt;&gt;"",NOT(ISNUMBER('LID_LIQUIDACIONES'!J183))),1,0)</f>
        <v/>
      </c>
      <c r="K183">
        <f>IF(AND('LID_LIQUIDACIONES'!K183&lt;&gt;"",LEN('LID_LIQUIDACIONES'!K183)&gt;5),1,0)</f>
        <v/>
      </c>
      <c r="L183">
        <f>IF(AND('LID_LIQUIDACIONES'!L183&lt;&gt;"",IF(ISNUMBER('LID_LIQUIDACIONES'!L183),OR('LID_LIQUIDACIONES'!L183&lt;&gt;ROUND('LID_LIQUIDACIONES'!L183,0),LEN(TEXT(INT(ABS('LID_LIQUIDACIONES'!L183)),"0"))&gt;12),TRUE)),1,0)</f>
        <v/>
      </c>
      <c r="M183">
        <f>IF(AND('LID_LIQUIDACIONES'!M183&lt;&gt;"",COUNTIF(CL_CAT_MOTIVO_RET,'LID_LIQUIDACIONES'!M183)=0),1,0)</f>
        <v/>
      </c>
      <c r="N183">
        <f>IF(AND('LID_LIQUIDACIONES'!N183&lt;&gt;"",LEN('LID_LIQUIDACIONES'!N183)&gt;50),1,0)</f>
        <v/>
      </c>
      <c r="O183">
        <f>IF(AND('LID_LIQUIDACIONES'!O183&lt;&gt;"",COUNTIF(CL_CARACT_LIQ,'LID_LIQUIDACIONES'!O183)=0),1,0)</f>
        <v/>
      </c>
      <c r="P183">
        <f>IF(AND('LID_LIQUIDACIONES'!P183&lt;&gt;"",NOT(ISNUMBER('LID_LIQUIDACIONES'!P183))),1,0)</f>
        <v/>
      </c>
    </row>
    <row r="184">
      <c r="A184">
        <f>IF(AND('LID_LIQUIDACIONES'!A184&lt;&gt;"",NOT(ISNUMBER('LID_LIQUIDACIONES'!A184))),1,0)</f>
        <v/>
      </c>
      <c r="B184">
        <f>IF(AND('LID_LIQUIDACIONES'!B184&lt;&gt;"",LEN('LID_LIQUIDACIONES'!B184)&gt;5),1,0)</f>
        <v/>
      </c>
      <c r="C184">
        <f>IF(AND('LID_LIQUIDACIONES'!C184&lt;&gt;"",COUNTIF(CL_TIPO_VALOR,'LID_LIQUIDACIONES'!C184)=0),1,0)</f>
        <v/>
      </c>
      <c r="D184">
        <f>IF(AND('LID_LIQUIDACIONES'!D184&lt;&gt;"",COUNTIF(CL_TIPO_OBLIGACI_N,'LID_LIQUIDACIONES'!D184)=0),1,0)</f>
        <v/>
      </c>
      <c r="E184">
        <f>IF(AND('LID_LIQUIDACIONES'!E184&lt;&gt;"",IF(ISNUMBER('LID_LIQUIDACIONES'!E184),OR('LID_LIQUIDACIONES'!E184&lt;&gt;ROUND('LID_LIQUIDACIONES'!E184,0),LEN(TEXT(INT(ABS('LID_LIQUIDACIONES'!E184)),"0"))&gt;12),TRUE)),1,0)</f>
        <v/>
      </c>
      <c r="F184">
        <f>IF(AND('LID_LIQUIDACIONES'!F184&lt;&gt;"",OR(LEN('LID_LIQUIDACIONES'!F184)&gt;3,COUNTIF(CL_MONEDA,'LID_LIQUIDACIONES'!F184)=0)),1,0)</f>
        <v/>
      </c>
      <c r="G184">
        <f>IF(AND('LID_LIQUIDACIONES'!G184&lt;&gt;"",COUNTIF(CL_ID_PAGOS,'LID_LIQUIDACIONES'!G184)=0),1,0)</f>
        <v/>
      </c>
      <c r="H184">
        <f>IF(AND('LID_LIQUIDACIONES'!H184&lt;&gt;"",COUNTIF(CL_FLAG_HORARIO,'LID_LIQUIDACIONES'!H184)=0),1,0)</f>
        <v/>
      </c>
      <c r="I184">
        <f>IF(AND('LID_LIQUIDACIONES'!I184&lt;&gt;"",COUNTIF(CL_CAT_ID_PAGOS_RET,'LID_LIQUIDACIONES'!I184)=0),1,0)</f>
        <v/>
      </c>
      <c r="J184">
        <f>IF(AND('LID_LIQUIDACIONES'!J184&lt;&gt;"",NOT(ISNUMBER('LID_LIQUIDACIONES'!J184))),1,0)</f>
        <v/>
      </c>
      <c r="K184">
        <f>IF(AND('LID_LIQUIDACIONES'!K184&lt;&gt;"",LEN('LID_LIQUIDACIONES'!K184)&gt;5),1,0)</f>
        <v/>
      </c>
      <c r="L184">
        <f>IF(AND('LID_LIQUIDACIONES'!L184&lt;&gt;"",IF(ISNUMBER('LID_LIQUIDACIONES'!L184),OR('LID_LIQUIDACIONES'!L184&lt;&gt;ROUND('LID_LIQUIDACIONES'!L184,0),LEN(TEXT(INT(ABS('LID_LIQUIDACIONES'!L184)),"0"))&gt;12),TRUE)),1,0)</f>
        <v/>
      </c>
      <c r="M184">
        <f>IF(AND('LID_LIQUIDACIONES'!M184&lt;&gt;"",COUNTIF(CL_CAT_MOTIVO_RET,'LID_LIQUIDACIONES'!M184)=0),1,0)</f>
        <v/>
      </c>
      <c r="N184">
        <f>IF(AND('LID_LIQUIDACIONES'!N184&lt;&gt;"",LEN('LID_LIQUIDACIONES'!N184)&gt;50),1,0)</f>
        <v/>
      </c>
      <c r="O184">
        <f>IF(AND('LID_LIQUIDACIONES'!O184&lt;&gt;"",COUNTIF(CL_CARACT_LIQ,'LID_LIQUIDACIONES'!O184)=0),1,0)</f>
        <v/>
      </c>
      <c r="P184">
        <f>IF(AND('LID_LIQUIDACIONES'!P184&lt;&gt;"",NOT(ISNUMBER('LID_LIQUIDACIONES'!P184))),1,0)</f>
        <v/>
      </c>
    </row>
    <row r="185">
      <c r="A185">
        <f>IF(AND('LID_LIQUIDACIONES'!A185&lt;&gt;"",NOT(ISNUMBER('LID_LIQUIDACIONES'!A185))),1,0)</f>
        <v/>
      </c>
      <c r="B185">
        <f>IF(AND('LID_LIQUIDACIONES'!B185&lt;&gt;"",LEN('LID_LIQUIDACIONES'!B185)&gt;5),1,0)</f>
        <v/>
      </c>
      <c r="C185">
        <f>IF(AND('LID_LIQUIDACIONES'!C185&lt;&gt;"",COUNTIF(CL_TIPO_VALOR,'LID_LIQUIDACIONES'!C185)=0),1,0)</f>
        <v/>
      </c>
      <c r="D185">
        <f>IF(AND('LID_LIQUIDACIONES'!D185&lt;&gt;"",COUNTIF(CL_TIPO_OBLIGACI_N,'LID_LIQUIDACIONES'!D185)=0),1,0)</f>
        <v/>
      </c>
      <c r="E185">
        <f>IF(AND('LID_LIQUIDACIONES'!E185&lt;&gt;"",IF(ISNUMBER('LID_LIQUIDACIONES'!E185),OR('LID_LIQUIDACIONES'!E185&lt;&gt;ROUND('LID_LIQUIDACIONES'!E185,0),LEN(TEXT(INT(ABS('LID_LIQUIDACIONES'!E185)),"0"))&gt;12),TRUE)),1,0)</f>
        <v/>
      </c>
      <c r="F185">
        <f>IF(AND('LID_LIQUIDACIONES'!F185&lt;&gt;"",OR(LEN('LID_LIQUIDACIONES'!F185)&gt;3,COUNTIF(CL_MONEDA,'LID_LIQUIDACIONES'!F185)=0)),1,0)</f>
        <v/>
      </c>
      <c r="G185">
        <f>IF(AND('LID_LIQUIDACIONES'!G185&lt;&gt;"",COUNTIF(CL_ID_PAGOS,'LID_LIQUIDACIONES'!G185)=0),1,0)</f>
        <v/>
      </c>
      <c r="H185">
        <f>IF(AND('LID_LIQUIDACIONES'!H185&lt;&gt;"",COUNTIF(CL_FLAG_HORARIO,'LID_LIQUIDACIONES'!H185)=0),1,0)</f>
        <v/>
      </c>
      <c r="I185">
        <f>IF(AND('LID_LIQUIDACIONES'!I185&lt;&gt;"",COUNTIF(CL_CAT_ID_PAGOS_RET,'LID_LIQUIDACIONES'!I185)=0),1,0)</f>
        <v/>
      </c>
      <c r="J185">
        <f>IF(AND('LID_LIQUIDACIONES'!J185&lt;&gt;"",NOT(ISNUMBER('LID_LIQUIDACIONES'!J185))),1,0)</f>
        <v/>
      </c>
      <c r="K185">
        <f>IF(AND('LID_LIQUIDACIONES'!K185&lt;&gt;"",LEN('LID_LIQUIDACIONES'!K185)&gt;5),1,0)</f>
        <v/>
      </c>
      <c r="L185">
        <f>IF(AND('LID_LIQUIDACIONES'!L185&lt;&gt;"",IF(ISNUMBER('LID_LIQUIDACIONES'!L185),OR('LID_LIQUIDACIONES'!L185&lt;&gt;ROUND('LID_LIQUIDACIONES'!L185,0),LEN(TEXT(INT(ABS('LID_LIQUIDACIONES'!L185)),"0"))&gt;12),TRUE)),1,0)</f>
        <v/>
      </c>
      <c r="M185">
        <f>IF(AND('LID_LIQUIDACIONES'!M185&lt;&gt;"",COUNTIF(CL_CAT_MOTIVO_RET,'LID_LIQUIDACIONES'!M185)=0),1,0)</f>
        <v/>
      </c>
      <c r="N185">
        <f>IF(AND('LID_LIQUIDACIONES'!N185&lt;&gt;"",LEN('LID_LIQUIDACIONES'!N185)&gt;50),1,0)</f>
        <v/>
      </c>
      <c r="O185">
        <f>IF(AND('LID_LIQUIDACIONES'!O185&lt;&gt;"",COUNTIF(CL_CARACT_LIQ,'LID_LIQUIDACIONES'!O185)=0),1,0)</f>
        <v/>
      </c>
      <c r="P185">
        <f>IF(AND('LID_LIQUIDACIONES'!P185&lt;&gt;"",NOT(ISNUMBER('LID_LIQUIDACIONES'!P185))),1,0)</f>
        <v/>
      </c>
    </row>
    <row r="186">
      <c r="A186">
        <f>IF(AND('LID_LIQUIDACIONES'!A186&lt;&gt;"",NOT(ISNUMBER('LID_LIQUIDACIONES'!A186))),1,0)</f>
        <v/>
      </c>
      <c r="B186">
        <f>IF(AND('LID_LIQUIDACIONES'!B186&lt;&gt;"",LEN('LID_LIQUIDACIONES'!B186)&gt;5),1,0)</f>
        <v/>
      </c>
      <c r="C186">
        <f>IF(AND('LID_LIQUIDACIONES'!C186&lt;&gt;"",COUNTIF(CL_TIPO_VALOR,'LID_LIQUIDACIONES'!C186)=0),1,0)</f>
        <v/>
      </c>
      <c r="D186">
        <f>IF(AND('LID_LIQUIDACIONES'!D186&lt;&gt;"",COUNTIF(CL_TIPO_OBLIGACI_N,'LID_LIQUIDACIONES'!D186)=0),1,0)</f>
        <v/>
      </c>
      <c r="E186">
        <f>IF(AND('LID_LIQUIDACIONES'!E186&lt;&gt;"",IF(ISNUMBER('LID_LIQUIDACIONES'!E186),OR('LID_LIQUIDACIONES'!E186&lt;&gt;ROUND('LID_LIQUIDACIONES'!E186,0),LEN(TEXT(INT(ABS('LID_LIQUIDACIONES'!E186)),"0"))&gt;12),TRUE)),1,0)</f>
        <v/>
      </c>
      <c r="F186">
        <f>IF(AND('LID_LIQUIDACIONES'!F186&lt;&gt;"",OR(LEN('LID_LIQUIDACIONES'!F186)&gt;3,COUNTIF(CL_MONEDA,'LID_LIQUIDACIONES'!F186)=0)),1,0)</f>
        <v/>
      </c>
      <c r="G186">
        <f>IF(AND('LID_LIQUIDACIONES'!G186&lt;&gt;"",COUNTIF(CL_ID_PAGOS,'LID_LIQUIDACIONES'!G186)=0),1,0)</f>
        <v/>
      </c>
      <c r="H186">
        <f>IF(AND('LID_LIQUIDACIONES'!H186&lt;&gt;"",COUNTIF(CL_FLAG_HORARIO,'LID_LIQUIDACIONES'!H186)=0),1,0)</f>
        <v/>
      </c>
      <c r="I186">
        <f>IF(AND('LID_LIQUIDACIONES'!I186&lt;&gt;"",COUNTIF(CL_CAT_ID_PAGOS_RET,'LID_LIQUIDACIONES'!I186)=0),1,0)</f>
        <v/>
      </c>
      <c r="J186">
        <f>IF(AND('LID_LIQUIDACIONES'!J186&lt;&gt;"",NOT(ISNUMBER('LID_LIQUIDACIONES'!J186))),1,0)</f>
        <v/>
      </c>
      <c r="K186">
        <f>IF(AND('LID_LIQUIDACIONES'!K186&lt;&gt;"",LEN('LID_LIQUIDACIONES'!K186)&gt;5),1,0)</f>
        <v/>
      </c>
      <c r="L186">
        <f>IF(AND('LID_LIQUIDACIONES'!L186&lt;&gt;"",IF(ISNUMBER('LID_LIQUIDACIONES'!L186),OR('LID_LIQUIDACIONES'!L186&lt;&gt;ROUND('LID_LIQUIDACIONES'!L186,0),LEN(TEXT(INT(ABS('LID_LIQUIDACIONES'!L186)),"0"))&gt;12),TRUE)),1,0)</f>
        <v/>
      </c>
      <c r="M186">
        <f>IF(AND('LID_LIQUIDACIONES'!M186&lt;&gt;"",COUNTIF(CL_CAT_MOTIVO_RET,'LID_LIQUIDACIONES'!M186)=0),1,0)</f>
        <v/>
      </c>
      <c r="N186">
        <f>IF(AND('LID_LIQUIDACIONES'!N186&lt;&gt;"",LEN('LID_LIQUIDACIONES'!N186)&gt;50),1,0)</f>
        <v/>
      </c>
      <c r="O186">
        <f>IF(AND('LID_LIQUIDACIONES'!O186&lt;&gt;"",COUNTIF(CL_CARACT_LIQ,'LID_LIQUIDACIONES'!O186)=0),1,0)</f>
        <v/>
      </c>
      <c r="P186">
        <f>IF(AND('LID_LIQUIDACIONES'!P186&lt;&gt;"",NOT(ISNUMBER('LID_LIQUIDACIONES'!P186))),1,0)</f>
        <v/>
      </c>
    </row>
    <row r="187">
      <c r="A187">
        <f>IF(AND('LID_LIQUIDACIONES'!A187&lt;&gt;"",NOT(ISNUMBER('LID_LIQUIDACIONES'!A187))),1,0)</f>
        <v/>
      </c>
      <c r="B187">
        <f>IF(AND('LID_LIQUIDACIONES'!B187&lt;&gt;"",LEN('LID_LIQUIDACIONES'!B187)&gt;5),1,0)</f>
        <v/>
      </c>
      <c r="C187">
        <f>IF(AND('LID_LIQUIDACIONES'!C187&lt;&gt;"",COUNTIF(CL_TIPO_VALOR,'LID_LIQUIDACIONES'!C187)=0),1,0)</f>
        <v/>
      </c>
      <c r="D187">
        <f>IF(AND('LID_LIQUIDACIONES'!D187&lt;&gt;"",COUNTIF(CL_TIPO_OBLIGACI_N,'LID_LIQUIDACIONES'!D187)=0),1,0)</f>
        <v/>
      </c>
      <c r="E187">
        <f>IF(AND('LID_LIQUIDACIONES'!E187&lt;&gt;"",IF(ISNUMBER('LID_LIQUIDACIONES'!E187),OR('LID_LIQUIDACIONES'!E187&lt;&gt;ROUND('LID_LIQUIDACIONES'!E187,0),LEN(TEXT(INT(ABS('LID_LIQUIDACIONES'!E187)),"0"))&gt;12),TRUE)),1,0)</f>
        <v/>
      </c>
      <c r="F187">
        <f>IF(AND('LID_LIQUIDACIONES'!F187&lt;&gt;"",OR(LEN('LID_LIQUIDACIONES'!F187)&gt;3,COUNTIF(CL_MONEDA,'LID_LIQUIDACIONES'!F187)=0)),1,0)</f>
        <v/>
      </c>
      <c r="G187">
        <f>IF(AND('LID_LIQUIDACIONES'!G187&lt;&gt;"",COUNTIF(CL_ID_PAGOS,'LID_LIQUIDACIONES'!G187)=0),1,0)</f>
        <v/>
      </c>
      <c r="H187">
        <f>IF(AND('LID_LIQUIDACIONES'!H187&lt;&gt;"",COUNTIF(CL_FLAG_HORARIO,'LID_LIQUIDACIONES'!H187)=0),1,0)</f>
        <v/>
      </c>
      <c r="I187">
        <f>IF(AND('LID_LIQUIDACIONES'!I187&lt;&gt;"",COUNTIF(CL_CAT_ID_PAGOS_RET,'LID_LIQUIDACIONES'!I187)=0),1,0)</f>
        <v/>
      </c>
      <c r="J187">
        <f>IF(AND('LID_LIQUIDACIONES'!J187&lt;&gt;"",NOT(ISNUMBER('LID_LIQUIDACIONES'!J187))),1,0)</f>
        <v/>
      </c>
      <c r="K187">
        <f>IF(AND('LID_LIQUIDACIONES'!K187&lt;&gt;"",LEN('LID_LIQUIDACIONES'!K187)&gt;5),1,0)</f>
        <v/>
      </c>
      <c r="L187">
        <f>IF(AND('LID_LIQUIDACIONES'!L187&lt;&gt;"",IF(ISNUMBER('LID_LIQUIDACIONES'!L187),OR('LID_LIQUIDACIONES'!L187&lt;&gt;ROUND('LID_LIQUIDACIONES'!L187,0),LEN(TEXT(INT(ABS('LID_LIQUIDACIONES'!L187)),"0"))&gt;12),TRUE)),1,0)</f>
        <v/>
      </c>
      <c r="M187">
        <f>IF(AND('LID_LIQUIDACIONES'!M187&lt;&gt;"",COUNTIF(CL_CAT_MOTIVO_RET,'LID_LIQUIDACIONES'!M187)=0),1,0)</f>
        <v/>
      </c>
      <c r="N187">
        <f>IF(AND('LID_LIQUIDACIONES'!N187&lt;&gt;"",LEN('LID_LIQUIDACIONES'!N187)&gt;50),1,0)</f>
        <v/>
      </c>
      <c r="O187">
        <f>IF(AND('LID_LIQUIDACIONES'!O187&lt;&gt;"",COUNTIF(CL_CARACT_LIQ,'LID_LIQUIDACIONES'!O187)=0),1,0)</f>
        <v/>
      </c>
      <c r="P187">
        <f>IF(AND('LID_LIQUIDACIONES'!P187&lt;&gt;"",NOT(ISNUMBER('LID_LIQUIDACIONES'!P187))),1,0)</f>
        <v/>
      </c>
    </row>
    <row r="188">
      <c r="A188">
        <f>IF(AND('LID_LIQUIDACIONES'!A188&lt;&gt;"",NOT(ISNUMBER('LID_LIQUIDACIONES'!A188))),1,0)</f>
        <v/>
      </c>
      <c r="B188">
        <f>IF(AND('LID_LIQUIDACIONES'!B188&lt;&gt;"",LEN('LID_LIQUIDACIONES'!B188)&gt;5),1,0)</f>
        <v/>
      </c>
      <c r="C188">
        <f>IF(AND('LID_LIQUIDACIONES'!C188&lt;&gt;"",COUNTIF(CL_TIPO_VALOR,'LID_LIQUIDACIONES'!C188)=0),1,0)</f>
        <v/>
      </c>
      <c r="D188">
        <f>IF(AND('LID_LIQUIDACIONES'!D188&lt;&gt;"",COUNTIF(CL_TIPO_OBLIGACI_N,'LID_LIQUIDACIONES'!D188)=0),1,0)</f>
        <v/>
      </c>
      <c r="E188">
        <f>IF(AND('LID_LIQUIDACIONES'!E188&lt;&gt;"",IF(ISNUMBER('LID_LIQUIDACIONES'!E188),OR('LID_LIQUIDACIONES'!E188&lt;&gt;ROUND('LID_LIQUIDACIONES'!E188,0),LEN(TEXT(INT(ABS('LID_LIQUIDACIONES'!E188)),"0"))&gt;12),TRUE)),1,0)</f>
        <v/>
      </c>
      <c r="F188">
        <f>IF(AND('LID_LIQUIDACIONES'!F188&lt;&gt;"",OR(LEN('LID_LIQUIDACIONES'!F188)&gt;3,COUNTIF(CL_MONEDA,'LID_LIQUIDACIONES'!F188)=0)),1,0)</f>
        <v/>
      </c>
      <c r="G188">
        <f>IF(AND('LID_LIQUIDACIONES'!G188&lt;&gt;"",COUNTIF(CL_ID_PAGOS,'LID_LIQUIDACIONES'!G188)=0),1,0)</f>
        <v/>
      </c>
      <c r="H188">
        <f>IF(AND('LID_LIQUIDACIONES'!H188&lt;&gt;"",COUNTIF(CL_FLAG_HORARIO,'LID_LIQUIDACIONES'!H188)=0),1,0)</f>
        <v/>
      </c>
      <c r="I188">
        <f>IF(AND('LID_LIQUIDACIONES'!I188&lt;&gt;"",COUNTIF(CL_CAT_ID_PAGOS_RET,'LID_LIQUIDACIONES'!I188)=0),1,0)</f>
        <v/>
      </c>
      <c r="J188">
        <f>IF(AND('LID_LIQUIDACIONES'!J188&lt;&gt;"",NOT(ISNUMBER('LID_LIQUIDACIONES'!J188))),1,0)</f>
        <v/>
      </c>
      <c r="K188">
        <f>IF(AND('LID_LIQUIDACIONES'!K188&lt;&gt;"",LEN('LID_LIQUIDACIONES'!K188)&gt;5),1,0)</f>
        <v/>
      </c>
      <c r="L188">
        <f>IF(AND('LID_LIQUIDACIONES'!L188&lt;&gt;"",IF(ISNUMBER('LID_LIQUIDACIONES'!L188),OR('LID_LIQUIDACIONES'!L188&lt;&gt;ROUND('LID_LIQUIDACIONES'!L188,0),LEN(TEXT(INT(ABS('LID_LIQUIDACIONES'!L188)),"0"))&gt;12),TRUE)),1,0)</f>
        <v/>
      </c>
      <c r="M188">
        <f>IF(AND('LID_LIQUIDACIONES'!M188&lt;&gt;"",COUNTIF(CL_CAT_MOTIVO_RET,'LID_LIQUIDACIONES'!M188)=0),1,0)</f>
        <v/>
      </c>
      <c r="N188">
        <f>IF(AND('LID_LIQUIDACIONES'!N188&lt;&gt;"",LEN('LID_LIQUIDACIONES'!N188)&gt;50),1,0)</f>
        <v/>
      </c>
      <c r="O188">
        <f>IF(AND('LID_LIQUIDACIONES'!O188&lt;&gt;"",COUNTIF(CL_CARACT_LIQ,'LID_LIQUIDACIONES'!O188)=0),1,0)</f>
        <v/>
      </c>
      <c r="P188">
        <f>IF(AND('LID_LIQUIDACIONES'!P188&lt;&gt;"",NOT(ISNUMBER('LID_LIQUIDACIONES'!P188))),1,0)</f>
        <v/>
      </c>
    </row>
    <row r="189">
      <c r="A189">
        <f>IF(AND('LID_LIQUIDACIONES'!A189&lt;&gt;"",NOT(ISNUMBER('LID_LIQUIDACIONES'!A189))),1,0)</f>
        <v/>
      </c>
      <c r="B189">
        <f>IF(AND('LID_LIQUIDACIONES'!B189&lt;&gt;"",LEN('LID_LIQUIDACIONES'!B189)&gt;5),1,0)</f>
        <v/>
      </c>
      <c r="C189">
        <f>IF(AND('LID_LIQUIDACIONES'!C189&lt;&gt;"",COUNTIF(CL_TIPO_VALOR,'LID_LIQUIDACIONES'!C189)=0),1,0)</f>
        <v/>
      </c>
      <c r="D189">
        <f>IF(AND('LID_LIQUIDACIONES'!D189&lt;&gt;"",COUNTIF(CL_TIPO_OBLIGACI_N,'LID_LIQUIDACIONES'!D189)=0),1,0)</f>
        <v/>
      </c>
      <c r="E189">
        <f>IF(AND('LID_LIQUIDACIONES'!E189&lt;&gt;"",IF(ISNUMBER('LID_LIQUIDACIONES'!E189),OR('LID_LIQUIDACIONES'!E189&lt;&gt;ROUND('LID_LIQUIDACIONES'!E189,0),LEN(TEXT(INT(ABS('LID_LIQUIDACIONES'!E189)),"0"))&gt;12),TRUE)),1,0)</f>
        <v/>
      </c>
      <c r="F189">
        <f>IF(AND('LID_LIQUIDACIONES'!F189&lt;&gt;"",OR(LEN('LID_LIQUIDACIONES'!F189)&gt;3,COUNTIF(CL_MONEDA,'LID_LIQUIDACIONES'!F189)=0)),1,0)</f>
        <v/>
      </c>
      <c r="G189">
        <f>IF(AND('LID_LIQUIDACIONES'!G189&lt;&gt;"",COUNTIF(CL_ID_PAGOS,'LID_LIQUIDACIONES'!G189)=0),1,0)</f>
        <v/>
      </c>
      <c r="H189">
        <f>IF(AND('LID_LIQUIDACIONES'!H189&lt;&gt;"",COUNTIF(CL_FLAG_HORARIO,'LID_LIQUIDACIONES'!H189)=0),1,0)</f>
        <v/>
      </c>
      <c r="I189">
        <f>IF(AND('LID_LIQUIDACIONES'!I189&lt;&gt;"",COUNTIF(CL_CAT_ID_PAGOS_RET,'LID_LIQUIDACIONES'!I189)=0),1,0)</f>
        <v/>
      </c>
      <c r="J189">
        <f>IF(AND('LID_LIQUIDACIONES'!J189&lt;&gt;"",NOT(ISNUMBER('LID_LIQUIDACIONES'!J189))),1,0)</f>
        <v/>
      </c>
      <c r="K189">
        <f>IF(AND('LID_LIQUIDACIONES'!K189&lt;&gt;"",LEN('LID_LIQUIDACIONES'!K189)&gt;5),1,0)</f>
        <v/>
      </c>
      <c r="L189">
        <f>IF(AND('LID_LIQUIDACIONES'!L189&lt;&gt;"",IF(ISNUMBER('LID_LIQUIDACIONES'!L189),OR('LID_LIQUIDACIONES'!L189&lt;&gt;ROUND('LID_LIQUIDACIONES'!L189,0),LEN(TEXT(INT(ABS('LID_LIQUIDACIONES'!L189)),"0"))&gt;12),TRUE)),1,0)</f>
        <v/>
      </c>
      <c r="M189">
        <f>IF(AND('LID_LIQUIDACIONES'!M189&lt;&gt;"",COUNTIF(CL_CAT_MOTIVO_RET,'LID_LIQUIDACIONES'!M189)=0),1,0)</f>
        <v/>
      </c>
      <c r="N189">
        <f>IF(AND('LID_LIQUIDACIONES'!N189&lt;&gt;"",LEN('LID_LIQUIDACIONES'!N189)&gt;50),1,0)</f>
        <v/>
      </c>
      <c r="O189">
        <f>IF(AND('LID_LIQUIDACIONES'!O189&lt;&gt;"",COUNTIF(CL_CARACT_LIQ,'LID_LIQUIDACIONES'!O189)=0),1,0)</f>
        <v/>
      </c>
      <c r="P189">
        <f>IF(AND('LID_LIQUIDACIONES'!P189&lt;&gt;"",NOT(ISNUMBER('LID_LIQUIDACIONES'!P189))),1,0)</f>
        <v/>
      </c>
    </row>
    <row r="190">
      <c r="A190">
        <f>IF(AND('LID_LIQUIDACIONES'!A190&lt;&gt;"",NOT(ISNUMBER('LID_LIQUIDACIONES'!A190))),1,0)</f>
        <v/>
      </c>
      <c r="B190">
        <f>IF(AND('LID_LIQUIDACIONES'!B190&lt;&gt;"",LEN('LID_LIQUIDACIONES'!B190)&gt;5),1,0)</f>
        <v/>
      </c>
      <c r="C190">
        <f>IF(AND('LID_LIQUIDACIONES'!C190&lt;&gt;"",COUNTIF(CL_TIPO_VALOR,'LID_LIQUIDACIONES'!C190)=0),1,0)</f>
        <v/>
      </c>
      <c r="D190">
        <f>IF(AND('LID_LIQUIDACIONES'!D190&lt;&gt;"",COUNTIF(CL_TIPO_OBLIGACI_N,'LID_LIQUIDACIONES'!D190)=0),1,0)</f>
        <v/>
      </c>
      <c r="E190">
        <f>IF(AND('LID_LIQUIDACIONES'!E190&lt;&gt;"",IF(ISNUMBER('LID_LIQUIDACIONES'!E190),OR('LID_LIQUIDACIONES'!E190&lt;&gt;ROUND('LID_LIQUIDACIONES'!E190,0),LEN(TEXT(INT(ABS('LID_LIQUIDACIONES'!E190)),"0"))&gt;12),TRUE)),1,0)</f>
        <v/>
      </c>
      <c r="F190">
        <f>IF(AND('LID_LIQUIDACIONES'!F190&lt;&gt;"",OR(LEN('LID_LIQUIDACIONES'!F190)&gt;3,COUNTIF(CL_MONEDA,'LID_LIQUIDACIONES'!F190)=0)),1,0)</f>
        <v/>
      </c>
      <c r="G190">
        <f>IF(AND('LID_LIQUIDACIONES'!G190&lt;&gt;"",COUNTIF(CL_ID_PAGOS,'LID_LIQUIDACIONES'!G190)=0),1,0)</f>
        <v/>
      </c>
      <c r="H190">
        <f>IF(AND('LID_LIQUIDACIONES'!H190&lt;&gt;"",COUNTIF(CL_FLAG_HORARIO,'LID_LIQUIDACIONES'!H190)=0),1,0)</f>
        <v/>
      </c>
      <c r="I190">
        <f>IF(AND('LID_LIQUIDACIONES'!I190&lt;&gt;"",COUNTIF(CL_CAT_ID_PAGOS_RET,'LID_LIQUIDACIONES'!I190)=0),1,0)</f>
        <v/>
      </c>
      <c r="J190">
        <f>IF(AND('LID_LIQUIDACIONES'!J190&lt;&gt;"",NOT(ISNUMBER('LID_LIQUIDACIONES'!J190))),1,0)</f>
        <v/>
      </c>
      <c r="K190">
        <f>IF(AND('LID_LIQUIDACIONES'!K190&lt;&gt;"",LEN('LID_LIQUIDACIONES'!K190)&gt;5),1,0)</f>
        <v/>
      </c>
      <c r="L190">
        <f>IF(AND('LID_LIQUIDACIONES'!L190&lt;&gt;"",IF(ISNUMBER('LID_LIQUIDACIONES'!L190),OR('LID_LIQUIDACIONES'!L190&lt;&gt;ROUND('LID_LIQUIDACIONES'!L190,0),LEN(TEXT(INT(ABS('LID_LIQUIDACIONES'!L190)),"0"))&gt;12),TRUE)),1,0)</f>
        <v/>
      </c>
      <c r="M190">
        <f>IF(AND('LID_LIQUIDACIONES'!M190&lt;&gt;"",COUNTIF(CL_CAT_MOTIVO_RET,'LID_LIQUIDACIONES'!M190)=0),1,0)</f>
        <v/>
      </c>
      <c r="N190">
        <f>IF(AND('LID_LIQUIDACIONES'!N190&lt;&gt;"",LEN('LID_LIQUIDACIONES'!N190)&gt;50),1,0)</f>
        <v/>
      </c>
      <c r="O190">
        <f>IF(AND('LID_LIQUIDACIONES'!O190&lt;&gt;"",COUNTIF(CL_CARACT_LIQ,'LID_LIQUIDACIONES'!O190)=0),1,0)</f>
        <v/>
      </c>
      <c r="P190">
        <f>IF(AND('LID_LIQUIDACIONES'!P190&lt;&gt;"",NOT(ISNUMBER('LID_LIQUIDACIONES'!P190))),1,0)</f>
        <v/>
      </c>
    </row>
    <row r="191">
      <c r="A191">
        <f>IF(AND('LID_LIQUIDACIONES'!A191&lt;&gt;"",NOT(ISNUMBER('LID_LIQUIDACIONES'!A191))),1,0)</f>
        <v/>
      </c>
      <c r="B191">
        <f>IF(AND('LID_LIQUIDACIONES'!B191&lt;&gt;"",LEN('LID_LIQUIDACIONES'!B191)&gt;5),1,0)</f>
        <v/>
      </c>
      <c r="C191">
        <f>IF(AND('LID_LIQUIDACIONES'!C191&lt;&gt;"",COUNTIF(CL_TIPO_VALOR,'LID_LIQUIDACIONES'!C191)=0),1,0)</f>
        <v/>
      </c>
      <c r="D191">
        <f>IF(AND('LID_LIQUIDACIONES'!D191&lt;&gt;"",COUNTIF(CL_TIPO_OBLIGACI_N,'LID_LIQUIDACIONES'!D191)=0),1,0)</f>
        <v/>
      </c>
      <c r="E191">
        <f>IF(AND('LID_LIQUIDACIONES'!E191&lt;&gt;"",IF(ISNUMBER('LID_LIQUIDACIONES'!E191),OR('LID_LIQUIDACIONES'!E191&lt;&gt;ROUND('LID_LIQUIDACIONES'!E191,0),LEN(TEXT(INT(ABS('LID_LIQUIDACIONES'!E191)),"0"))&gt;12),TRUE)),1,0)</f>
        <v/>
      </c>
      <c r="F191">
        <f>IF(AND('LID_LIQUIDACIONES'!F191&lt;&gt;"",OR(LEN('LID_LIQUIDACIONES'!F191)&gt;3,COUNTIF(CL_MONEDA,'LID_LIQUIDACIONES'!F191)=0)),1,0)</f>
        <v/>
      </c>
      <c r="G191">
        <f>IF(AND('LID_LIQUIDACIONES'!G191&lt;&gt;"",COUNTIF(CL_ID_PAGOS,'LID_LIQUIDACIONES'!G191)=0),1,0)</f>
        <v/>
      </c>
      <c r="H191">
        <f>IF(AND('LID_LIQUIDACIONES'!H191&lt;&gt;"",COUNTIF(CL_FLAG_HORARIO,'LID_LIQUIDACIONES'!H191)=0),1,0)</f>
        <v/>
      </c>
      <c r="I191">
        <f>IF(AND('LID_LIQUIDACIONES'!I191&lt;&gt;"",COUNTIF(CL_CAT_ID_PAGOS_RET,'LID_LIQUIDACIONES'!I191)=0),1,0)</f>
        <v/>
      </c>
      <c r="J191">
        <f>IF(AND('LID_LIQUIDACIONES'!J191&lt;&gt;"",NOT(ISNUMBER('LID_LIQUIDACIONES'!J191))),1,0)</f>
        <v/>
      </c>
      <c r="K191">
        <f>IF(AND('LID_LIQUIDACIONES'!K191&lt;&gt;"",LEN('LID_LIQUIDACIONES'!K191)&gt;5),1,0)</f>
        <v/>
      </c>
      <c r="L191">
        <f>IF(AND('LID_LIQUIDACIONES'!L191&lt;&gt;"",IF(ISNUMBER('LID_LIQUIDACIONES'!L191),OR('LID_LIQUIDACIONES'!L191&lt;&gt;ROUND('LID_LIQUIDACIONES'!L191,0),LEN(TEXT(INT(ABS('LID_LIQUIDACIONES'!L191)),"0"))&gt;12),TRUE)),1,0)</f>
        <v/>
      </c>
      <c r="M191">
        <f>IF(AND('LID_LIQUIDACIONES'!M191&lt;&gt;"",COUNTIF(CL_CAT_MOTIVO_RET,'LID_LIQUIDACIONES'!M191)=0),1,0)</f>
        <v/>
      </c>
      <c r="N191">
        <f>IF(AND('LID_LIQUIDACIONES'!N191&lt;&gt;"",LEN('LID_LIQUIDACIONES'!N191)&gt;50),1,0)</f>
        <v/>
      </c>
      <c r="O191">
        <f>IF(AND('LID_LIQUIDACIONES'!O191&lt;&gt;"",COUNTIF(CL_CARACT_LIQ,'LID_LIQUIDACIONES'!O191)=0),1,0)</f>
        <v/>
      </c>
      <c r="P191">
        <f>IF(AND('LID_LIQUIDACIONES'!P191&lt;&gt;"",NOT(ISNUMBER('LID_LIQUIDACIONES'!P191))),1,0)</f>
        <v/>
      </c>
    </row>
    <row r="192">
      <c r="A192">
        <f>IF(AND('LID_LIQUIDACIONES'!A192&lt;&gt;"",NOT(ISNUMBER('LID_LIQUIDACIONES'!A192))),1,0)</f>
        <v/>
      </c>
      <c r="B192">
        <f>IF(AND('LID_LIQUIDACIONES'!B192&lt;&gt;"",LEN('LID_LIQUIDACIONES'!B192)&gt;5),1,0)</f>
        <v/>
      </c>
      <c r="C192">
        <f>IF(AND('LID_LIQUIDACIONES'!C192&lt;&gt;"",COUNTIF(CL_TIPO_VALOR,'LID_LIQUIDACIONES'!C192)=0),1,0)</f>
        <v/>
      </c>
      <c r="D192">
        <f>IF(AND('LID_LIQUIDACIONES'!D192&lt;&gt;"",COUNTIF(CL_TIPO_OBLIGACI_N,'LID_LIQUIDACIONES'!D192)=0),1,0)</f>
        <v/>
      </c>
      <c r="E192">
        <f>IF(AND('LID_LIQUIDACIONES'!E192&lt;&gt;"",IF(ISNUMBER('LID_LIQUIDACIONES'!E192),OR('LID_LIQUIDACIONES'!E192&lt;&gt;ROUND('LID_LIQUIDACIONES'!E192,0),LEN(TEXT(INT(ABS('LID_LIQUIDACIONES'!E192)),"0"))&gt;12),TRUE)),1,0)</f>
        <v/>
      </c>
      <c r="F192">
        <f>IF(AND('LID_LIQUIDACIONES'!F192&lt;&gt;"",OR(LEN('LID_LIQUIDACIONES'!F192)&gt;3,COUNTIF(CL_MONEDA,'LID_LIQUIDACIONES'!F192)=0)),1,0)</f>
        <v/>
      </c>
      <c r="G192">
        <f>IF(AND('LID_LIQUIDACIONES'!G192&lt;&gt;"",COUNTIF(CL_ID_PAGOS,'LID_LIQUIDACIONES'!G192)=0),1,0)</f>
        <v/>
      </c>
      <c r="H192">
        <f>IF(AND('LID_LIQUIDACIONES'!H192&lt;&gt;"",COUNTIF(CL_FLAG_HORARIO,'LID_LIQUIDACIONES'!H192)=0),1,0)</f>
        <v/>
      </c>
      <c r="I192">
        <f>IF(AND('LID_LIQUIDACIONES'!I192&lt;&gt;"",COUNTIF(CL_CAT_ID_PAGOS_RET,'LID_LIQUIDACIONES'!I192)=0),1,0)</f>
        <v/>
      </c>
      <c r="J192">
        <f>IF(AND('LID_LIQUIDACIONES'!J192&lt;&gt;"",NOT(ISNUMBER('LID_LIQUIDACIONES'!J192))),1,0)</f>
        <v/>
      </c>
      <c r="K192">
        <f>IF(AND('LID_LIQUIDACIONES'!K192&lt;&gt;"",LEN('LID_LIQUIDACIONES'!K192)&gt;5),1,0)</f>
        <v/>
      </c>
      <c r="L192">
        <f>IF(AND('LID_LIQUIDACIONES'!L192&lt;&gt;"",IF(ISNUMBER('LID_LIQUIDACIONES'!L192),OR('LID_LIQUIDACIONES'!L192&lt;&gt;ROUND('LID_LIQUIDACIONES'!L192,0),LEN(TEXT(INT(ABS('LID_LIQUIDACIONES'!L192)),"0"))&gt;12),TRUE)),1,0)</f>
        <v/>
      </c>
      <c r="M192">
        <f>IF(AND('LID_LIQUIDACIONES'!M192&lt;&gt;"",COUNTIF(CL_CAT_MOTIVO_RET,'LID_LIQUIDACIONES'!M192)=0),1,0)</f>
        <v/>
      </c>
      <c r="N192">
        <f>IF(AND('LID_LIQUIDACIONES'!N192&lt;&gt;"",LEN('LID_LIQUIDACIONES'!N192)&gt;50),1,0)</f>
        <v/>
      </c>
      <c r="O192">
        <f>IF(AND('LID_LIQUIDACIONES'!O192&lt;&gt;"",COUNTIF(CL_CARACT_LIQ,'LID_LIQUIDACIONES'!O192)=0),1,0)</f>
        <v/>
      </c>
      <c r="P192">
        <f>IF(AND('LID_LIQUIDACIONES'!P192&lt;&gt;"",NOT(ISNUMBER('LID_LIQUIDACIONES'!P192))),1,0)</f>
        <v/>
      </c>
    </row>
    <row r="193">
      <c r="A193">
        <f>IF(AND('LID_LIQUIDACIONES'!A193&lt;&gt;"",NOT(ISNUMBER('LID_LIQUIDACIONES'!A193))),1,0)</f>
        <v/>
      </c>
      <c r="B193">
        <f>IF(AND('LID_LIQUIDACIONES'!B193&lt;&gt;"",LEN('LID_LIQUIDACIONES'!B193)&gt;5),1,0)</f>
        <v/>
      </c>
      <c r="C193">
        <f>IF(AND('LID_LIQUIDACIONES'!C193&lt;&gt;"",COUNTIF(CL_TIPO_VALOR,'LID_LIQUIDACIONES'!C193)=0),1,0)</f>
        <v/>
      </c>
      <c r="D193">
        <f>IF(AND('LID_LIQUIDACIONES'!D193&lt;&gt;"",COUNTIF(CL_TIPO_OBLIGACI_N,'LID_LIQUIDACIONES'!D193)=0),1,0)</f>
        <v/>
      </c>
      <c r="E193">
        <f>IF(AND('LID_LIQUIDACIONES'!E193&lt;&gt;"",IF(ISNUMBER('LID_LIQUIDACIONES'!E193),OR('LID_LIQUIDACIONES'!E193&lt;&gt;ROUND('LID_LIQUIDACIONES'!E193,0),LEN(TEXT(INT(ABS('LID_LIQUIDACIONES'!E193)),"0"))&gt;12),TRUE)),1,0)</f>
        <v/>
      </c>
      <c r="F193">
        <f>IF(AND('LID_LIQUIDACIONES'!F193&lt;&gt;"",OR(LEN('LID_LIQUIDACIONES'!F193)&gt;3,COUNTIF(CL_MONEDA,'LID_LIQUIDACIONES'!F193)=0)),1,0)</f>
        <v/>
      </c>
      <c r="G193">
        <f>IF(AND('LID_LIQUIDACIONES'!G193&lt;&gt;"",COUNTIF(CL_ID_PAGOS,'LID_LIQUIDACIONES'!G193)=0),1,0)</f>
        <v/>
      </c>
      <c r="H193">
        <f>IF(AND('LID_LIQUIDACIONES'!H193&lt;&gt;"",COUNTIF(CL_FLAG_HORARIO,'LID_LIQUIDACIONES'!H193)=0),1,0)</f>
        <v/>
      </c>
      <c r="I193">
        <f>IF(AND('LID_LIQUIDACIONES'!I193&lt;&gt;"",COUNTIF(CL_CAT_ID_PAGOS_RET,'LID_LIQUIDACIONES'!I193)=0),1,0)</f>
        <v/>
      </c>
      <c r="J193">
        <f>IF(AND('LID_LIQUIDACIONES'!J193&lt;&gt;"",NOT(ISNUMBER('LID_LIQUIDACIONES'!J193))),1,0)</f>
        <v/>
      </c>
      <c r="K193">
        <f>IF(AND('LID_LIQUIDACIONES'!K193&lt;&gt;"",LEN('LID_LIQUIDACIONES'!K193)&gt;5),1,0)</f>
        <v/>
      </c>
      <c r="L193">
        <f>IF(AND('LID_LIQUIDACIONES'!L193&lt;&gt;"",IF(ISNUMBER('LID_LIQUIDACIONES'!L193),OR('LID_LIQUIDACIONES'!L193&lt;&gt;ROUND('LID_LIQUIDACIONES'!L193,0),LEN(TEXT(INT(ABS('LID_LIQUIDACIONES'!L193)),"0"))&gt;12),TRUE)),1,0)</f>
        <v/>
      </c>
      <c r="M193">
        <f>IF(AND('LID_LIQUIDACIONES'!M193&lt;&gt;"",COUNTIF(CL_CAT_MOTIVO_RET,'LID_LIQUIDACIONES'!M193)=0),1,0)</f>
        <v/>
      </c>
      <c r="N193">
        <f>IF(AND('LID_LIQUIDACIONES'!N193&lt;&gt;"",LEN('LID_LIQUIDACIONES'!N193)&gt;50),1,0)</f>
        <v/>
      </c>
      <c r="O193">
        <f>IF(AND('LID_LIQUIDACIONES'!O193&lt;&gt;"",COUNTIF(CL_CARACT_LIQ,'LID_LIQUIDACIONES'!O193)=0),1,0)</f>
        <v/>
      </c>
      <c r="P193">
        <f>IF(AND('LID_LIQUIDACIONES'!P193&lt;&gt;"",NOT(ISNUMBER('LID_LIQUIDACIONES'!P193))),1,0)</f>
        <v/>
      </c>
    </row>
    <row r="194">
      <c r="A194">
        <f>IF(AND('LID_LIQUIDACIONES'!A194&lt;&gt;"",NOT(ISNUMBER('LID_LIQUIDACIONES'!A194))),1,0)</f>
        <v/>
      </c>
      <c r="B194">
        <f>IF(AND('LID_LIQUIDACIONES'!B194&lt;&gt;"",LEN('LID_LIQUIDACIONES'!B194)&gt;5),1,0)</f>
        <v/>
      </c>
      <c r="C194">
        <f>IF(AND('LID_LIQUIDACIONES'!C194&lt;&gt;"",COUNTIF(CL_TIPO_VALOR,'LID_LIQUIDACIONES'!C194)=0),1,0)</f>
        <v/>
      </c>
      <c r="D194">
        <f>IF(AND('LID_LIQUIDACIONES'!D194&lt;&gt;"",COUNTIF(CL_TIPO_OBLIGACI_N,'LID_LIQUIDACIONES'!D194)=0),1,0)</f>
        <v/>
      </c>
      <c r="E194">
        <f>IF(AND('LID_LIQUIDACIONES'!E194&lt;&gt;"",IF(ISNUMBER('LID_LIQUIDACIONES'!E194),OR('LID_LIQUIDACIONES'!E194&lt;&gt;ROUND('LID_LIQUIDACIONES'!E194,0),LEN(TEXT(INT(ABS('LID_LIQUIDACIONES'!E194)),"0"))&gt;12),TRUE)),1,0)</f>
        <v/>
      </c>
      <c r="F194">
        <f>IF(AND('LID_LIQUIDACIONES'!F194&lt;&gt;"",OR(LEN('LID_LIQUIDACIONES'!F194)&gt;3,COUNTIF(CL_MONEDA,'LID_LIQUIDACIONES'!F194)=0)),1,0)</f>
        <v/>
      </c>
      <c r="G194">
        <f>IF(AND('LID_LIQUIDACIONES'!G194&lt;&gt;"",COUNTIF(CL_ID_PAGOS,'LID_LIQUIDACIONES'!G194)=0),1,0)</f>
        <v/>
      </c>
      <c r="H194">
        <f>IF(AND('LID_LIQUIDACIONES'!H194&lt;&gt;"",COUNTIF(CL_FLAG_HORARIO,'LID_LIQUIDACIONES'!H194)=0),1,0)</f>
        <v/>
      </c>
      <c r="I194">
        <f>IF(AND('LID_LIQUIDACIONES'!I194&lt;&gt;"",COUNTIF(CL_CAT_ID_PAGOS_RET,'LID_LIQUIDACIONES'!I194)=0),1,0)</f>
        <v/>
      </c>
      <c r="J194">
        <f>IF(AND('LID_LIQUIDACIONES'!J194&lt;&gt;"",NOT(ISNUMBER('LID_LIQUIDACIONES'!J194))),1,0)</f>
        <v/>
      </c>
      <c r="K194">
        <f>IF(AND('LID_LIQUIDACIONES'!K194&lt;&gt;"",LEN('LID_LIQUIDACIONES'!K194)&gt;5),1,0)</f>
        <v/>
      </c>
      <c r="L194">
        <f>IF(AND('LID_LIQUIDACIONES'!L194&lt;&gt;"",IF(ISNUMBER('LID_LIQUIDACIONES'!L194),OR('LID_LIQUIDACIONES'!L194&lt;&gt;ROUND('LID_LIQUIDACIONES'!L194,0),LEN(TEXT(INT(ABS('LID_LIQUIDACIONES'!L194)),"0"))&gt;12),TRUE)),1,0)</f>
        <v/>
      </c>
      <c r="M194">
        <f>IF(AND('LID_LIQUIDACIONES'!M194&lt;&gt;"",COUNTIF(CL_CAT_MOTIVO_RET,'LID_LIQUIDACIONES'!M194)=0),1,0)</f>
        <v/>
      </c>
      <c r="N194">
        <f>IF(AND('LID_LIQUIDACIONES'!N194&lt;&gt;"",LEN('LID_LIQUIDACIONES'!N194)&gt;50),1,0)</f>
        <v/>
      </c>
      <c r="O194">
        <f>IF(AND('LID_LIQUIDACIONES'!O194&lt;&gt;"",COUNTIF(CL_CARACT_LIQ,'LID_LIQUIDACIONES'!O194)=0),1,0)</f>
        <v/>
      </c>
      <c r="P194">
        <f>IF(AND('LID_LIQUIDACIONES'!P194&lt;&gt;"",NOT(ISNUMBER('LID_LIQUIDACIONES'!P194))),1,0)</f>
        <v/>
      </c>
    </row>
    <row r="195">
      <c r="A195">
        <f>IF(AND('LID_LIQUIDACIONES'!A195&lt;&gt;"",NOT(ISNUMBER('LID_LIQUIDACIONES'!A195))),1,0)</f>
        <v/>
      </c>
      <c r="B195">
        <f>IF(AND('LID_LIQUIDACIONES'!B195&lt;&gt;"",LEN('LID_LIQUIDACIONES'!B195)&gt;5),1,0)</f>
        <v/>
      </c>
      <c r="C195">
        <f>IF(AND('LID_LIQUIDACIONES'!C195&lt;&gt;"",COUNTIF(CL_TIPO_VALOR,'LID_LIQUIDACIONES'!C195)=0),1,0)</f>
        <v/>
      </c>
      <c r="D195">
        <f>IF(AND('LID_LIQUIDACIONES'!D195&lt;&gt;"",COUNTIF(CL_TIPO_OBLIGACI_N,'LID_LIQUIDACIONES'!D195)=0),1,0)</f>
        <v/>
      </c>
      <c r="E195">
        <f>IF(AND('LID_LIQUIDACIONES'!E195&lt;&gt;"",IF(ISNUMBER('LID_LIQUIDACIONES'!E195),OR('LID_LIQUIDACIONES'!E195&lt;&gt;ROUND('LID_LIQUIDACIONES'!E195,0),LEN(TEXT(INT(ABS('LID_LIQUIDACIONES'!E195)),"0"))&gt;12),TRUE)),1,0)</f>
        <v/>
      </c>
      <c r="F195">
        <f>IF(AND('LID_LIQUIDACIONES'!F195&lt;&gt;"",OR(LEN('LID_LIQUIDACIONES'!F195)&gt;3,COUNTIF(CL_MONEDA,'LID_LIQUIDACIONES'!F195)=0)),1,0)</f>
        <v/>
      </c>
      <c r="G195">
        <f>IF(AND('LID_LIQUIDACIONES'!G195&lt;&gt;"",COUNTIF(CL_ID_PAGOS,'LID_LIQUIDACIONES'!G195)=0),1,0)</f>
        <v/>
      </c>
      <c r="H195">
        <f>IF(AND('LID_LIQUIDACIONES'!H195&lt;&gt;"",COUNTIF(CL_FLAG_HORARIO,'LID_LIQUIDACIONES'!H195)=0),1,0)</f>
        <v/>
      </c>
      <c r="I195">
        <f>IF(AND('LID_LIQUIDACIONES'!I195&lt;&gt;"",COUNTIF(CL_CAT_ID_PAGOS_RET,'LID_LIQUIDACIONES'!I195)=0),1,0)</f>
        <v/>
      </c>
      <c r="J195">
        <f>IF(AND('LID_LIQUIDACIONES'!J195&lt;&gt;"",NOT(ISNUMBER('LID_LIQUIDACIONES'!J195))),1,0)</f>
        <v/>
      </c>
      <c r="K195">
        <f>IF(AND('LID_LIQUIDACIONES'!K195&lt;&gt;"",LEN('LID_LIQUIDACIONES'!K195)&gt;5),1,0)</f>
        <v/>
      </c>
      <c r="L195">
        <f>IF(AND('LID_LIQUIDACIONES'!L195&lt;&gt;"",IF(ISNUMBER('LID_LIQUIDACIONES'!L195),OR('LID_LIQUIDACIONES'!L195&lt;&gt;ROUND('LID_LIQUIDACIONES'!L195,0),LEN(TEXT(INT(ABS('LID_LIQUIDACIONES'!L195)),"0"))&gt;12),TRUE)),1,0)</f>
        <v/>
      </c>
      <c r="M195">
        <f>IF(AND('LID_LIQUIDACIONES'!M195&lt;&gt;"",COUNTIF(CL_CAT_MOTIVO_RET,'LID_LIQUIDACIONES'!M195)=0),1,0)</f>
        <v/>
      </c>
      <c r="N195">
        <f>IF(AND('LID_LIQUIDACIONES'!N195&lt;&gt;"",LEN('LID_LIQUIDACIONES'!N195)&gt;50),1,0)</f>
        <v/>
      </c>
      <c r="O195">
        <f>IF(AND('LID_LIQUIDACIONES'!O195&lt;&gt;"",COUNTIF(CL_CARACT_LIQ,'LID_LIQUIDACIONES'!O195)=0),1,0)</f>
        <v/>
      </c>
      <c r="P195">
        <f>IF(AND('LID_LIQUIDACIONES'!P195&lt;&gt;"",NOT(ISNUMBER('LID_LIQUIDACIONES'!P195))),1,0)</f>
        <v/>
      </c>
    </row>
    <row r="196">
      <c r="A196">
        <f>IF(AND('LID_LIQUIDACIONES'!A196&lt;&gt;"",NOT(ISNUMBER('LID_LIQUIDACIONES'!A196))),1,0)</f>
        <v/>
      </c>
      <c r="B196">
        <f>IF(AND('LID_LIQUIDACIONES'!B196&lt;&gt;"",LEN('LID_LIQUIDACIONES'!B196)&gt;5),1,0)</f>
        <v/>
      </c>
      <c r="C196">
        <f>IF(AND('LID_LIQUIDACIONES'!C196&lt;&gt;"",COUNTIF(CL_TIPO_VALOR,'LID_LIQUIDACIONES'!C196)=0),1,0)</f>
        <v/>
      </c>
      <c r="D196">
        <f>IF(AND('LID_LIQUIDACIONES'!D196&lt;&gt;"",COUNTIF(CL_TIPO_OBLIGACI_N,'LID_LIQUIDACIONES'!D196)=0),1,0)</f>
        <v/>
      </c>
      <c r="E196">
        <f>IF(AND('LID_LIQUIDACIONES'!E196&lt;&gt;"",IF(ISNUMBER('LID_LIQUIDACIONES'!E196),OR('LID_LIQUIDACIONES'!E196&lt;&gt;ROUND('LID_LIQUIDACIONES'!E196,0),LEN(TEXT(INT(ABS('LID_LIQUIDACIONES'!E196)),"0"))&gt;12),TRUE)),1,0)</f>
        <v/>
      </c>
      <c r="F196">
        <f>IF(AND('LID_LIQUIDACIONES'!F196&lt;&gt;"",OR(LEN('LID_LIQUIDACIONES'!F196)&gt;3,COUNTIF(CL_MONEDA,'LID_LIQUIDACIONES'!F196)=0)),1,0)</f>
        <v/>
      </c>
      <c r="G196">
        <f>IF(AND('LID_LIQUIDACIONES'!G196&lt;&gt;"",COUNTIF(CL_ID_PAGOS,'LID_LIQUIDACIONES'!G196)=0),1,0)</f>
        <v/>
      </c>
      <c r="H196">
        <f>IF(AND('LID_LIQUIDACIONES'!H196&lt;&gt;"",COUNTIF(CL_FLAG_HORARIO,'LID_LIQUIDACIONES'!H196)=0),1,0)</f>
        <v/>
      </c>
      <c r="I196">
        <f>IF(AND('LID_LIQUIDACIONES'!I196&lt;&gt;"",COUNTIF(CL_CAT_ID_PAGOS_RET,'LID_LIQUIDACIONES'!I196)=0),1,0)</f>
        <v/>
      </c>
      <c r="J196">
        <f>IF(AND('LID_LIQUIDACIONES'!J196&lt;&gt;"",NOT(ISNUMBER('LID_LIQUIDACIONES'!J196))),1,0)</f>
        <v/>
      </c>
      <c r="K196">
        <f>IF(AND('LID_LIQUIDACIONES'!K196&lt;&gt;"",LEN('LID_LIQUIDACIONES'!K196)&gt;5),1,0)</f>
        <v/>
      </c>
      <c r="L196">
        <f>IF(AND('LID_LIQUIDACIONES'!L196&lt;&gt;"",IF(ISNUMBER('LID_LIQUIDACIONES'!L196),OR('LID_LIQUIDACIONES'!L196&lt;&gt;ROUND('LID_LIQUIDACIONES'!L196,0),LEN(TEXT(INT(ABS('LID_LIQUIDACIONES'!L196)),"0"))&gt;12),TRUE)),1,0)</f>
        <v/>
      </c>
      <c r="M196">
        <f>IF(AND('LID_LIQUIDACIONES'!M196&lt;&gt;"",COUNTIF(CL_CAT_MOTIVO_RET,'LID_LIQUIDACIONES'!M196)=0),1,0)</f>
        <v/>
      </c>
      <c r="N196">
        <f>IF(AND('LID_LIQUIDACIONES'!N196&lt;&gt;"",LEN('LID_LIQUIDACIONES'!N196)&gt;50),1,0)</f>
        <v/>
      </c>
      <c r="O196">
        <f>IF(AND('LID_LIQUIDACIONES'!O196&lt;&gt;"",COUNTIF(CL_CARACT_LIQ,'LID_LIQUIDACIONES'!O196)=0),1,0)</f>
        <v/>
      </c>
      <c r="P196">
        <f>IF(AND('LID_LIQUIDACIONES'!P196&lt;&gt;"",NOT(ISNUMBER('LID_LIQUIDACIONES'!P196))),1,0)</f>
        <v/>
      </c>
    </row>
    <row r="197">
      <c r="A197">
        <f>IF(AND('LID_LIQUIDACIONES'!A197&lt;&gt;"",NOT(ISNUMBER('LID_LIQUIDACIONES'!A197))),1,0)</f>
        <v/>
      </c>
      <c r="B197">
        <f>IF(AND('LID_LIQUIDACIONES'!B197&lt;&gt;"",LEN('LID_LIQUIDACIONES'!B197)&gt;5),1,0)</f>
        <v/>
      </c>
      <c r="C197">
        <f>IF(AND('LID_LIQUIDACIONES'!C197&lt;&gt;"",COUNTIF(CL_TIPO_VALOR,'LID_LIQUIDACIONES'!C197)=0),1,0)</f>
        <v/>
      </c>
      <c r="D197">
        <f>IF(AND('LID_LIQUIDACIONES'!D197&lt;&gt;"",COUNTIF(CL_TIPO_OBLIGACI_N,'LID_LIQUIDACIONES'!D197)=0),1,0)</f>
        <v/>
      </c>
      <c r="E197">
        <f>IF(AND('LID_LIQUIDACIONES'!E197&lt;&gt;"",IF(ISNUMBER('LID_LIQUIDACIONES'!E197),OR('LID_LIQUIDACIONES'!E197&lt;&gt;ROUND('LID_LIQUIDACIONES'!E197,0),LEN(TEXT(INT(ABS('LID_LIQUIDACIONES'!E197)),"0"))&gt;12),TRUE)),1,0)</f>
        <v/>
      </c>
      <c r="F197">
        <f>IF(AND('LID_LIQUIDACIONES'!F197&lt;&gt;"",OR(LEN('LID_LIQUIDACIONES'!F197)&gt;3,COUNTIF(CL_MONEDA,'LID_LIQUIDACIONES'!F197)=0)),1,0)</f>
        <v/>
      </c>
      <c r="G197">
        <f>IF(AND('LID_LIQUIDACIONES'!G197&lt;&gt;"",COUNTIF(CL_ID_PAGOS,'LID_LIQUIDACIONES'!G197)=0),1,0)</f>
        <v/>
      </c>
      <c r="H197">
        <f>IF(AND('LID_LIQUIDACIONES'!H197&lt;&gt;"",COUNTIF(CL_FLAG_HORARIO,'LID_LIQUIDACIONES'!H197)=0),1,0)</f>
        <v/>
      </c>
      <c r="I197">
        <f>IF(AND('LID_LIQUIDACIONES'!I197&lt;&gt;"",COUNTIF(CL_CAT_ID_PAGOS_RET,'LID_LIQUIDACIONES'!I197)=0),1,0)</f>
        <v/>
      </c>
      <c r="J197">
        <f>IF(AND('LID_LIQUIDACIONES'!J197&lt;&gt;"",NOT(ISNUMBER('LID_LIQUIDACIONES'!J197))),1,0)</f>
        <v/>
      </c>
      <c r="K197">
        <f>IF(AND('LID_LIQUIDACIONES'!K197&lt;&gt;"",LEN('LID_LIQUIDACIONES'!K197)&gt;5),1,0)</f>
        <v/>
      </c>
      <c r="L197">
        <f>IF(AND('LID_LIQUIDACIONES'!L197&lt;&gt;"",IF(ISNUMBER('LID_LIQUIDACIONES'!L197),OR('LID_LIQUIDACIONES'!L197&lt;&gt;ROUND('LID_LIQUIDACIONES'!L197,0),LEN(TEXT(INT(ABS('LID_LIQUIDACIONES'!L197)),"0"))&gt;12),TRUE)),1,0)</f>
        <v/>
      </c>
      <c r="M197">
        <f>IF(AND('LID_LIQUIDACIONES'!M197&lt;&gt;"",COUNTIF(CL_CAT_MOTIVO_RET,'LID_LIQUIDACIONES'!M197)=0),1,0)</f>
        <v/>
      </c>
      <c r="N197">
        <f>IF(AND('LID_LIQUIDACIONES'!N197&lt;&gt;"",LEN('LID_LIQUIDACIONES'!N197)&gt;50),1,0)</f>
        <v/>
      </c>
      <c r="O197">
        <f>IF(AND('LID_LIQUIDACIONES'!O197&lt;&gt;"",COUNTIF(CL_CARACT_LIQ,'LID_LIQUIDACIONES'!O197)=0),1,0)</f>
        <v/>
      </c>
      <c r="P197">
        <f>IF(AND('LID_LIQUIDACIONES'!P197&lt;&gt;"",NOT(ISNUMBER('LID_LIQUIDACIONES'!P197))),1,0)</f>
        <v/>
      </c>
    </row>
    <row r="198">
      <c r="A198">
        <f>IF(AND('LID_LIQUIDACIONES'!A198&lt;&gt;"",NOT(ISNUMBER('LID_LIQUIDACIONES'!A198))),1,0)</f>
        <v/>
      </c>
      <c r="B198">
        <f>IF(AND('LID_LIQUIDACIONES'!B198&lt;&gt;"",LEN('LID_LIQUIDACIONES'!B198)&gt;5),1,0)</f>
        <v/>
      </c>
      <c r="C198">
        <f>IF(AND('LID_LIQUIDACIONES'!C198&lt;&gt;"",COUNTIF(CL_TIPO_VALOR,'LID_LIQUIDACIONES'!C198)=0),1,0)</f>
        <v/>
      </c>
      <c r="D198">
        <f>IF(AND('LID_LIQUIDACIONES'!D198&lt;&gt;"",COUNTIF(CL_TIPO_OBLIGACI_N,'LID_LIQUIDACIONES'!D198)=0),1,0)</f>
        <v/>
      </c>
      <c r="E198">
        <f>IF(AND('LID_LIQUIDACIONES'!E198&lt;&gt;"",IF(ISNUMBER('LID_LIQUIDACIONES'!E198),OR('LID_LIQUIDACIONES'!E198&lt;&gt;ROUND('LID_LIQUIDACIONES'!E198,0),LEN(TEXT(INT(ABS('LID_LIQUIDACIONES'!E198)),"0"))&gt;12),TRUE)),1,0)</f>
        <v/>
      </c>
      <c r="F198">
        <f>IF(AND('LID_LIQUIDACIONES'!F198&lt;&gt;"",OR(LEN('LID_LIQUIDACIONES'!F198)&gt;3,COUNTIF(CL_MONEDA,'LID_LIQUIDACIONES'!F198)=0)),1,0)</f>
        <v/>
      </c>
      <c r="G198">
        <f>IF(AND('LID_LIQUIDACIONES'!G198&lt;&gt;"",COUNTIF(CL_ID_PAGOS,'LID_LIQUIDACIONES'!G198)=0),1,0)</f>
        <v/>
      </c>
      <c r="H198">
        <f>IF(AND('LID_LIQUIDACIONES'!H198&lt;&gt;"",COUNTIF(CL_FLAG_HORARIO,'LID_LIQUIDACIONES'!H198)=0),1,0)</f>
        <v/>
      </c>
      <c r="I198">
        <f>IF(AND('LID_LIQUIDACIONES'!I198&lt;&gt;"",COUNTIF(CL_CAT_ID_PAGOS_RET,'LID_LIQUIDACIONES'!I198)=0),1,0)</f>
        <v/>
      </c>
      <c r="J198">
        <f>IF(AND('LID_LIQUIDACIONES'!J198&lt;&gt;"",NOT(ISNUMBER('LID_LIQUIDACIONES'!J198))),1,0)</f>
        <v/>
      </c>
      <c r="K198">
        <f>IF(AND('LID_LIQUIDACIONES'!K198&lt;&gt;"",LEN('LID_LIQUIDACIONES'!K198)&gt;5),1,0)</f>
        <v/>
      </c>
      <c r="L198">
        <f>IF(AND('LID_LIQUIDACIONES'!L198&lt;&gt;"",IF(ISNUMBER('LID_LIQUIDACIONES'!L198),OR('LID_LIQUIDACIONES'!L198&lt;&gt;ROUND('LID_LIQUIDACIONES'!L198,0),LEN(TEXT(INT(ABS('LID_LIQUIDACIONES'!L198)),"0"))&gt;12),TRUE)),1,0)</f>
        <v/>
      </c>
      <c r="M198">
        <f>IF(AND('LID_LIQUIDACIONES'!M198&lt;&gt;"",COUNTIF(CL_CAT_MOTIVO_RET,'LID_LIQUIDACIONES'!M198)=0),1,0)</f>
        <v/>
      </c>
      <c r="N198">
        <f>IF(AND('LID_LIQUIDACIONES'!N198&lt;&gt;"",LEN('LID_LIQUIDACIONES'!N198)&gt;50),1,0)</f>
        <v/>
      </c>
      <c r="O198">
        <f>IF(AND('LID_LIQUIDACIONES'!O198&lt;&gt;"",COUNTIF(CL_CARACT_LIQ,'LID_LIQUIDACIONES'!O198)=0),1,0)</f>
        <v/>
      </c>
      <c r="P198">
        <f>IF(AND('LID_LIQUIDACIONES'!P198&lt;&gt;"",NOT(ISNUMBER('LID_LIQUIDACIONES'!P198))),1,0)</f>
        <v/>
      </c>
    </row>
    <row r="199">
      <c r="A199">
        <f>IF(AND('LID_LIQUIDACIONES'!A199&lt;&gt;"",NOT(ISNUMBER('LID_LIQUIDACIONES'!A199))),1,0)</f>
        <v/>
      </c>
      <c r="B199">
        <f>IF(AND('LID_LIQUIDACIONES'!B199&lt;&gt;"",LEN('LID_LIQUIDACIONES'!B199)&gt;5),1,0)</f>
        <v/>
      </c>
      <c r="C199">
        <f>IF(AND('LID_LIQUIDACIONES'!C199&lt;&gt;"",COUNTIF(CL_TIPO_VALOR,'LID_LIQUIDACIONES'!C199)=0),1,0)</f>
        <v/>
      </c>
      <c r="D199">
        <f>IF(AND('LID_LIQUIDACIONES'!D199&lt;&gt;"",COUNTIF(CL_TIPO_OBLIGACI_N,'LID_LIQUIDACIONES'!D199)=0),1,0)</f>
        <v/>
      </c>
      <c r="E199">
        <f>IF(AND('LID_LIQUIDACIONES'!E199&lt;&gt;"",IF(ISNUMBER('LID_LIQUIDACIONES'!E199),OR('LID_LIQUIDACIONES'!E199&lt;&gt;ROUND('LID_LIQUIDACIONES'!E199,0),LEN(TEXT(INT(ABS('LID_LIQUIDACIONES'!E199)),"0"))&gt;12),TRUE)),1,0)</f>
        <v/>
      </c>
      <c r="F199">
        <f>IF(AND('LID_LIQUIDACIONES'!F199&lt;&gt;"",OR(LEN('LID_LIQUIDACIONES'!F199)&gt;3,COUNTIF(CL_MONEDA,'LID_LIQUIDACIONES'!F199)=0)),1,0)</f>
        <v/>
      </c>
      <c r="G199">
        <f>IF(AND('LID_LIQUIDACIONES'!G199&lt;&gt;"",COUNTIF(CL_ID_PAGOS,'LID_LIQUIDACIONES'!G199)=0),1,0)</f>
        <v/>
      </c>
      <c r="H199">
        <f>IF(AND('LID_LIQUIDACIONES'!H199&lt;&gt;"",COUNTIF(CL_FLAG_HORARIO,'LID_LIQUIDACIONES'!H199)=0),1,0)</f>
        <v/>
      </c>
      <c r="I199">
        <f>IF(AND('LID_LIQUIDACIONES'!I199&lt;&gt;"",COUNTIF(CL_CAT_ID_PAGOS_RET,'LID_LIQUIDACIONES'!I199)=0),1,0)</f>
        <v/>
      </c>
      <c r="J199">
        <f>IF(AND('LID_LIQUIDACIONES'!J199&lt;&gt;"",NOT(ISNUMBER('LID_LIQUIDACIONES'!J199))),1,0)</f>
        <v/>
      </c>
      <c r="K199">
        <f>IF(AND('LID_LIQUIDACIONES'!K199&lt;&gt;"",LEN('LID_LIQUIDACIONES'!K199)&gt;5),1,0)</f>
        <v/>
      </c>
      <c r="L199">
        <f>IF(AND('LID_LIQUIDACIONES'!L199&lt;&gt;"",IF(ISNUMBER('LID_LIQUIDACIONES'!L199),OR('LID_LIQUIDACIONES'!L199&lt;&gt;ROUND('LID_LIQUIDACIONES'!L199,0),LEN(TEXT(INT(ABS('LID_LIQUIDACIONES'!L199)),"0"))&gt;12),TRUE)),1,0)</f>
        <v/>
      </c>
      <c r="M199">
        <f>IF(AND('LID_LIQUIDACIONES'!M199&lt;&gt;"",COUNTIF(CL_CAT_MOTIVO_RET,'LID_LIQUIDACIONES'!M199)=0),1,0)</f>
        <v/>
      </c>
      <c r="N199">
        <f>IF(AND('LID_LIQUIDACIONES'!N199&lt;&gt;"",LEN('LID_LIQUIDACIONES'!N199)&gt;50),1,0)</f>
        <v/>
      </c>
      <c r="O199">
        <f>IF(AND('LID_LIQUIDACIONES'!O199&lt;&gt;"",COUNTIF(CL_CARACT_LIQ,'LID_LIQUIDACIONES'!O199)=0),1,0)</f>
        <v/>
      </c>
      <c r="P199">
        <f>IF(AND('LID_LIQUIDACIONES'!P199&lt;&gt;"",NOT(ISNUMBER('LID_LIQUIDACIONES'!P199))),1,0)</f>
        <v/>
      </c>
    </row>
    <row r="200">
      <c r="A200">
        <f>IF(AND('LID_LIQUIDACIONES'!A200&lt;&gt;"",NOT(ISNUMBER('LID_LIQUIDACIONES'!A200))),1,0)</f>
        <v/>
      </c>
      <c r="B200">
        <f>IF(AND('LID_LIQUIDACIONES'!B200&lt;&gt;"",LEN('LID_LIQUIDACIONES'!B200)&gt;5),1,0)</f>
        <v/>
      </c>
      <c r="C200">
        <f>IF(AND('LID_LIQUIDACIONES'!C200&lt;&gt;"",COUNTIF(CL_TIPO_VALOR,'LID_LIQUIDACIONES'!C200)=0),1,0)</f>
        <v/>
      </c>
      <c r="D200">
        <f>IF(AND('LID_LIQUIDACIONES'!D200&lt;&gt;"",COUNTIF(CL_TIPO_OBLIGACI_N,'LID_LIQUIDACIONES'!D200)=0),1,0)</f>
        <v/>
      </c>
      <c r="E200">
        <f>IF(AND('LID_LIQUIDACIONES'!E200&lt;&gt;"",IF(ISNUMBER('LID_LIQUIDACIONES'!E200),OR('LID_LIQUIDACIONES'!E200&lt;&gt;ROUND('LID_LIQUIDACIONES'!E200,0),LEN(TEXT(INT(ABS('LID_LIQUIDACIONES'!E200)),"0"))&gt;12),TRUE)),1,0)</f>
        <v/>
      </c>
      <c r="F200">
        <f>IF(AND('LID_LIQUIDACIONES'!F200&lt;&gt;"",OR(LEN('LID_LIQUIDACIONES'!F200)&gt;3,COUNTIF(CL_MONEDA,'LID_LIQUIDACIONES'!F200)=0)),1,0)</f>
        <v/>
      </c>
      <c r="G200">
        <f>IF(AND('LID_LIQUIDACIONES'!G200&lt;&gt;"",COUNTIF(CL_ID_PAGOS,'LID_LIQUIDACIONES'!G200)=0),1,0)</f>
        <v/>
      </c>
      <c r="H200">
        <f>IF(AND('LID_LIQUIDACIONES'!H200&lt;&gt;"",COUNTIF(CL_FLAG_HORARIO,'LID_LIQUIDACIONES'!H200)=0),1,0)</f>
        <v/>
      </c>
      <c r="I200">
        <f>IF(AND('LID_LIQUIDACIONES'!I200&lt;&gt;"",COUNTIF(CL_CAT_ID_PAGOS_RET,'LID_LIQUIDACIONES'!I200)=0),1,0)</f>
        <v/>
      </c>
      <c r="J200">
        <f>IF(AND('LID_LIQUIDACIONES'!J200&lt;&gt;"",NOT(ISNUMBER('LID_LIQUIDACIONES'!J200))),1,0)</f>
        <v/>
      </c>
      <c r="K200">
        <f>IF(AND('LID_LIQUIDACIONES'!K200&lt;&gt;"",LEN('LID_LIQUIDACIONES'!K200)&gt;5),1,0)</f>
        <v/>
      </c>
      <c r="L200">
        <f>IF(AND('LID_LIQUIDACIONES'!L200&lt;&gt;"",IF(ISNUMBER('LID_LIQUIDACIONES'!L200),OR('LID_LIQUIDACIONES'!L200&lt;&gt;ROUND('LID_LIQUIDACIONES'!L200,0),LEN(TEXT(INT(ABS('LID_LIQUIDACIONES'!L200)),"0"))&gt;12),TRUE)),1,0)</f>
        <v/>
      </c>
      <c r="M200">
        <f>IF(AND('LID_LIQUIDACIONES'!M200&lt;&gt;"",COUNTIF(CL_CAT_MOTIVO_RET,'LID_LIQUIDACIONES'!M200)=0),1,0)</f>
        <v/>
      </c>
      <c r="N200">
        <f>IF(AND('LID_LIQUIDACIONES'!N200&lt;&gt;"",LEN('LID_LIQUIDACIONES'!N200)&gt;50),1,0)</f>
        <v/>
      </c>
      <c r="O200">
        <f>IF(AND('LID_LIQUIDACIONES'!O200&lt;&gt;"",COUNTIF(CL_CARACT_LIQ,'LID_LIQUIDACIONES'!O200)=0),1,0)</f>
        <v/>
      </c>
      <c r="P200">
        <f>IF(AND('LID_LIQUIDACIONES'!P200&lt;&gt;"",NOT(ISNUMBER('LID_LIQUIDACIONES'!P200))),1,0)</f>
        <v/>
      </c>
    </row>
    <row r="201">
      <c r="A201">
        <f>IF(AND('LID_LIQUIDACIONES'!A201&lt;&gt;"",NOT(ISNUMBER('LID_LIQUIDACIONES'!A201))),1,0)</f>
        <v/>
      </c>
      <c r="B201">
        <f>IF(AND('LID_LIQUIDACIONES'!B201&lt;&gt;"",LEN('LID_LIQUIDACIONES'!B201)&gt;5),1,0)</f>
        <v/>
      </c>
      <c r="C201">
        <f>IF(AND('LID_LIQUIDACIONES'!C201&lt;&gt;"",COUNTIF(CL_TIPO_VALOR,'LID_LIQUIDACIONES'!C201)=0),1,0)</f>
        <v/>
      </c>
      <c r="D201">
        <f>IF(AND('LID_LIQUIDACIONES'!D201&lt;&gt;"",COUNTIF(CL_TIPO_OBLIGACI_N,'LID_LIQUIDACIONES'!D201)=0),1,0)</f>
        <v/>
      </c>
      <c r="E201">
        <f>IF(AND('LID_LIQUIDACIONES'!E201&lt;&gt;"",IF(ISNUMBER('LID_LIQUIDACIONES'!E201),OR('LID_LIQUIDACIONES'!E201&lt;&gt;ROUND('LID_LIQUIDACIONES'!E201,0),LEN(TEXT(INT(ABS('LID_LIQUIDACIONES'!E201)),"0"))&gt;12),TRUE)),1,0)</f>
        <v/>
      </c>
      <c r="F201">
        <f>IF(AND('LID_LIQUIDACIONES'!F201&lt;&gt;"",OR(LEN('LID_LIQUIDACIONES'!F201)&gt;3,COUNTIF(CL_MONEDA,'LID_LIQUIDACIONES'!F201)=0)),1,0)</f>
        <v/>
      </c>
      <c r="G201">
        <f>IF(AND('LID_LIQUIDACIONES'!G201&lt;&gt;"",COUNTIF(CL_ID_PAGOS,'LID_LIQUIDACIONES'!G201)=0),1,0)</f>
        <v/>
      </c>
      <c r="H201">
        <f>IF(AND('LID_LIQUIDACIONES'!H201&lt;&gt;"",COUNTIF(CL_FLAG_HORARIO,'LID_LIQUIDACIONES'!H201)=0),1,0)</f>
        <v/>
      </c>
      <c r="I201">
        <f>IF(AND('LID_LIQUIDACIONES'!I201&lt;&gt;"",COUNTIF(CL_CAT_ID_PAGOS_RET,'LID_LIQUIDACIONES'!I201)=0),1,0)</f>
        <v/>
      </c>
      <c r="J201">
        <f>IF(AND('LID_LIQUIDACIONES'!J201&lt;&gt;"",NOT(ISNUMBER('LID_LIQUIDACIONES'!J201))),1,0)</f>
        <v/>
      </c>
      <c r="K201">
        <f>IF(AND('LID_LIQUIDACIONES'!K201&lt;&gt;"",LEN('LID_LIQUIDACIONES'!K201)&gt;5),1,0)</f>
        <v/>
      </c>
      <c r="L201">
        <f>IF(AND('LID_LIQUIDACIONES'!L201&lt;&gt;"",IF(ISNUMBER('LID_LIQUIDACIONES'!L201),OR('LID_LIQUIDACIONES'!L201&lt;&gt;ROUND('LID_LIQUIDACIONES'!L201,0),LEN(TEXT(INT(ABS('LID_LIQUIDACIONES'!L201)),"0"))&gt;12),TRUE)),1,0)</f>
        <v/>
      </c>
      <c r="M201">
        <f>IF(AND('LID_LIQUIDACIONES'!M201&lt;&gt;"",COUNTIF(CL_CAT_MOTIVO_RET,'LID_LIQUIDACIONES'!M201)=0),1,0)</f>
        <v/>
      </c>
      <c r="N201">
        <f>IF(AND('LID_LIQUIDACIONES'!N201&lt;&gt;"",LEN('LID_LIQUIDACIONES'!N201)&gt;50),1,0)</f>
        <v/>
      </c>
      <c r="O201">
        <f>IF(AND('LID_LIQUIDACIONES'!O201&lt;&gt;"",COUNTIF(CL_CARACT_LIQ,'LID_LIQUIDACIONES'!O201)=0),1,0)</f>
        <v/>
      </c>
      <c r="P201">
        <f>IF(AND('LID_LIQUIDACIONES'!P201&lt;&gt;"",NOT(ISNUMBER('LID_LIQUIDACIONES'!P201))),1,0)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2026-07-14T16:26:59Z</dcterms:created>
  <dcterms:modified xsi:type="dcterms:W3CDTF">2026-07-14T16:26:59Z</dcterms:modified>
</cp:coreProperties>
</file>